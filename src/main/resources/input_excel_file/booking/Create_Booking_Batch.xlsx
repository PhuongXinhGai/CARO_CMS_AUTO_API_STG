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3" activeTab="17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1_Player_VC" sheetId="25" r:id="rId18"/>
    <sheet name="Edit_Booking_4_Player" sheetId="15" r:id="rId19"/>
    <sheet name="Edit_Booking" sheetId="4" r:id="rId20"/>
    <sheet name="testcase" sheetId="1" state="hidden" r:id="rId21"/>
    <sheet name="testcase_DB" sheetId="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<sst xmlns="http://schemas.openxmlformats.org/spreadsheetml/2006/main" count="9054" uniqueCount="1048">
  <si>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</si>
  <si>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</si>
  <si>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</si>
  <si>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</si>
  <si>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</si>
  <si>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</si>
  <si>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</si>
  <si>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</si>
  <si>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</si>
  <si>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</si>
  <si>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</si>
  <si>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</si>
  <si>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</si>
  <si>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</si>
  <si>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</si>
  <si>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</si>
  <si>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</si>
  <si>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</si>
  <si>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</si>
  <si>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</si>
  <si>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</si>
  <si>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</si>
  <si>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</si>
  <si>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</si>
  <si>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</si>
  <si>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</si>
  <si>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</si>
  <si>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VST_QF_001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</si>
  <si>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</si>
  <si>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</si>
  <si>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</si>
  <si>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</si>
  <si>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</si>
  <si>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</si>
  <si>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</si>
  <si>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</si>
  <si>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</si>
  <si>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</si>
  <si>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</si>
  <si>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</si>
  <si>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</si>
  <si>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</si>
  <si>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</si>
  <si>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</si>
  <si>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</si>
  <si>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</si>
  <si>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</si>
  <si>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</si>
  <si>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</si>
  <si>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</si>
  <si>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</si>
  <si>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</si>
  <si>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</si>
  <si>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</si>
  <si>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</si>
  <si>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</si>
  <si>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</si>
  <si>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</si>
  <si>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</si>
  <si>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</si>
  <si>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</si>
  <si>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 xml:space="preserve">VST_Kiểm tra giá dự kiến khi booking 1 player  </t>
  </si>
  <si>
    <t>VST</t>
  </si>
  <si>
    <t>list_player[0].voucher_apply[0].id</t>
  </si>
  <si>
    <t>list_player[0].voucher_apply[0].voucher_code</t>
  </si>
  <si>
    <t>Apply voucher giảm giá thông thường: Giảm 200k green fee</t>
  </si>
  <si>
    <t>VST_QF_VC_GREEN_001</t>
  </si>
  <si>
    <t>VST_Kiểm tra giá dự kiến khi add voucher giảm 200k green</t>
  </si>
  <si>
    <t>quote_fee_1_voucher_request.json</t>
  </si>
  <si>
    <t>GR0001</t>
  </si>
  <si>
    <t>Apply voucher giảm giá thông thường: Giảm 2tr1 cho green + caddie + 1/2 xe + packge</t>
  </si>
  <si>
    <t>VST_QF_VC_4FEE_001</t>
  </si>
  <si>
    <t>VST_Kiểm tra giá dự kiến khi add voucher giảm 2tr1 cho green + caddie + 1/2 xe + packge</t>
  </si>
  <si>
    <t>CNTT4FEE1</t>
  </si>
  <si>
    <t>Apply voucher giảm giá thông thường: Giảm 10% green fee</t>
  </si>
  <si>
    <t>VST_QF_VC_GREEN_10_001</t>
  </si>
  <si>
    <t>VST_Kiểm tra giá dự kiến khi add voucher giảm 10% green</t>
  </si>
  <si>
    <t>GR10001</t>
  </si>
  <si>
    <t>Apply voucher giảm giá thông thường: Giảm 10% tất cả fee</t>
  </si>
  <si>
    <t>VST_QF_VC_ALL_10_001</t>
  </si>
  <si>
    <t>VST_Kiểm tra giá dự kiến khi add voucher giảm 10% all fee</t>
  </si>
  <si>
    <t>CN10001</t>
  </si>
  <si>
    <t>Apply voucher giảm giá cố định: Green + caddie + 1/2 xe + packge</t>
  </si>
  <si>
    <t>VST_QF_VC_CD4FEE_001</t>
  </si>
  <si>
    <t>VST_Kiểm tra giá dự kiến khi add voucher giảm giá cố định: Green + caddie + 1/2 xe + packge</t>
  </si>
  <si>
    <t>CD4FEE1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</si>
  <si>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</si>
  <si>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</si>
  <si>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</si>
  <si>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</si>
  <si>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</si>
  <si>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</si>
  <si>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</si>
  <si>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</si>
  <si>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</si>
  <si>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</si>
  <si>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</si>
  <si>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</si>
  <si>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</si>
  <si>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</si>
  <si>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</si>
  <si>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</si>
  <si>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</si>
  <si>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</si>
  <si>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</si>
  <si>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</si>
  <si>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</si>
  <si>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</si>
  <si>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</si>
  <si>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</si>
  <si>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</si>
  <si>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</si>
  <si>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</si>
  <si>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</si>
  <si>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</si>
  <si>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</si>
  <si>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</si>
  <si>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</si>
  <si>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</si>
  <si>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</si>
  <si>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</si>
  <si>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</si>
  <si>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</si>
  <si>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</si>
  <si>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</si>
  <si>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</si>
  <si>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</si>
  <si>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</si>
  <si>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</si>
  <si>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</si>
  <si>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</si>
  <si>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</si>
  <si>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</si>
  <si>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</si>
  <si>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</si>
  <si>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</si>
  <si>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</si>
  <si>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</si>
  <si>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</si>
  <si>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</si>
  <si>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</si>
  <si>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</si>
  <si>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</si>
  <si>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VST_BB_001</t>
  </si>
  <si>
    <t>VST_Kiểm tra booking 1 player</t>
  </si>
  <si>
    <t>create_booking_batch_request.json</t>
  </si>
  <si>
    <t>{{CTX:USER_NAME}}</t>
  </si>
  <si>
    <t>18</t>
  </si>
  <si>
    <t>PhuongTT</t>
  </si>
  <si>
    <t>phuongtt@caro.vn</t>
  </si>
  <si>
    <t>false</t>
  </si>
  <si>
    <t>0</t>
  </si>
  <si>
    <t>{{CTX:FULL_NAME}}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</si>
  <si>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</si>
  <si>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</si>
  <si>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</si>
  <si>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</si>
  <si>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</si>
  <si>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</si>
  <si>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</si>
  <si>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</si>
  <si>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</si>
  <si>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</si>
  <si>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</si>
  <si>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VST_BB_002</t>
  </si>
  <si>
    <t>VST 2</t>
  </si>
  <si>
    <t>VST_BB_003</t>
  </si>
  <si>
    <t>VST 3</t>
  </si>
  <si>
    <t>VST_BB_004</t>
  </si>
  <si>
    <t>VST 4</t>
  </si>
  <si>
    <t>VST_BB_005</t>
  </si>
  <si>
    <t>VST 5</t>
  </si>
  <si>
    <t>20:32</t>
  </si>
  <si>
    <t>VST_BB_006</t>
  </si>
  <si>
    <t>VST 6</t>
  </si>
  <si>
    <t>VST_BB_007</t>
  </si>
  <si>
    <t>VST 7</t>
  </si>
  <si>
    <t>VST_BB_008</t>
  </si>
  <si>
    <t>VST 8</t>
  </si>
  <si>
    <t>VST_BB_009</t>
  </si>
  <si>
    <t>VST 9</t>
  </si>
  <si>
    <t>VST_BB_010</t>
  </si>
  <si>
    <t>VST 10</t>
  </si>
  <si>
    <t>VST_BB_011</t>
  </si>
  <si>
    <t>VST 11</t>
  </si>
  <si>
    <t>VST_BB_012</t>
  </si>
  <si>
    <t>VST 12</t>
  </si>
  <si>
    <t>VST_BB_013</t>
  </si>
  <si>
    <t>VST 13</t>
  </si>
  <si>
    <t>VST_BB_014</t>
  </si>
  <si>
    <t>VST 14</t>
  </si>
  <si>
    <t>VST_BB_015</t>
  </si>
  <si>
    <t>VST 15</t>
  </si>
  <si>
    <t>VST_BB_016</t>
  </si>
  <si>
    <t>VST 16</t>
  </si>
  <si>
    <t>VST_BB_017</t>
  </si>
  <si>
    <t>VST 17</t>
  </si>
  <si>
    <t>VST_BB_018</t>
  </si>
  <si>
    <t>VST 18</t>
  </si>
  <si>
    <t>VST_BB_019</t>
  </si>
  <si>
    <t>VST 19</t>
  </si>
  <si>
    <t>VST_BB_020</t>
  </si>
  <si>
    <t>VST 20</t>
  </si>
  <si>
    <t>VST_BB_021</t>
  </si>
  <si>
    <t>VST 21</t>
  </si>
  <si>
    <t>VST_BB_022</t>
  </si>
  <si>
    <t>VST 22</t>
  </si>
  <si>
    <t>VST_BB_023</t>
  </si>
  <si>
    <t>VST 23</t>
  </si>
  <si>
    <t>VST_BB_024</t>
  </si>
  <si>
    <t>VST 24</t>
  </si>
  <si>
    <t>VST_BB_025</t>
  </si>
  <si>
    <t>VST 25</t>
  </si>
  <si>
    <t>VST_BB_026</t>
  </si>
  <si>
    <t>VST 26</t>
  </si>
  <si>
    <t>VST_BB_027</t>
  </si>
  <si>
    <t>VST 27</t>
  </si>
  <si>
    <t>VST_BB_028</t>
  </si>
  <si>
    <t>VST 28</t>
  </si>
  <si>
    <t>VST_BB_029</t>
  </si>
  <si>
    <t>VST 29</t>
  </si>
  <si>
    <t>VST_BB_030</t>
  </si>
  <si>
    <t>VST 30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</si>
  <si>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</si>
  <si>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</si>
  <si>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</si>
  <si>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</si>
  <si>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</si>
  <si>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</si>
  <si>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</si>
  <si>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</si>
  <si>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</si>
  <si>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</si>
  <si>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</si>
  <si>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</si>
  <si>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</si>
  <si>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</si>
  <si>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</si>
  <si>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</si>
  <si>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</si>
  <si>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</si>
  <si>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</si>
  <si>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</si>
  <si>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</si>
  <si>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</si>
  <si>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</si>
  <si>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TRADITIONAL</t>
  </si>
  <si>
    <t>BB_006</t>
  </si>
  <si>
    <t>VST_Kiểm tra booking 1 player có đặt caddie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</si>
  <si>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</si>
  <si>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</si>
  <si>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</si>
  <si>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</si>
  <si>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</si>
  <si>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</si>
  <si>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</si>
  <si>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</si>
  <si>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</si>
  <si>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</si>
  <si>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</si>
  <si>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</si>
  <si>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</si>
  <si>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</si>
  <si>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</si>
  <si>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</si>
  <si>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</si>
  <si>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VST_BB_VC_GREEN_001</t>
  </si>
  <si>
    <t>Tạo booking apply voucher giảm giá 200k phí green</t>
  </si>
  <si>
    <t>create_booking_batch_1_player_1voucher_request.json</t>
  </si>
  <si>
    <t>C</t>
  </si>
  <si>
    <t>VST_BB_VC_GREEN_002</t>
  </si>
  <si>
    <t>VST_BB_VC_GREEN_003</t>
  </si>
  <si>
    <t>VST_BB_VC_GREEN_004</t>
  </si>
  <si>
    <t>VST_BB_VC_GREEN_005</t>
  </si>
  <si>
    <t>Apply voucher giảm giá thông thường: Giảm 2tr1 cho green + caddie + 1/2 xe + package</t>
  </si>
  <si>
    <t>VST_BB_VC_4FEE_001</t>
  </si>
  <si>
    <t>Tạo booking apply voucher giảm giá 4 fee: Green fee + caddie + 1/2 xe + package</t>
  </si>
  <si>
    <t>VST_BB_VC_4FEE_002</t>
  </si>
  <si>
    <t>VST_BB_VC_4FEE_003</t>
  </si>
  <si>
    <t>VST_BB_VC_4FEE_004</t>
  </si>
  <si>
    <t>VST_BB_VC_4FEE_005</t>
  </si>
  <si>
    <t>Apply voucher giảm giá thông thường: Giảm 10% green</t>
  </si>
  <si>
    <t>VST_BB_VC_GREEN_10_001</t>
  </si>
  <si>
    <t>Tạo booking apply voucher giảm giá 10% phí green</t>
  </si>
  <si>
    <t>VST_BB_VC_GREEN_10_002</t>
  </si>
  <si>
    <t>VST_BB_VC_GREEN_10_003</t>
  </si>
  <si>
    <t>VST_BB_VC_GREEN_10_004</t>
  </si>
  <si>
    <t>VST_BB_VC_GREEN_10_005</t>
  </si>
  <si>
    <t>Apply voucher giảm giá thông thường: Giảm 10% all fee</t>
  </si>
  <si>
    <t>VST_BB_VC_ALL_10_001</t>
  </si>
  <si>
    <t>Tạo booking apply voucher giảm giá 10% all fee</t>
  </si>
  <si>
    <t>VST_BB_VC_ALL_10_002</t>
  </si>
  <si>
    <t>VST_BB_VC_ALL_10_003</t>
  </si>
  <si>
    <t>VST_BB_VC_ALL_10_004</t>
  </si>
  <si>
    <t>VST_BB_VC_ALL_10_005</t>
  </si>
  <si>
    <t>Apply voucher giảm giá cố định: Green + Caddie + 1/2 xe + package</t>
  </si>
  <si>
    <t>VST_BB_VC_CD4FEE_001</t>
  </si>
  <si>
    <t>Tạo booking apply voucher giảm giá cố định: Green + caddie + 1/2 xe + Package</t>
  </si>
  <si>
    <t>VST_BB_VC_CD4FEE_002</t>
  </si>
  <si>
    <t>VST_BB_VC_CD4FEE_003</t>
  </si>
  <si>
    <t>VST_BB_VC_CD4FEE_004</t>
  </si>
  <si>
    <t>VST_BB_VC_CD4FEE_005</t>
  </si>
  <si>
    <t>BB_VC_VST_005</t>
  </si>
  <si>
    <t>Verify create batch booking for Visitor without package + apply normal voucher (percent, apply to all fee types)</t>
  </si>
  <si>
    <t>BB_VC_VST_006</t>
  </si>
  <si>
    <t>Verify create batch booking for Visitor without package + apply normal voucher (percent, apply to green fee only)</t>
  </si>
  <si>
    <t>BB_VC_VST_007</t>
  </si>
  <si>
    <t>Verify create batch booking for Visitor without package + apply normal voucher (percent, apply to caddie fee only)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</si>
  <si>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</si>
  <si>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</si>
  <si>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</si>
  <si>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</si>
  <si>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</si>
  <si>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CD4F0001</t>
  </si>
  <si>
    <t>BB_VC_VST_009</t>
  </si>
  <si>
    <t>Verify create batch booking for Visitor without package + apply fixed discount voucher (fixed discount for green fee)</t>
  </si>
  <si>
    <t>CDGR0001</t>
  </si>
  <si>
    <t>BB_VC_VST_010</t>
  </si>
  <si>
    <t>Verify create batch booking for Visitor without package + apply fixed discount voucher (fixed discount for caddie fee)</t>
  </si>
  <si>
    <t>CDCD0001</t>
  </si>
  <si>
    <t>BB_VC_VST_011</t>
  </si>
  <si>
    <t>Verify create batch booking for Visitor without package + apply fixed discount voucher (fixed discount for half buggy)</t>
  </si>
  <si>
    <t>CDBG0001</t>
  </si>
  <si>
    <t>BB_VC_VST_012</t>
  </si>
  <si>
    <t>Verify create batch booking for Visitor without package + apply fixed discount voucher (fixed discount for add-on package)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</si>
  <si>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</si>
  <si>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</si>
  <si>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</si>
  <si>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</si>
  <si>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BB_VC_VST_014</t>
  </si>
  <si>
    <t>Verify create batch booking for Visitor without package + apply prepaid voucher (green fee only)</t>
  </si>
  <si>
    <t>BB_VC_VST_015</t>
  </si>
  <si>
    <t>Verify create batch booking for Visitor without package + apply prepaid voucher (caddie fee only)</t>
  </si>
  <si>
    <t>Verify create batch booking for Visitor without package + apply prepaid voucher (half buggy)</t>
  </si>
  <si>
    <t>18:32</t>
  </si>
  <si>
    <t>20:56</t>
  </si>
  <si>
    <t>BB_VC_VST_016</t>
  </si>
  <si>
    <t>Verify create batch booking for Visitor without package + apply prepaid voucher (add-on package)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</si>
  <si>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</si>
  <si>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</si>
  <si>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</si>
  <si>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</si>
  <si>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</si>
  <si>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</si>
  <si>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</si>
  <si>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</si>
  <si>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</si>
  <si>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</si>
  <si>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</si>
  <si>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</si>
  <si>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</si>
  <si>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</si>
  <si>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</si>
  <si>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</si>
  <si>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</si>
  <si>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</si>
  <si>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</si>
  <si>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</si>
  <si>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</si>
  <si>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</si>
  <si>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</si>
  <si>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</si>
  <si>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</si>
  <si>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</si>
  <si>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</si>
  <si>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</si>
  <si>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</si>
  <si>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</si>
  <si>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</si>
  <si>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</si>
  <si>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</si>
  <si>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</si>
  <si>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</si>
  <si>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</si>
  <si>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</si>
  <si>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</si>
  <si>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</si>
  <si>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</si>
  <si>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</si>
  <si>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</si>
  <si>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</si>
  <si>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</si>
  <si>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</si>
  <si>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</si>
  <si>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</si>
  <si>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</si>
  <si>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</si>
  <si>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</si>
  <si>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</si>
  <si>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</si>
  <si>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</si>
  <si>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</si>
  <si>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</si>
  <si>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</si>
  <si>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</si>
  <si>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</si>
  <si>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</si>
  <si>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</si>
  <si>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</si>
  <si>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</si>
  <si>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</si>
  <si>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</si>
  <si>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</si>
  <si>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</si>
  <si>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</si>
  <si>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</si>
  <si>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</si>
  <si>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</si>
  <si>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</si>
  <si>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</si>
  <si>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</si>
  <si>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</si>
  <si>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</si>
  <si>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</si>
  <si>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</si>
  <si>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</si>
  <si>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</si>
  <si>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</si>
  <si>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</si>
  <si>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</si>
  <si>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</si>
  <si>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</si>
  <si>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</si>
  <si>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</si>
  <si>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</si>
  <si>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</si>
  <si>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</si>
  <si>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</si>
  <si>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</si>
  <si>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</si>
  <si>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</si>
  <si>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</si>
  <si>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</si>
  <si>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</si>
  <si>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</si>
  <si>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</si>
  <si>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</si>
  <si>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</si>
  <si>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</si>
  <si>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</si>
  <si>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</si>
  <si>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</si>
  <si>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</si>
  <si>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</si>
  <si>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</si>
  <si>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</si>
  <si>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</si>
  <si>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</si>
  <si>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</si>
  <si>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</si>
  <si>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</si>
  <si>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</si>
  <si>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</si>
  <si>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</si>
  <si>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</si>
  <si>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</si>
  <si>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</si>
  <si>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</si>
  <si>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</si>
  <si>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</si>
  <si>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</si>
  <si>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</si>
  <si>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</si>
  <si>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</si>
  <si>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</si>
  <si>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</si>
  <si>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</si>
  <si>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</si>
  <si>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</si>
  <si>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</si>
  <si>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</si>
  <si>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</si>
  <si>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</si>
  <si>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</si>
  <si>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</si>
  <si>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</si>
  <si>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</si>
  <si>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</si>
  <si>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</si>
  <si>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</si>
  <si>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</si>
  <si>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</si>
  <si>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</si>
  <si>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</si>
  <si>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</si>
  <si>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</si>
  <si>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</si>
  <si>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</si>
  <si>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</si>
  <si>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</si>
  <si>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</si>
  <si>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</si>
  <si>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</si>
  <si>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</si>
  <si>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</si>
  <si>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</si>
  <si>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</si>
  <si>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</si>
  <si>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</si>
  <si>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</si>
  <si>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</si>
  <si>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</si>
  <si>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</si>
  <si>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</si>
  <si>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</si>
  <si>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</si>
  <si>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</si>
  <si>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</si>
  <si>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</si>
  <si>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</si>
  <si>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</si>
  <si>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</si>
  <si>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Trần Phương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</si>
  <si>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</si>
  <si>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</si>
  <si>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</si>
  <si>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</si>
  <si>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</si>
  <si>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</si>
  <si>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</si>
  <si>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</si>
  <si>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</si>
  <si>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</si>
  <si>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</si>
  <si>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</si>
  <si>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</si>
  <si>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</si>
  <si>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</si>
  <si>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</si>
  <si>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</si>
  <si>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</si>
  <si>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</si>
  <si>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</si>
  <si>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</si>
  <si>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</si>
  <si>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</si>
  <si>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</si>
  <si>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</si>
  <si>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</si>
  <si>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</si>
  <si>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</si>
  <si>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</si>
  <si>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</si>
  <si>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</si>
  <si>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</si>
  <si>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</si>
  <si>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</si>
  <si>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</si>
  <si>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</si>
  <si>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</si>
  <si>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</si>
  <si>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</si>
  <si>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</si>
  <si>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</si>
  <si>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</si>
  <si>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</si>
  <si>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</si>
  <si>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</si>
  <si>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</si>
  <si>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</si>
  <si>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</si>
  <si>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</si>
  <si>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</si>
  <si>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</si>
  <si>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</si>
  <si>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</si>
  <si>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</si>
  <si>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</si>
  <si>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</si>
  <si>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</si>
  <si>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</si>
  <si>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</si>
  <si>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</si>
  <si>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</si>
  <si>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</si>
  <si>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</si>
  <si>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</si>
  <si>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</si>
  <si>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</si>
  <si>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</si>
  <si>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</si>
  <si>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</si>
  <si>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</si>
  <si>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</si>
  <si>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</si>
  <si>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</si>
  <si>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</si>
  <si>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</si>
  <si>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</si>
  <si>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</si>
  <si>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</si>
  <si>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</si>
  <si>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</si>
  <si>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</si>
  <si>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</si>
  <si>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</si>
  <si>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</si>
  <si>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</si>
  <si>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</si>
  <si>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</si>
  <si>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</si>
  <si>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</si>
  <si>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</si>
  <si>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</si>
  <si>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</si>
  <si>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VST_BP_001</t>
  </si>
  <si>
    <t>Kiểm tra booking price khi add voucher giảm 200k green fee</t>
  </si>
  <si>
    <t>get_booking_price_player_expect.json</t>
  </si>
  <si>
    <t>Apply voucher giảm giá thông thường: Giảm 200k green</t>
  </si>
  <si>
    <t>VST_BP_VC_GREEN_001</t>
  </si>
  <si>
    <t>VST_BP_VC_4FEE_001</t>
  </si>
  <si>
    <t>Kiểm tra booking price khi add voucher giảm 2tr1 cho green + caddie + 1/2 xe + packge</t>
  </si>
  <si>
    <t>VST_BP_VC_GREEN_10_001</t>
  </si>
  <si>
    <t>Kiểm tra booking price khi add voucher giảm 10% green fee</t>
  </si>
  <si>
    <t>VST_BP_VC_ALL_10_001</t>
  </si>
  <si>
    <t>Kiểm tra booking price khi add voucher giảm 10% all fee</t>
  </si>
  <si>
    <t>Apply voucher giảm giá cố định: Green + Caddie + 1/2 xe + Package</t>
  </si>
  <si>
    <t>VST_BP_VC_CD4FEE_001</t>
  </si>
  <si>
    <t>Kiểm tra booking price khi add voucher giảm giá cố định: Green + Caddie + 1/2 xe + Package</t>
  </si>
  <si>
    <t>BOOKING_PRICE_PLAYER2</t>
  </si>
  <si>
    <t>Kiểm tra booking price của player 1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</si>
  <si>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</si>
  <si>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</si>
  <si>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</si>
  <si>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</si>
  <si>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</si>
  <si>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</si>
  <si>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</si>
  <si>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</si>
  <si>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</si>
  <si>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</si>
  <si>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</si>
  <si>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</si>
  <si>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</si>
  <si>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</si>
  <si>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</si>
  <si>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</si>
  <si>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</si>
  <si>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</si>
  <si>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</si>
  <si>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</si>
  <si>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</si>
  <si>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</si>
  <si>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</si>
  <si>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</si>
  <si>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</si>
  <si>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</si>
  <si>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</si>
  <si>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</si>
  <si>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</si>
  <si>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</si>
  <si>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</si>
  <si>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</si>
  <si>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</si>
  <si>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</si>
  <si>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</si>
  <si>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</si>
  <si>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</si>
  <si>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</si>
  <si>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</si>
  <si>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</si>
  <si>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</si>
  <si>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</si>
  <si>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</si>
  <si>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</si>
  <si>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</si>
  <si>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</si>
  <si>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</si>
  <si>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</si>
  <si>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</si>
  <si>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</si>
  <si>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</si>
  <si>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</si>
  <si>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</si>
  <si>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</si>
  <si>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</si>
  <si>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</si>
  <si>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</si>
  <si>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</si>
  <si>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</si>
  <si>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</si>
  <si>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</si>
  <si>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</si>
  <si>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</si>
  <si>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</si>
  <si>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</si>
  <si>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</si>
  <si>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</si>
  <si>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</si>
  <si>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</si>
  <si>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</si>
  <si>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</si>
  <si>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</si>
  <si>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</si>
  <si>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</si>
  <si>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</si>
  <si>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</si>
  <si>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</si>
  <si>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</si>
  <si>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</si>
  <si>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</si>
  <si>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</si>
  <si>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</si>
  <si>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</si>
  <si>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</si>
  <si>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</si>
  <si>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</si>
  <si>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</si>
  <si>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</si>
  <si>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</si>
  <si>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</si>
  <si>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</si>
  <si>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</si>
  <si>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</si>
  <si>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</si>
  <si>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</si>
  <si>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</si>
  <si>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</si>
  <si>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</si>
  <si>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</si>
  <si>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</si>
  <si>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</si>
  <si>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</si>
  <si>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</si>
  <si>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</si>
  <si>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</si>
  <si>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</si>
  <si>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</si>
  <si>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</si>
  <si>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</si>
  <si>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</si>
  <si>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</si>
  <si>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</si>
  <si>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</si>
  <si>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</si>
  <si>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</si>
  <si>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</si>
  <si>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</si>
  <si>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</si>
  <si>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</si>
  <si>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</si>
  <si>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</si>
  <si>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</si>
  <si>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</si>
  <si>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</si>
  <si>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</si>
  <si>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</si>
  <si>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</si>
  <si>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</si>
  <si>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</si>
  <si>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</si>
  <si>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</si>
  <si>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</si>
  <si>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</si>
  <si>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</si>
  <si>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</si>
  <si>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</si>
  <si>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</si>
  <si>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</si>
  <si>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Apply voucher giảm 200k green</t>
  </si>
  <si>
    <t>VST_EB_REMOVE_VC_001</t>
  </si>
  <si>
    <t>VST_Kiểm tra xóa voucher</t>
  </si>
  <si>
    <t>[0].voucher_apply[0].id</t>
  </si>
  <si>
    <t>[0].voucher_apply[0].voucher_code</t>
  </si>
  <si>
    <t>VST_EB_VC_GREEN_001</t>
  </si>
  <si>
    <t>VST_Kiểm tra add voucher giảm giá 200k green fee</t>
  </si>
  <si>
    <t>edit_booking_1_player_voucher_request.json</t>
  </si>
  <si>
    <t>VST_EB_VC_4FEE_001</t>
  </si>
  <si>
    <t>VST_EB_VC_GREEN_10_001</t>
  </si>
  <si>
    <t>VST_Kiểm tra add voucher giảm giá 10% green fee</t>
  </si>
  <si>
    <t>VST_EB_VC_ALL_10_001</t>
  </si>
  <si>
    <t>VST_Kiểm tra add voucher giảm giá 10% all fee</t>
  </si>
  <si>
    <t>VST_EB_VC_CD4FEE_001</t>
  </si>
  <si>
    <t>VST_Kiểm tra add voucher giảm giá cố định: Green + Caddie + 1/2 xe + Package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</si>
  <si>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</si>
  <si>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</si>
  <si>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</si>
  <si>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</si>
  <si>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</si>
  <si>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</si>
  <si>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</si>
  <si>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</si>
  <si>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</si>
  <si>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</si>
  <si>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</si>
  <si>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</si>
  <si>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</si>
  <si>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</si>
  <si>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</si>
  <si>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</si>
  <si>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</si>
  <si>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</si>
  <si>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</si>
  <si>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</si>
  <si>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</si>
  <si>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</si>
  <si>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</si>
  <si>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</si>
  <si>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</si>
  <si>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</si>
  <si>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</si>
  <si>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</si>
  <si>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</si>
  <si>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</si>
  <si>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</si>
  <si>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</si>
  <si>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</si>
  <si>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</si>
  <si>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</si>
  <si>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</si>
  <si>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</si>
  <si>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</si>
  <si>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</si>
  <si>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</si>
  <si>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</si>
  <si>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</si>
  <si>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</si>
  <si>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</si>
  <si>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</si>
  <si>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</si>
  <si>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</si>
  <si>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</si>
  <si>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</si>
  <si>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</si>
  <si>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</si>
  <si>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</si>
  <si>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</si>
  <si>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</si>
  <si>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</si>
  <si>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</si>
  <si>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</si>
  <si>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</si>
  <si>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</si>
  <si>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</si>
  <si>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</si>
  <si>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</si>
  <si>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</si>
  <si>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</si>
  <si>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</si>
  <si>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</si>
  <si>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</si>
  <si>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</si>
  <si>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</si>
  <si>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</si>
  <si>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</si>
  <si>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</si>
  <si>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</si>
  <si>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</si>
  <si>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</si>
  <si>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</si>
  <si>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</si>
  <si>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</si>
  <si>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</si>
  <si>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</si>
  <si>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</si>
  <si>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</si>
  <si>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</si>
  <si>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</si>
  <si>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</si>
  <si>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</si>
  <si>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</si>
  <si>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</si>
  <si>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</si>
  <si>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</si>
  <si>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</si>
  <si>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</si>
  <si>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</si>
  <si>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</si>
  <si>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</si>
  <si>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</si>
  <si>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</si>
  <si>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</si>
  <si>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</si>
  <si>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</si>
  <si>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</si>
  <si>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</si>
  <si>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</si>
  <si>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</si>
  <si>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</si>
  <si>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BB_001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</si>
  <si>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</si>
  <si>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</si>
  <si>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</si>
  <si>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</si>
  <si>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</si>
  <si>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</si>
  <si>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</si>
  <si>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</si>
  <si>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</si>
  <si>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</si>
  <si>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</si>
  <si>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</si>
  <si>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</si>
  <si>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</si>
  <si>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</si>
  <si>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</si>
  <si>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</si>
  <si>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</si>
  <si>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</si>
  <si>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</si>
  <si>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</si>
  <si>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</si>
  <si>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</si>
  <si>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</si>
  <si>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</si>
  <si>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</si>
  <si>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</si>
  <si>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</si>
  <si>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</si>
  <si>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</si>
  <si>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</si>
  <si>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</si>
  <si>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</si>
  <si>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</si>
  <si>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</si>
  <si>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</si>
  <si>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</si>
  <si>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</si>
  <si>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</si>
  <si>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</si>
  <si>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</si>
  <si>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</si>
  <si>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</si>
  <si>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</si>
  <si>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</si>
  <si>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</si>
  <si>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</si>
  <si>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</si>
  <si>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</si>
  <si>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</si>
  <si>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</si>
  <si>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</si>
  <si>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</si>
  <si>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</si>
  <si>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</si>
  <si>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</si>
  <si>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</si>
  <si>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</si>
  <si>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</si>
  <si>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</si>
  <si>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</si>
  <si>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</si>
  <si>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</si>
  <si>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</si>
  <si>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</si>
  <si>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</si>
  <si>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</si>
  <si>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</si>
  <si>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</si>
  <si>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</si>
  <si>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</si>
  <si>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</si>
  <si>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</si>
  <si>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</si>
  <si>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</si>
  <si>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</si>
  <si>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</si>
  <si>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</si>
  <si>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</si>
  <si>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</si>
  <si>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</si>
  <si>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</si>
  <si>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</si>
  <si>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</si>
  <si>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</si>
  <si>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</si>
  <si>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</si>
  <si>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Verify create batch booking for Visitor without package + apply normal voucher (fixed amount, apply to all fee types)</t>
  </si>
  <si>
    <t>Khách lẻ VC thông thường</t>
  </si>
  <si>
    <t>2</t>
  </si>
  <si>
    <t>[{"id": 23934, "voucher_code": "ATCN0001"}]</t>
  </si>
  <si>
    <t>BB_VST_006</t>
  </si>
  <si>
    <t>Verify create batch booking for Visitor without package + apply normal voucher (fixed amount, apply to green fee only)</t>
  </si>
  <si>
    <t>VST apply normal voucher (fixed amount, apply to green fee only)</t>
  </si>
  <si>
    <t>[{"id": 23936, "voucher_code": "ATGR0001"}]</t>
  </si>
  <si>
    <t>BB_VST_007</t>
  </si>
  <si>
    <t>Verify create batch booking for Visitor without package + apply normal voucher (fixed amount, apply to caddie fee only)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</si>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</sst>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10"/>
      <color theme="1"/>
      <name val="Arial"/>
      <charset val="134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2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3" borderId="17" applyNumberFormat="0" applyAlignment="0" applyProtection="0">
      <alignment vertical="center"/>
    </xf>
    <xf numFmtId="0" fontId="23" fillId="14" borderId="18" applyNumberFormat="0" applyAlignment="0" applyProtection="0">
      <alignment vertical="center"/>
    </xf>
    <xf numFmtId="0" fontId="24" fillId="14" borderId="17" applyNumberFormat="0" applyAlignment="0" applyProtection="0">
      <alignment vertical="center"/>
    </xf>
    <xf numFmtId="0" fontId="25" fillId="15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</cellStyleXfs>
  <cellXfs count="12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0" fillId="4" borderId="0" xfId="0" applyFill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5" fillId="6" borderId="1" xfId="0" applyFont="1" applyFill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1" fillId="4" borderId="8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0" fillId="4" borderId="9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8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4" borderId="1" xfId="0" applyFont="1" applyFill="1" applyBorder="1" applyAlignment="1">
      <alignment horizontal="left" vertical="center" wrapText="1" readingOrder="1"/>
    </xf>
    <xf numFmtId="0" fontId="2" fillId="4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vertical="center" wrapText="1" readingOrder="1"/>
    </xf>
    <xf numFmtId="0" fontId="0" fillId="4" borderId="0" xfId="0" applyFill="1" applyBorder="1" applyAlignment="1">
      <alignment vertical="center" wrapText="1"/>
    </xf>
    <xf numFmtId="0" fontId="0" fillId="4" borderId="0" xfId="0" applyNumberForma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 readingOrder="1"/>
    </xf>
    <xf numFmtId="0" fontId="1" fillId="2" borderId="1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7" borderId="12" xfId="0" applyFont="1" applyFill="1" applyBorder="1" applyAlignment="1">
      <alignment vertical="center" wrapText="1" readingOrder="1"/>
    </xf>
    <xf numFmtId="0" fontId="1" fillId="7" borderId="13" xfId="0" applyFont="1" applyFill="1" applyBorder="1" applyAlignment="1">
      <alignment vertical="center" wrapText="1" readingOrder="1"/>
    </xf>
    <xf numFmtId="0" fontId="1" fillId="2" borderId="13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8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8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0" fillId="8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20" fontId="0" fillId="0" borderId="1" xfId="0" applyNumberFormat="1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right" vertical="center" wrapText="1" readingOrder="1"/>
    </xf>
    <xf numFmtId="0" fontId="14" fillId="0" borderId="1" xfId="0" applyFont="1" applyBorder="1" applyAlignment="1">
      <alignment horizontal="right" vertical="center" wrapText="1" readingOrder="1"/>
    </xf>
    <xf numFmtId="0" fontId="0" fillId="4" borderId="1" xfId="0" applyFont="1" applyFill="1" applyBorder="1" applyAlignment="1">
      <alignment vertical="center"/>
    </xf>
    <xf numFmtId="0" fontId="2" fillId="8" borderId="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right" vertical="center" wrapText="1" readingOrder="1"/>
    </xf>
    <xf numFmtId="0" fontId="0" fillId="9" borderId="0" xfId="0" applyFill="1" applyAlignment="1">
      <alignment vertical="center" wrapText="1"/>
    </xf>
    <xf numFmtId="0" fontId="0" fillId="10" borderId="1" xfId="0" applyFont="1" applyFill="1" applyBorder="1" applyAlignment="1">
      <alignment vertical="center" wrapText="1"/>
    </xf>
    <xf numFmtId="0" fontId="0" fillId="9" borderId="1" xfId="0" applyFont="1" applyFill="1" applyBorder="1" applyAlignment="1">
      <alignment vertical="center" wrapText="1"/>
    </xf>
    <xf numFmtId="0" fontId="3" fillId="9" borderId="3" xfId="0" applyFont="1" applyFill="1" applyBorder="1" applyAlignment="1">
      <alignment vertical="center" wrapText="1" readingOrder="1"/>
    </xf>
    <xf numFmtId="0" fontId="0" fillId="9" borderId="3" xfId="0" applyFont="1" applyFill="1" applyBorder="1" applyAlignment="1">
      <alignment vertical="center" wrapText="1"/>
    </xf>
    <xf numFmtId="0" fontId="0" fillId="11" borderId="1" xfId="0" applyFont="1" applyFill="1" applyBorder="1" applyAlignment="1">
      <alignment vertical="center" wrapText="1"/>
    </xf>
    <xf numFmtId="49" fontId="0" fillId="9" borderId="1" xfId="0" applyNumberFormat="1" applyFont="1" applyFill="1" applyBorder="1" applyAlignment="1">
      <alignment vertical="center" wrapText="1"/>
    </xf>
    <xf numFmtId="0" fontId="0" fillId="10" borderId="1" xfId="0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left" vertical="center" wrapText="1" readingOrder="1"/>
    </xf>
    <xf numFmtId="0" fontId="14" fillId="0" borderId="1" xfId="0" applyFont="1" applyBorder="1" applyAlignment="1">
      <alignment horizontal="right" vertical="center" wrapText="1" readingOrder="1"/>
    </xf>
    <xf numFmtId="0" fontId="0" fillId="9" borderId="1" xfId="0" applyFont="1" applyFill="1" applyBorder="1" applyAlignment="1">
      <alignment vertical="center"/>
    </xf>
    <xf numFmtId="0" fontId="0" fillId="9" borderId="4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0" fontId="0" fillId="9" borderId="1" xfId="0" applyNumberForma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"/>
  <sheetViews>
    <sheetView topLeftCell="H1" workbookViewId="0">
      <selection activeCell="T2" sqref="T2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28" customFormat="1" ht="43" customHeight="1" spans="1:27">
      <c r="A2" s="7" t="s">
        <v>27</v>
      </c>
      <c r="B2" s="7" t="s">
        <v>28</v>
      </c>
      <c r="C2" s="82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07" t="s">
        <v>35</v>
      </c>
      <c r="L2" s="7">
        <v>18</v>
      </c>
      <c r="M2" s="7" t="s">
        <v>36</v>
      </c>
      <c r="N2" s="107">
        <v>100</v>
      </c>
      <c r="O2" s="7" t="s">
        <v>36</v>
      </c>
      <c r="P2" s="7" t="s">
        <v>37</v>
      </c>
      <c r="Q2" s="21">
        <v>200</v>
      </c>
      <c r="R2" s="21">
        <v>1</v>
      </c>
      <c r="S2" s="21">
        <v>2000000</v>
      </c>
      <c r="T2" s="21">
        <v>2000000</v>
      </c>
      <c r="U2" s="21">
        <f>V2+W2</f>
        <v>1600000</v>
      </c>
      <c r="V2" s="51">
        <v>1000000</v>
      </c>
      <c r="W2" s="21">
        <v>600000</v>
      </c>
      <c r="X2" s="21">
        <v>400000</v>
      </c>
      <c r="Y2" s="21">
        <f t="shared" ref="Y2:Y11" si="0">L2</f>
        <v>18</v>
      </c>
      <c r="Z2" s="21" t="str">
        <f t="shared" ref="Z2:Z11" si="1">H2</f>
        <v>4D</v>
      </c>
      <c r="AA2" s="51">
        <v>23456</v>
      </c>
    </row>
    <row r="3" s="28" customFormat="1" ht="43" customHeight="1" spans="1:27">
      <c r="A3" s="7" t="s">
        <v>38</v>
      </c>
      <c r="B3" s="7" t="s">
        <v>39</v>
      </c>
      <c r="C3" s="82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07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1">
        <v>200</v>
      </c>
      <c r="R3" s="21">
        <v>1</v>
      </c>
      <c r="S3" s="21">
        <v>2000000</v>
      </c>
      <c r="T3" s="21">
        <v>2000000</v>
      </c>
      <c r="U3" s="21">
        <f>V3+W3</f>
        <v>1600000</v>
      </c>
      <c r="V3" s="51">
        <v>1000000</v>
      </c>
      <c r="W3" s="21">
        <v>600000</v>
      </c>
      <c r="X3" s="21">
        <v>400000</v>
      </c>
      <c r="Y3" s="21">
        <f t="shared" si="0"/>
        <v>18</v>
      </c>
      <c r="Z3" s="21">
        <f t="shared" si="1"/>
        <v>1</v>
      </c>
      <c r="AA3" s="51">
        <v>23456</v>
      </c>
    </row>
    <row r="4" s="28" customFormat="1" ht="43" customHeight="1" spans="1:27">
      <c r="A4" s="7" t="s">
        <v>40</v>
      </c>
      <c r="B4" s="7" t="s">
        <v>41</v>
      </c>
      <c r="C4" s="82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1"/>
      <c r="J4" s="7">
        <v>1</v>
      </c>
      <c r="K4" s="107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1">
        <v>200</v>
      </c>
      <c r="R4" s="21">
        <v>1</v>
      </c>
      <c r="S4" s="21">
        <v>2000000</v>
      </c>
      <c r="T4" s="21">
        <v>2000000</v>
      </c>
      <c r="U4" s="21">
        <f>V4+W4</f>
        <v>1600000</v>
      </c>
      <c r="V4" s="51">
        <v>1000000</v>
      </c>
      <c r="W4" s="21">
        <v>600000</v>
      </c>
      <c r="X4" s="21">
        <v>400000</v>
      </c>
      <c r="Y4" s="21">
        <f t="shared" si="0"/>
        <v>18</v>
      </c>
      <c r="Z4" s="21">
        <f t="shared" si="1"/>
        <v>2</v>
      </c>
      <c r="AA4" s="51">
        <v>23456</v>
      </c>
    </row>
    <row r="5" s="28" customFormat="1" ht="43" customHeight="1" spans="1:27">
      <c r="A5" s="7" t="s">
        <v>43</v>
      </c>
      <c r="B5" s="21" t="s">
        <v>44</v>
      </c>
      <c r="C5" s="82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1"/>
      <c r="J5" s="7">
        <v>1</v>
      </c>
      <c r="K5" s="107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1">
        <v>200</v>
      </c>
      <c r="R5" s="21">
        <v>1</v>
      </c>
      <c r="S5" s="21">
        <v>0</v>
      </c>
      <c r="T5" s="21">
        <v>0</v>
      </c>
      <c r="U5" s="21">
        <v>0</v>
      </c>
      <c r="V5" s="51">
        <v>0</v>
      </c>
      <c r="W5" s="21">
        <v>0</v>
      </c>
      <c r="X5" s="21">
        <v>0</v>
      </c>
      <c r="Y5" s="21">
        <f t="shared" si="0"/>
        <v>18</v>
      </c>
      <c r="Z5" s="21">
        <f t="shared" si="1"/>
        <v>7</v>
      </c>
      <c r="AA5" s="51">
        <v>23456710</v>
      </c>
    </row>
    <row r="6" s="28" customFormat="1" ht="43" customHeight="1" spans="1:27">
      <c r="A6" s="7" t="s">
        <v>46</v>
      </c>
      <c r="B6" s="7" t="s">
        <v>47</v>
      </c>
      <c r="C6" s="82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1"/>
      <c r="J6" s="7">
        <v>1</v>
      </c>
      <c r="K6" s="107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1">
        <v>200</v>
      </c>
      <c r="R6" s="21">
        <v>1</v>
      </c>
      <c r="S6" s="21">
        <v>2000000</v>
      </c>
      <c r="T6" s="21">
        <v>2000000</v>
      </c>
      <c r="U6" s="21">
        <f t="shared" ref="U6:U11" si="2">V6+W6</f>
        <v>1600000</v>
      </c>
      <c r="V6" s="51">
        <v>1000000</v>
      </c>
      <c r="W6" s="21">
        <v>600000</v>
      </c>
      <c r="X6" s="21">
        <v>400000</v>
      </c>
      <c r="Y6" s="21">
        <f t="shared" si="0"/>
        <v>18</v>
      </c>
      <c r="Z6" s="21" t="str">
        <f t="shared" si="1"/>
        <v>5D</v>
      </c>
      <c r="AA6" s="51">
        <v>23456</v>
      </c>
    </row>
    <row r="7" s="28" customFormat="1" ht="43" customHeight="1" spans="1:27">
      <c r="A7" s="7" t="s">
        <v>49</v>
      </c>
      <c r="B7" s="7" t="s">
        <v>50</v>
      </c>
      <c r="C7" s="82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25" t="s">
        <v>51</v>
      </c>
      <c r="J7" s="7">
        <v>1</v>
      </c>
      <c r="K7" s="107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1">
        <v>200</v>
      </c>
      <c r="R7" s="21">
        <v>1</v>
      </c>
      <c r="S7" s="21">
        <v>2000000</v>
      </c>
      <c r="T7" s="21">
        <v>2000000</v>
      </c>
      <c r="U7" s="21">
        <f t="shared" si="2"/>
        <v>1600000</v>
      </c>
      <c r="V7" s="51">
        <v>1000000</v>
      </c>
      <c r="W7" s="21">
        <v>600000</v>
      </c>
      <c r="X7" s="21">
        <v>400000</v>
      </c>
      <c r="Y7" s="21">
        <f t="shared" si="0"/>
        <v>18</v>
      </c>
      <c r="Z7" s="21" t="str">
        <f t="shared" si="1"/>
        <v>4D</v>
      </c>
      <c r="AA7" s="51">
        <v>23456</v>
      </c>
    </row>
    <row r="8" s="28" customFormat="1" ht="43" customHeight="1" spans="1:27">
      <c r="A8" s="7" t="s">
        <v>52</v>
      </c>
      <c r="B8" s="7" t="s">
        <v>53</v>
      </c>
      <c r="C8" s="82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26" t="s">
        <v>54</v>
      </c>
      <c r="J8" s="7">
        <v>1</v>
      </c>
      <c r="K8" s="107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1">
        <v>200</v>
      </c>
      <c r="R8" s="21">
        <v>1</v>
      </c>
      <c r="S8" s="21">
        <v>2000000</v>
      </c>
      <c r="T8" s="21">
        <v>2000000</v>
      </c>
      <c r="U8" s="21">
        <f t="shared" si="2"/>
        <v>1600000</v>
      </c>
      <c r="V8" s="51">
        <v>1000000</v>
      </c>
      <c r="W8" s="21">
        <v>600000</v>
      </c>
      <c r="X8" s="21">
        <v>400000</v>
      </c>
      <c r="Y8" s="21">
        <f t="shared" si="0"/>
        <v>18</v>
      </c>
      <c r="Z8" s="21">
        <f t="shared" si="1"/>
        <v>1</v>
      </c>
      <c r="AA8" s="51">
        <v>23456</v>
      </c>
    </row>
    <row r="9" s="28" customFormat="1" ht="43" customHeight="1" spans="1:27">
      <c r="A9" s="7" t="s">
        <v>55</v>
      </c>
      <c r="B9" s="7" t="s">
        <v>56</v>
      </c>
      <c r="C9" s="82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26" t="s">
        <v>57</v>
      </c>
      <c r="J9" s="7">
        <v>1</v>
      </c>
      <c r="K9" s="107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1">
        <v>200</v>
      </c>
      <c r="R9" s="21">
        <v>1</v>
      </c>
      <c r="S9" s="21">
        <v>2000000</v>
      </c>
      <c r="T9" s="21">
        <v>2000000</v>
      </c>
      <c r="U9" s="21">
        <f t="shared" si="2"/>
        <v>1600000</v>
      </c>
      <c r="V9" s="51">
        <v>1000000</v>
      </c>
      <c r="W9" s="21">
        <v>600000</v>
      </c>
      <c r="X9" s="21">
        <v>400000</v>
      </c>
      <c r="Y9" s="21">
        <f t="shared" si="0"/>
        <v>18</v>
      </c>
      <c r="Z9" s="21">
        <f t="shared" si="1"/>
        <v>2</v>
      </c>
      <c r="AA9" s="51">
        <v>23456</v>
      </c>
    </row>
    <row r="10" s="28" customFormat="1" ht="43" customHeight="1" spans="1:27">
      <c r="A10" s="7" t="s">
        <v>58</v>
      </c>
      <c r="B10" s="7" t="s">
        <v>59</v>
      </c>
      <c r="C10" s="82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26" t="s">
        <v>60</v>
      </c>
      <c r="J10" s="7">
        <v>1</v>
      </c>
      <c r="K10" s="107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1">
        <v>200</v>
      </c>
      <c r="R10" s="21">
        <v>1</v>
      </c>
      <c r="S10" s="21">
        <v>2000000</v>
      </c>
      <c r="T10" s="21">
        <v>2000000</v>
      </c>
      <c r="U10" s="21">
        <f t="shared" si="2"/>
        <v>1600000</v>
      </c>
      <c r="V10" s="51">
        <v>1000000</v>
      </c>
      <c r="W10" s="21">
        <v>600000</v>
      </c>
      <c r="X10" s="21">
        <v>400000</v>
      </c>
      <c r="Y10" s="21">
        <f t="shared" si="0"/>
        <v>18</v>
      </c>
      <c r="Z10" s="21" t="str">
        <f t="shared" si="1"/>
        <v>5D</v>
      </c>
      <c r="AA10" s="51">
        <v>23456</v>
      </c>
    </row>
    <row r="11" s="28" customFormat="1" ht="43" customHeight="1" spans="1:27">
      <c r="A11" s="7" t="s">
        <v>27</v>
      </c>
      <c r="B11" s="7" t="s">
        <v>61</v>
      </c>
      <c r="C11" s="82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62</v>
      </c>
      <c r="I11" s="7"/>
      <c r="J11" s="7">
        <v>1</v>
      </c>
      <c r="K11" s="107" t="s">
        <v>35</v>
      </c>
      <c r="L11" s="7">
        <v>18</v>
      </c>
      <c r="M11" s="7" t="s">
        <v>36</v>
      </c>
      <c r="N11" s="107">
        <v>100</v>
      </c>
      <c r="O11" s="7" t="s">
        <v>36</v>
      </c>
      <c r="P11" s="7" t="s">
        <v>37</v>
      </c>
      <c r="Q11" s="21">
        <v>200</v>
      </c>
      <c r="R11" s="21">
        <v>1</v>
      </c>
      <c r="S11" s="21">
        <v>2100000</v>
      </c>
      <c r="T11" s="21">
        <v>2100000</v>
      </c>
      <c r="U11" s="21">
        <f t="shared" si="2"/>
        <v>1600000</v>
      </c>
      <c r="V11" s="51">
        <v>1000000</v>
      </c>
      <c r="W11" s="21">
        <v>600000</v>
      </c>
      <c r="X11" s="21">
        <v>400000</v>
      </c>
      <c r="Y11" s="21">
        <f t="shared" si="0"/>
        <v>18</v>
      </c>
      <c r="Z11" s="21" t="str">
        <f t="shared" si="1"/>
        <v>VST</v>
      </c>
      <c r="AA11" s="51">
        <v>23456701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1"/>
  <sheetViews>
    <sheetView topLeftCell="K1" workbookViewId="0">
      <selection activeCell="B15" sqref="B15:B16"/>
    </sheetView>
  </sheetViews>
  <sheetFormatPr defaultColWidth="9.14285714285714" defaultRowHeight="30" customHeight="1"/>
  <cols>
    <col min="1" max="1" width="2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63</v>
      </c>
      <c r="P1" s="38" t="s">
        <v>64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8" t="s">
        <v>26</v>
      </c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  <c r="AY1" s="86"/>
      <c r="AZ1" s="86"/>
    </row>
    <row r="2" s="28" customFormat="1" ht="23" customHeight="1" spans="1:52">
      <c r="A2" s="30"/>
      <c r="B2" s="31" t="s">
        <v>65</v>
      </c>
      <c r="C2" s="32"/>
      <c r="D2" s="32"/>
      <c r="E2" s="33"/>
      <c r="F2" s="33"/>
      <c r="G2" s="33"/>
      <c r="H2" s="33"/>
      <c r="I2" s="33"/>
      <c r="J2" s="33"/>
      <c r="K2" s="33"/>
      <c r="L2" s="33"/>
      <c r="M2" s="40"/>
      <c r="N2" s="40"/>
      <c r="O2" s="33"/>
      <c r="P2" s="33"/>
      <c r="Q2" s="33"/>
      <c r="R2" s="33"/>
      <c r="S2" s="33"/>
      <c r="T2" s="40"/>
      <c r="U2" s="33"/>
      <c r="V2" s="40"/>
      <c r="W2" s="33"/>
      <c r="X2" s="33"/>
      <c r="Y2" s="33"/>
      <c r="Z2" s="33"/>
      <c r="AA2" s="33"/>
      <c r="AB2" s="43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7"/>
      <c r="AO2" s="67"/>
      <c r="AP2" s="68"/>
      <c r="AQ2" s="68"/>
      <c r="AR2" s="68"/>
      <c r="AS2" s="68"/>
      <c r="AT2" s="68"/>
      <c r="AU2" s="69"/>
      <c r="AV2" s="68"/>
      <c r="AW2" s="68"/>
      <c r="AX2" s="68"/>
      <c r="AY2" s="68"/>
      <c r="AZ2" s="69"/>
    </row>
    <row r="3" s="28" customFormat="1" ht="43" customHeight="1" spans="1:52">
      <c r="A3" s="7" t="s">
        <v>66</v>
      </c>
      <c r="B3" s="7" t="s">
        <v>67</v>
      </c>
      <c r="C3" s="82" t="s">
        <v>29</v>
      </c>
      <c r="D3" s="7" t="s">
        <v>68</v>
      </c>
      <c r="E3" s="4" t="s">
        <v>31</v>
      </c>
      <c r="F3" s="4" t="s">
        <v>32</v>
      </c>
      <c r="G3" s="7" t="s">
        <v>33</v>
      </c>
      <c r="H3" s="7" t="s">
        <v>62</v>
      </c>
      <c r="I3" s="7"/>
      <c r="J3" s="7">
        <v>1</v>
      </c>
      <c r="K3" s="107" t="s">
        <v>35</v>
      </c>
      <c r="L3" s="7">
        <v>18</v>
      </c>
      <c r="M3" s="7" t="s">
        <v>36</v>
      </c>
      <c r="N3" s="107">
        <v>100</v>
      </c>
      <c r="O3" s="7">
        <v>35537</v>
      </c>
      <c r="P3" s="7" t="s">
        <v>69</v>
      </c>
      <c r="Q3" s="7" t="s">
        <v>37</v>
      </c>
      <c r="R3" s="21">
        <v>200</v>
      </c>
      <c r="S3" s="21">
        <v>1</v>
      </c>
      <c r="T3" s="21">
        <v>1900000</v>
      </c>
      <c r="U3" s="21">
        <v>1900000</v>
      </c>
      <c r="V3" s="21">
        <f>W3+X3</f>
        <v>1400000</v>
      </c>
      <c r="W3" s="51">
        <v>800000</v>
      </c>
      <c r="X3" s="21">
        <v>600000</v>
      </c>
      <c r="Y3" s="21">
        <v>400000</v>
      </c>
      <c r="Z3" s="21">
        <f t="shared" ref="Z3:Z7" si="0">L3</f>
        <v>18</v>
      </c>
      <c r="AA3" s="21" t="str">
        <f t="shared" ref="AA3:AA7" si="1">H3</f>
        <v>VST</v>
      </c>
      <c r="AB3" s="51">
        <v>23456701</v>
      </c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</row>
    <row r="4" s="28" customFormat="1" ht="23" customHeight="1" spans="1:52">
      <c r="A4" s="30"/>
      <c r="B4" s="65" t="s">
        <v>70</v>
      </c>
      <c r="C4" s="65"/>
      <c r="D4" s="65"/>
      <c r="E4" s="65"/>
      <c r="F4" s="65"/>
      <c r="G4" s="43"/>
      <c r="H4" s="43"/>
      <c r="I4" s="43"/>
      <c r="J4" s="43"/>
      <c r="K4" s="43"/>
      <c r="L4" s="43"/>
      <c r="M4" s="124"/>
      <c r="N4" s="124"/>
      <c r="O4" s="43"/>
      <c r="P4" s="43"/>
      <c r="Q4" s="43"/>
      <c r="R4" s="43"/>
      <c r="S4" s="43"/>
      <c r="T4" s="124"/>
      <c r="U4" s="43"/>
      <c r="V4" s="124"/>
      <c r="W4" s="43"/>
      <c r="X4" s="43"/>
      <c r="Y4" s="43"/>
      <c r="Z4" s="43"/>
      <c r="AA4" s="43"/>
      <c r="AB4" s="43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7"/>
      <c r="AO4" s="67"/>
      <c r="AP4" s="68"/>
      <c r="AQ4" s="68"/>
      <c r="AR4" s="68"/>
      <c r="AS4" s="68"/>
      <c r="AT4" s="68"/>
      <c r="AU4" s="69"/>
      <c r="AV4" s="68"/>
      <c r="AW4" s="68"/>
      <c r="AX4" s="68"/>
      <c r="AY4" s="68"/>
      <c r="AZ4" s="69"/>
    </row>
    <row r="5" s="28" customFormat="1" ht="60" customHeight="1" spans="1:52">
      <c r="A5" s="7" t="s">
        <v>71</v>
      </c>
      <c r="B5" s="7" t="s">
        <v>72</v>
      </c>
      <c r="C5" s="82" t="s">
        <v>29</v>
      </c>
      <c r="D5" s="7" t="s">
        <v>68</v>
      </c>
      <c r="E5" s="4" t="s">
        <v>31</v>
      </c>
      <c r="F5" s="4" t="s">
        <v>32</v>
      </c>
      <c r="G5" s="7" t="s">
        <v>33</v>
      </c>
      <c r="H5" s="7" t="s">
        <v>62</v>
      </c>
      <c r="I5" s="7"/>
      <c r="J5" s="7">
        <v>1</v>
      </c>
      <c r="K5" s="107" t="s">
        <v>35</v>
      </c>
      <c r="L5" s="7">
        <v>18</v>
      </c>
      <c r="M5" s="7" t="s">
        <v>36</v>
      </c>
      <c r="N5" s="107">
        <v>100</v>
      </c>
      <c r="O5" s="109">
        <v>61351</v>
      </c>
      <c r="P5" s="46" t="s">
        <v>73</v>
      </c>
      <c r="Q5" s="7" t="s">
        <v>37</v>
      </c>
      <c r="R5" s="21">
        <v>200</v>
      </c>
      <c r="S5" s="21">
        <v>1</v>
      </c>
      <c r="T5" s="21">
        <v>0</v>
      </c>
      <c r="U5" s="21">
        <v>0</v>
      </c>
      <c r="V5" s="21">
        <v>0</v>
      </c>
      <c r="W5" s="51">
        <v>0</v>
      </c>
      <c r="X5" s="21">
        <v>0</v>
      </c>
      <c r="Y5" s="21">
        <v>0</v>
      </c>
      <c r="Z5" s="21">
        <f t="shared" si="0"/>
        <v>18</v>
      </c>
      <c r="AA5" s="21" t="str">
        <f t="shared" si="1"/>
        <v>VST</v>
      </c>
      <c r="AB5" s="51">
        <v>23456701</v>
      </c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</row>
    <row r="6" s="28" customFormat="1" ht="23" customHeight="1" spans="1:52">
      <c r="A6" s="30"/>
      <c r="B6" s="65" t="s">
        <v>74</v>
      </c>
      <c r="C6" s="65"/>
      <c r="D6" s="65"/>
      <c r="E6" s="65"/>
      <c r="F6" s="65"/>
      <c r="G6" s="43"/>
      <c r="H6" s="43"/>
      <c r="I6" s="43"/>
      <c r="J6" s="43"/>
      <c r="K6" s="43"/>
      <c r="L6" s="43"/>
      <c r="M6" s="124"/>
      <c r="N6" s="124"/>
      <c r="O6" s="43"/>
      <c r="P6" s="43"/>
      <c r="Q6" s="43"/>
      <c r="R6" s="43"/>
      <c r="S6" s="43"/>
      <c r="T6" s="124"/>
      <c r="U6" s="43"/>
      <c r="V6" s="124"/>
      <c r="W6" s="43"/>
      <c r="X6" s="43"/>
      <c r="Y6" s="43"/>
      <c r="Z6" s="43"/>
      <c r="AA6" s="43"/>
      <c r="AB6" s="4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7"/>
      <c r="AO6" s="67"/>
      <c r="AP6" s="68"/>
      <c r="AQ6" s="68"/>
      <c r="AR6" s="68"/>
      <c r="AS6" s="68"/>
      <c r="AT6" s="68"/>
      <c r="AU6" s="69"/>
      <c r="AV6" s="68"/>
      <c r="AW6" s="68"/>
      <c r="AX6" s="68"/>
      <c r="AY6" s="68"/>
      <c r="AZ6" s="69"/>
    </row>
    <row r="7" s="28" customFormat="1" ht="60" customHeight="1" spans="1:52">
      <c r="A7" s="7" t="s">
        <v>75</v>
      </c>
      <c r="B7" s="7" t="s">
        <v>76</v>
      </c>
      <c r="C7" s="82" t="s">
        <v>29</v>
      </c>
      <c r="D7" s="7" t="s">
        <v>68</v>
      </c>
      <c r="E7" s="4" t="s">
        <v>31</v>
      </c>
      <c r="F7" s="4" t="s">
        <v>32</v>
      </c>
      <c r="G7" s="7" t="s">
        <v>33</v>
      </c>
      <c r="H7" s="7" t="s">
        <v>62</v>
      </c>
      <c r="I7" s="7"/>
      <c r="J7" s="7">
        <v>1</v>
      </c>
      <c r="K7" s="107" t="s">
        <v>35</v>
      </c>
      <c r="L7" s="7">
        <v>18</v>
      </c>
      <c r="M7" s="7" t="s">
        <v>36</v>
      </c>
      <c r="N7" s="107">
        <v>100</v>
      </c>
      <c r="O7" s="47">
        <v>35541</v>
      </c>
      <c r="P7" s="48" t="s">
        <v>77</v>
      </c>
      <c r="Q7" s="7" t="s">
        <v>37</v>
      </c>
      <c r="R7" s="21">
        <v>200</v>
      </c>
      <c r="S7" s="21">
        <v>1</v>
      </c>
      <c r="T7" s="21">
        <v>2000000</v>
      </c>
      <c r="U7" s="21">
        <v>2000000</v>
      </c>
      <c r="V7" s="21">
        <v>1500000</v>
      </c>
      <c r="W7" s="51">
        <v>900000</v>
      </c>
      <c r="X7" s="21">
        <v>600000</v>
      </c>
      <c r="Y7" s="21">
        <v>400000</v>
      </c>
      <c r="Z7" s="21">
        <f t="shared" si="0"/>
        <v>18</v>
      </c>
      <c r="AA7" s="21" t="str">
        <f t="shared" si="1"/>
        <v>VST</v>
      </c>
      <c r="AB7" s="51">
        <v>23456701</v>
      </c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</row>
    <row r="8" s="28" customFormat="1" ht="23" customHeight="1" spans="1:52">
      <c r="A8" s="30"/>
      <c r="B8" s="65" t="s">
        <v>78</v>
      </c>
      <c r="C8" s="65"/>
      <c r="D8" s="65"/>
      <c r="E8" s="65"/>
      <c r="F8" s="65"/>
      <c r="G8" s="43"/>
      <c r="H8" s="43"/>
      <c r="I8" s="43"/>
      <c r="J8" s="43"/>
      <c r="K8" s="43"/>
      <c r="L8" s="43"/>
      <c r="M8" s="124"/>
      <c r="N8" s="124"/>
      <c r="O8" s="43"/>
      <c r="P8" s="43"/>
      <c r="Q8" s="43"/>
      <c r="R8" s="43"/>
      <c r="S8" s="43"/>
      <c r="T8" s="124"/>
      <c r="U8" s="43"/>
      <c r="V8" s="124"/>
      <c r="W8" s="43"/>
      <c r="X8" s="43"/>
      <c r="Y8" s="43"/>
      <c r="Z8" s="43"/>
      <c r="AA8" s="43"/>
      <c r="AB8" s="4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7"/>
      <c r="AO8" s="67"/>
      <c r="AP8" s="68"/>
      <c r="AQ8" s="68"/>
      <c r="AR8" s="68"/>
      <c r="AS8" s="68"/>
      <c r="AT8" s="68"/>
      <c r="AU8" s="69"/>
      <c r="AV8" s="68"/>
      <c r="AW8" s="68"/>
      <c r="AX8" s="68"/>
      <c r="AY8" s="68"/>
      <c r="AZ8" s="69"/>
    </row>
    <row r="9" s="28" customFormat="1" ht="51" customHeight="1" spans="1:52">
      <c r="A9" s="7" t="s">
        <v>79</v>
      </c>
      <c r="B9" s="7" t="s">
        <v>80</v>
      </c>
      <c r="C9" s="82" t="s">
        <v>29</v>
      </c>
      <c r="D9" s="7" t="s">
        <v>68</v>
      </c>
      <c r="E9" s="4" t="s">
        <v>31</v>
      </c>
      <c r="F9" s="4" t="s">
        <v>32</v>
      </c>
      <c r="G9" s="7" t="s">
        <v>33</v>
      </c>
      <c r="H9" s="7" t="s">
        <v>62</v>
      </c>
      <c r="I9" s="7"/>
      <c r="J9" s="7">
        <v>1</v>
      </c>
      <c r="K9" s="107" t="s">
        <v>35</v>
      </c>
      <c r="L9" s="7">
        <v>18</v>
      </c>
      <c r="M9" s="7" t="s">
        <v>36</v>
      </c>
      <c r="N9" s="107">
        <v>100</v>
      </c>
      <c r="O9" s="47">
        <v>35540</v>
      </c>
      <c r="P9" s="48" t="s">
        <v>81</v>
      </c>
      <c r="Q9" s="7" t="s">
        <v>37</v>
      </c>
      <c r="R9" s="21">
        <v>200</v>
      </c>
      <c r="S9" s="21">
        <v>1</v>
      </c>
      <c r="T9" s="21">
        <v>1890000</v>
      </c>
      <c r="U9" s="21">
        <v>1890000</v>
      </c>
      <c r="V9" s="21">
        <f>W9+X9</f>
        <v>1440000</v>
      </c>
      <c r="W9" s="51">
        <v>900000</v>
      </c>
      <c r="X9" s="21">
        <v>540000</v>
      </c>
      <c r="Y9" s="21">
        <v>360000</v>
      </c>
      <c r="Z9" s="21">
        <f>L9</f>
        <v>18</v>
      </c>
      <c r="AA9" s="21" t="str">
        <f>H9</f>
        <v>VST</v>
      </c>
      <c r="AB9" s="51">
        <v>23456701</v>
      </c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</row>
    <row r="10" s="28" customFormat="1" ht="23" customHeight="1" spans="1:52">
      <c r="A10" s="30"/>
      <c r="B10" s="65" t="s">
        <v>82</v>
      </c>
      <c r="C10" s="65"/>
      <c r="D10" s="65"/>
      <c r="E10" s="65"/>
      <c r="F10" s="65"/>
      <c r="G10" s="43"/>
      <c r="H10" s="43"/>
      <c r="I10" s="43"/>
      <c r="J10" s="43"/>
      <c r="K10" s="43"/>
      <c r="L10" s="43"/>
      <c r="M10" s="124"/>
      <c r="N10" s="124"/>
      <c r="O10" s="43"/>
      <c r="P10" s="43"/>
      <c r="Q10" s="43"/>
      <c r="R10" s="43"/>
      <c r="S10" s="43"/>
      <c r="T10" s="124"/>
      <c r="U10" s="43"/>
      <c r="V10" s="124"/>
      <c r="W10" s="43"/>
      <c r="X10" s="43"/>
      <c r="Y10" s="43"/>
      <c r="Z10" s="43"/>
      <c r="AA10" s="43"/>
      <c r="AB10" s="43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7"/>
      <c r="AO10" s="67"/>
      <c r="AP10" s="68"/>
      <c r="AQ10" s="68"/>
      <c r="AR10" s="68"/>
      <c r="AS10" s="68"/>
      <c r="AT10" s="68"/>
      <c r="AU10" s="69"/>
      <c r="AV10" s="68"/>
      <c r="AW10" s="68"/>
      <c r="AX10" s="68"/>
      <c r="AY10" s="68"/>
      <c r="AZ10" s="69"/>
    </row>
    <row r="11" s="28" customFormat="1" ht="51" customHeight="1" spans="1:52">
      <c r="A11" s="7" t="s">
        <v>83</v>
      </c>
      <c r="B11" s="7" t="s">
        <v>84</v>
      </c>
      <c r="C11" s="82" t="s">
        <v>29</v>
      </c>
      <c r="D11" s="7" t="s">
        <v>68</v>
      </c>
      <c r="E11" s="4" t="s">
        <v>31</v>
      </c>
      <c r="F11" s="4" t="s">
        <v>32</v>
      </c>
      <c r="G11" s="7" t="s">
        <v>33</v>
      </c>
      <c r="H11" s="7" t="s">
        <v>62</v>
      </c>
      <c r="I11" s="7"/>
      <c r="J11" s="7">
        <v>1</v>
      </c>
      <c r="K11" s="107" t="s">
        <v>35</v>
      </c>
      <c r="L11" s="7">
        <v>18</v>
      </c>
      <c r="M11" s="7" t="s">
        <v>36</v>
      </c>
      <c r="N11" s="107">
        <v>100</v>
      </c>
      <c r="O11" s="47">
        <v>61353</v>
      </c>
      <c r="P11" s="48" t="s">
        <v>85</v>
      </c>
      <c r="Q11" s="7" t="s">
        <v>37</v>
      </c>
      <c r="R11" s="21">
        <v>200</v>
      </c>
      <c r="S11" s="21">
        <v>1</v>
      </c>
      <c r="T11" s="21">
        <v>350000</v>
      </c>
      <c r="U11" s="21">
        <v>350000</v>
      </c>
      <c r="V11" s="21">
        <v>200000</v>
      </c>
      <c r="W11" s="51">
        <v>100000</v>
      </c>
      <c r="X11" s="21">
        <v>100000</v>
      </c>
      <c r="Y11" s="21">
        <v>100000</v>
      </c>
      <c r="Z11" s="21">
        <f>L11</f>
        <v>18</v>
      </c>
      <c r="AA11" s="21" t="str">
        <f>H11</f>
        <v>VST</v>
      </c>
      <c r="AB11" s="51">
        <v>23456701</v>
      </c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68"/>
      <c r="AZ11" s="68"/>
    </row>
  </sheetData>
  <mergeCells count="5">
    <mergeCell ref="B2:D2"/>
    <mergeCell ref="B4:F4"/>
    <mergeCell ref="B6:F6"/>
    <mergeCell ref="B8:F8"/>
    <mergeCell ref="B10:F1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43"/>
  <sheetViews>
    <sheetView zoomScale="85" zoomScaleNormal="85" workbookViewId="0">
      <pane ySplit="1" topLeftCell="A21" activePane="bottomLeft" state="frozen"/>
      <selection/>
      <selection pane="bottomLeft" activeCell="D30" sqref="D30:D31"/>
    </sheetView>
  </sheetViews>
  <sheetFormatPr defaultColWidth="9.14285714285714" defaultRowHeight="30" customHeight="1"/>
  <cols>
    <col min="1" max="1" width="13.4380952380952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86</v>
      </c>
      <c r="F1" s="3" t="s">
        <v>87</v>
      </c>
      <c r="G1" s="3" t="s">
        <v>88</v>
      </c>
      <c r="H1" s="3" t="s">
        <v>89</v>
      </c>
      <c r="I1" s="3" t="s">
        <v>90</v>
      </c>
      <c r="J1" s="3" t="s">
        <v>91</v>
      </c>
      <c r="K1" s="3" t="s">
        <v>92</v>
      </c>
      <c r="L1" s="101" t="s">
        <v>93</v>
      </c>
      <c r="M1" s="102" t="s">
        <v>94</v>
      </c>
      <c r="N1" s="102" t="s">
        <v>95</v>
      </c>
      <c r="O1" s="101" t="s">
        <v>96</v>
      </c>
      <c r="P1" s="101" t="s">
        <v>97</v>
      </c>
      <c r="Q1" s="101" t="s">
        <v>98</v>
      </c>
      <c r="R1" s="101" t="s">
        <v>99</v>
      </c>
      <c r="S1" s="101" t="s">
        <v>100</v>
      </c>
      <c r="T1" s="102" t="s">
        <v>101</v>
      </c>
      <c r="U1" s="101" t="s">
        <v>102</v>
      </c>
      <c r="V1" s="102" t="s">
        <v>103</v>
      </c>
      <c r="W1" s="3" t="s">
        <v>104</v>
      </c>
      <c r="X1" s="3" t="s">
        <v>105</v>
      </c>
      <c r="Y1" s="3" t="s">
        <v>106</v>
      </c>
      <c r="Z1" s="3" t="s">
        <v>107</v>
      </c>
      <c r="AA1" s="3" t="s">
        <v>108</v>
      </c>
      <c r="AB1" s="3" t="s">
        <v>109</v>
      </c>
      <c r="AC1" s="3" t="s">
        <v>110</v>
      </c>
      <c r="AD1" s="3" t="s">
        <v>111</v>
      </c>
      <c r="AE1" s="3" t="s">
        <v>112</v>
      </c>
      <c r="AF1" s="3" t="s">
        <v>113</v>
      </c>
      <c r="AG1" s="3" t="s">
        <v>114</v>
      </c>
      <c r="AH1" s="3" t="s">
        <v>115</v>
      </c>
      <c r="AI1" s="101" t="s">
        <v>116</v>
      </c>
      <c r="AJ1" s="42" t="s">
        <v>117</v>
      </c>
      <c r="AK1" s="42" t="s">
        <v>118</v>
      </c>
      <c r="AL1" s="42" t="s">
        <v>119</v>
      </c>
      <c r="AM1" s="42" t="s">
        <v>120</v>
      </c>
      <c r="AN1" s="3" t="s">
        <v>121</v>
      </c>
      <c r="AO1" s="3" t="s">
        <v>122</v>
      </c>
      <c r="AP1" s="3" t="s">
        <v>123</v>
      </c>
      <c r="AQ1" s="3" t="s">
        <v>124</v>
      </c>
      <c r="AR1" s="3" t="s">
        <v>125</v>
      </c>
      <c r="AS1" s="3" t="s">
        <v>126</v>
      </c>
      <c r="AT1" s="3" t="s">
        <v>127</v>
      </c>
      <c r="AU1" s="108" t="s">
        <v>128</v>
      </c>
      <c r="AV1" s="108" t="s">
        <v>129</v>
      </c>
      <c r="AW1" s="108" t="s">
        <v>130</v>
      </c>
      <c r="AX1" s="108" t="s">
        <v>131</v>
      </c>
      <c r="AY1" s="108" t="s">
        <v>132</v>
      </c>
      <c r="AZ1" s="3" t="s">
        <v>133</v>
      </c>
      <c r="BA1" s="12" t="s">
        <v>15</v>
      </c>
      <c r="BB1" s="10" t="s">
        <v>16</v>
      </c>
      <c r="BC1" s="10" t="s">
        <v>17</v>
      </c>
      <c r="BD1" s="10" t="s">
        <v>134</v>
      </c>
      <c r="BE1" s="10" t="s">
        <v>135</v>
      </c>
      <c r="BF1" s="10" t="s">
        <v>136</v>
      </c>
      <c r="BG1" s="18" t="s">
        <v>137</v>
      </c>
      <c r="BH1" s="10" t="s">
        <v>138</v>
      </c>
      <c r="BI1" s="10" t="s">
        <v>139</v>
      </c>
      <c r="BJ1" s="10" t="s">
        <v>140</v>
      </c>
      <c r="BK1" s="10" t="s">
        <v>141</v>
      </c>
      <c r="BL1" s="18" t="s">
        <v>142</v>
      </c>
    </row>
    <row r="2" s="28" customFormat="1" ht="50" customHeight="1" spans="1:64">
      <c r="A2" s="7" t="s">
        <v>143</v>
      </c>
      <c r="B2" s="7" t="s">
        <v>144</v>
      </c>
      <c r="C2" s="82" t="s">
        <v>29</v>
      </c>
      <c r="D2" s="17" t="s">
        <v>145</v>
      </c>
      <c r="E2" s="7" t="s">
        <v>146</v>
      </c>
      <c r="F2" s="111" t="s">
        <v>31</v>
      </c>
      <c r="G2" s="111" t="s">
        <v>32</v>
      </c>
      <c r="H2" s="7" t="s">
        <v>147</v>
      </c>
      <c r="I2" s="7" t="s">
        <v>148</v>
      </c>
      <c r="J2" s="7"/>
      <c r="K2" s="7" t="s">
        <v>149</v>
      </c>
      <c r="L2" s="7"/>
      <c r="M2" s="94"/>
      <c r="N2" s="94"/>
      <c r="O2" s="7"/>
      <c r="P2" s="7"/>
      <c r="Q2" s="7"/>
      <c r="R2" s="7"/>
      <c r="S2" s="7"/>
      <c r="T2" s="94"/>
      <c r="U2" s="7"/>
      <c r="V2" s="94"/>
      <c r="W2" s="7" t="s">
        <v>150</v>
      </c>
      <c r="X2" s="7" t="s">
        <v>151</v>
      </c>
      <c r="Y2" s="7" t="s">
        <v>150</v>
      </c>
      <c r="Z2" s="7" t="s">
        <v>151</v>
      </c>
      <c r="AA2" s="7" t="s">
        <v>151</v>
      </c>
      <c r="AB2" s="7"/>
      <c r="AC2" s="7" t="s">
        <v>152</v>
      </c>
      <c r="AD2" s="7" t="s">
        <v>146</v>
      </c>
      <c r="AE2" s="7" t="s">
        <v>153</v>
      </c>
      <c r="AF2" s="7"/>
      <c r="AG2" s="7"/>
      <c r="AH2" s="7" t="s">
        <v>154</v>
      </c>
      <c r="AI2" s="7" t="s">
        <v>155</v>
      </c>
      <c r="AJ2" s="107" t="s">
        <v>156</v>
      </c>
      <c r="AK2" s="117" t="s">
        <v>35</v>
      </c>
      <c r="AL2" s="117" t="s">
        <v>157</v>
      </c>
      <c r="AM2" s="117">
        <v>0</v>
      </c>
      <c r="AN2" s="7"/>
      <c r="AO2" s="7" t="s">
        <v>158</v>
      </c>
      <c r="AP2" s="7" t="s">
        <v>159</v>
      </c>
      <c r="AQ2" s="7" t="s">
        <v>62</v>
      </c>
      <c r="AR2" s="7" t="s">
        <v>147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89" t="s">
        <v>160</v>
      </c>
      <c r="BB2" s="21">
        <v>200</v>
      </c>
      <c r="BC2" s="21">
        <v>1</v>
      </c>
      <c r="BD2" s="21" t="s">
        <v>161</v>
      </c>
      <c r="BE2" s="21" t="str">
        <f t="shared" ref="BE2:BE31" si="0">I2</f>
        <v>PhuongTT</v>
      </c>
      <c r="BF2" s="21" t="str">
        <f t="shared" ref="BF2:BF31" si="1">AQ2</f>
        <v>VST</v>
      </c>
      <c r="BG2" s="51" t="b">
        <v>0</v>
      </c>
      <c r="BH2" s="21" t="s">
        <v>162</v>
      </c>
      <c r="BI2" s="21" t="s">
        <v>161</v>
      </c>
      <c r="BJ2" s="21" t="s">
        <v>161</v>
      </c>
      <c r="BK2" s="21" t="s">
        <v>163</v>
      </c>
      <c r="BL2" s="51" t="b">
        <v>0</v>
      </c>
    </row>
    <row r="3" s="28" customFormat="1" ht="69" customHeight="1" spans="1:64">
      <c r="A3" s="7" t="s">
        <v>164</v>
      </c>
      <c r="B3" s="7" t="s">
        <v>144</v>
      </c>
      <c r="C3" s="82" t="s">
        <v>29</v>
      </c>
      <c r="D3" s="17" t="s">
        <v>145</v>
      </c>
      <c r="E3" s="7" t="s">
        <v>146</v>
      </c>
      <c r="F3" s="111" t="s">
        <v>31</v>
      </c>
      <c r="G3" s="111" t="s">
        <v>32</v>
      </c>
      <c r="H3" s="7" t="s">
        <v>147</v>
      </c>
      <c r="I3" s="7" t="s">
        <v>148</v>
      </c>
      <c r="J3" s="7"/>
      <c r="K3" s="7" t="s">
        <v>149</v>
      </c>
      <c r="L3" s="7"/>
      <c r="M3" s="94"/>
      <c r="N3" s="94"/>
      <c r="O3" s="7"/>
      <c r="P3" s="7"/>
      <c r="Q3" s="7"/>
      <c r="R3" s="7"/>
      <c r="S3" s="7"/>
      <c r="T3" s="94"/>
      <c r="U3" s="7"/>
      <c r="V3" s="94"/>
      <c r="W3" s="7" t="s">
        <v>150</v>
      </c>
      <c r="X3" s="7" t="s">
        <v>151</v>
      </c>
      <c r="Y3" s="7" t="s">
        <v>150</v>
      </c>
      <c r="Z3" s="7" t="s">
        <v>151</v>
      </c>
      <c r="AA3" s="7" t="s">
        <v>151</v>
      </c>
      <c r="AB3" s="7"/>
      <c r="AC3" s="7" t="s">
        <v>152</v>
      </c>
      <c r="AD3" s="7" t="s">
        <v>146</v>
      </c>
      <c r="AE3" s="7" t="s">
        <v>165</v>
      </c>
      <c r="AF3" s="7"/>
      <c r="AG3" s="7"/>
      <c r="AH3" s="7" t="s">
        <v>154</v>
      </c>
      <c r="AI3" s="7" t="s">
        <v>155</v>
      </c>
      <c r="AJ3" s="107" t="s">
        <v>156</v>
      </c>
      <c r="AK3" s="117" t="s">
        <v>35</v>
      </c>
      <c r="AL3" s="117" t="s">
        <v>157</v>
      </c>
      <c r="AM3" s="117">
        <v>1</v>
      </c>
      <c r="AN3" s="7"/>
      <c r="AO3" s="7" t="s">
        <v>158</v>
      </c>
      <c r="AP3" s="7" t="s">
        <v>159</v>
      </c>
      <c r="AQ3" s="7" t="s">
        <v>62</v>
      </c>
      <c r="AR3" s="7" t="s">
        <v>147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 t="s">
        <v>36</v>
      </c>
      <c r="BA3" s="89" t="s">
        <v>160</v>
      </c>
      <c r="BB3" s="21">
        <v>200</v>
      </c>
      <c r="BC3" s="21">
        <v>1</v>
      </c>
      <c r="BD3" s="21" t="s">
        <v>161</v>
      </c>
      <c r="BE3" s="21" t="str">
        <f t="shared" si="0"/>
        <v>PhuongTT</v>
      </c>
      <c r="BF3" s="21" t="str">
        <f t="shared" si="1"/>
        <v>VST</v>
      </c>
      <c r="BG3" s="51" t="b">
        <v>0</v>
      </c>
      <c r="BH3" s="21" t="s">
        <v>162</v>
      </c>
      <c r="BI3" s="21" t="s">
        <v>161</v>
      </c>
      <c r="BJ3" s="21" t="s">
        <v>161</v>
      </c>
      <c r="BK3" s="21" t="s">
        <v>163</v>
      </c>
      <c r="BL3" s="51" t="b">
        <v>0</v>
      </c>
    </row>
    <row r="4" s="28" customFormat="1" ht="69" customHeight="1" spans="1:64">
      <c r="A4" s="7" t="s">
        <v>166</v>
      </c>
      <c r="B4" s="7" t="s">
        <v>144</v>
      </c>
      <c r="C4" s="82" t="s">
        <v>29</v>
      </c>
      <c r="D4" s="17" t="s">
        <v>145</v>
      </c>
      <c r="E4" s="7" t="s">
        <v>146</v>
      </c>
      <c r="F4" s="111" t="s">
        <v>31</v>
      </c>
      <c r="G4" s="111" t="s">
        <v>32</v>
      </c>
      <c r="H4" s="7" t="s">
        <v>147</v>
      </c>
      <c r="I4" s="7" t="s">
        <v>148</v>
      </c>
      <c r="J4" s="7"/>
      <c r="K4" s="7" t="s">
        <v>149</v>
      </c>
      <c r="L4" s="7"/>
      <c r="M4" s="94"/>
      <c r="N4" s="94"/>
      <c r="O4" s="7"/>
      <c r="P4" s="7"/>
      <c r="Q4" s="7"/>
      <c r="R4" s="7"/>
      <c r="S4" s="7"/>
      <c r="T4" s="94"/>
      <c r="U4" s="7"/>
      <c r="V4" s="94"/>
      <c r="W4" s="7" t="s">
        <v>150</v>
      </c>
      <c r="X4" s="7" t="s">
        <v>151</v>
      </c>
      <c r="Y4" s="7" t="s">
        <v>150</v>
      </c>
      <c r="Z4" s="7" t="s">
        <v>151</v>
      </c>
      <c r="AA4" s="7" t="s">
        <v>151</v>
      </c>
      <c r="AB4" s="7"/>
      <c r="AC4" s="7" t="s">
        <v>152</v>
      </c>
      <c r="AD4" s="7" t="s">
        <v>146</v>
      </c>
      <c r="AE4" s="7" t="s">
        <v>167</v>
      </c>
      <c r="AF4" s="7"/>
      <c r="AG4" s="7"/>
      <c r="AH4" s="7" t="s">
        <v>154</v>
      </c>
      <c r="AI4" s="7" t="s">
        <v>155</v>
      </c>
      <c r="AJ4" s="107" t="s">
        <v>156</v>
      </c>
      <c r="AK4" s="117" t="s">
        <v>35</v>
      </c>
      <c r="AL4" s="117" t="s">
        <v>157</v>
      </c>
      <c r="AM4" s="117">
        <v>2</v>
      </c>
      <c r="AN4" s="7"/>
      <c r="AO4" s="7" t="s">
        <v>158</v>
      </c>
      <c r="AP4" s="7" t="s">
        <v>159</v>
      </c>
      <c r="AQ4" s="7" t="s">
        <v>62</v>
      </c>
      <c r="AR4" s="7" t="s">
        <v>147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 t="s">
        <v>36</v>
      </c>
      <c r="BA4" s="89" t="s">
        <v>160</v>
      </c>
      <c r="BB4" s="21">
        <v>200</v>
      </c>
      <c r="BC4" s="21">
        <v>1</v>
      </c>
      <c r="BD4" s="21" t="s">
        <v>161</v>
      </c>
      <c r="BE4" s="21" t="str">
        <f t="shared" si="0"/>
        <v>PhuongTT</v>
      </c>
      <c r="BF4" s="21" t="str">
        <f t="shared" si="1"/>
        <v>VST</v>
      </c>
      <c r="BG4" s="51" t="b">
        <v>0</v>
      </c>
      <c r="BH4" s="21" t="s">
        <v>162</v>
      </c>
      <c r="BI4" s="21" t="s">
        <v>161</v>
      </c>
      <c r="BJ4" s="21" t="s">
        <v>161</v>
      </c>
      <c r="BK4" s="21" t="s">
        <v>163</v>
      </c>
      <c r="BL4" s="51" t="b">
        <v>0</v>
      </c>
    </row>
    <row r="5" s="28" customFormat="1" ht="69" customHeight="1" spans="1:64">
      <c r="A5" s="7" t="s">
        <v>168</v>
      </c>
      <c r="B5" s="7" t="s">
        <v>144</v>
      </c>
      <c r="C5" s="82" t="s">
        <v>29</v>
      </c>
      <c r="D5" s="17" t="s">
        <v>145</v>
      </c>
      <c r="E5" s="7" t="s">
        <v>146</v>
      </c>
      <c r="F5" s="111" t="s">
        <v>31</v>
      </c>
      <c r="G5" s="111" t="s">
        <v>32</v>
      </c>
      <c r="H5" s="7" t="s">
        <v>147</v>
      </c>
      <c r="I5" s="7" t="s">
        <v>148</v>
      </c>
      <c r="J5" s="7"/>
      <c r="K5" s="7" t="s">
        <v>149</v>
      </c>
      <c r="L5" s="7"/>
      <c r="M5" s="94"/>
      <c r="N5" s="94"/>
      <c r="O5" s="7"/>
      <c r="P5" s="7"/>
      <c r="Q5" s="7"/>
      <c r="R5" s="7"/>
      <c r="S5" s="7"/>
      <c r="T5" s="94"/>
      <c r="U5" s="7"/>
      <c r="V5" s="94"/>
      <c r="W5" s="7" t="s">
        <v>150</v>
      </c>
      <c r="X5" s="7" t="s">
        <v>151</v>
      </c>
      <c r="Y5" s="7" t="s">
        <v>150</v>
      </c>
      <c r="Z5" s="7" t="s">
        <v>151</v>
      </c>
      <c r="AA5" s="7" t="s">
        <v>151</v>
      </c>
      <c r="AB5" s="7"/>
      <c r="AC5" s="7" t="s">
        <v>152</v>
      </c>
      <c r="AD5" s="7" t="s">
        <v>146</v>
      </c>
      <c r="AE5" s="7" t="s">
        <v>169</v>
      </c>
      <c r="AF5" s="7"/>
      <c r="AG5" s="7"/>
      <c r="AH5" s="7" t="s">
        <v>154</v>
      </c>
      <c r="AI5" s="7" t="s">
        <v>155</v>
      </c>
      <c r="AJ5" s="107" t="s">
        <v>156</v>
      </c>
      <c r="AK5" s="117" t="s">
        <v>35</v>
      </c>
      <c r="AL5" s="117" t="s">
        <v>157</v>
      </c>
      <c r="AM5" s="117">
        <v>3</v>
      </c>
      <c r="AN5" s="7"/>
      <c r="AO5" s="7" t="s">
        <v>158</v>
      </c>
      <c r="AP5" s="7" t="s">
        <v>159</v>
      </c>
      <c r="AQ5" s="7" t="s">
        <v>62</v>
      </c>
      <c r="AR5" s="7" t="s">
        <v>147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89" t="s">
        <v>160</v>
      </c>
      <c r="BB5" s="21">
        <v>200</v>
      </c>
      <c r="BC5" s="21">
        <v>1</v>
      </c>
      <c r="BD5" s="21" t="s">
        <v>161</v>
      </c>
      <c r="BE5" s="21" t="str">
        <f t="shared" si="0"/>
        <v>PhuongTT</v>
      </c>
      <c r="BF5" s="21" t="str">
        <f t="shared" si="1"/>
        <v>VST</v>
      </c>
      <c r="BG5" s="51" t="b">
        <v>0</v>
      </c>
      <c r="BH5" s="21" t="s">
        <v>162</v>
      </c>
      <c r="BI5" s="21" t="s">
        <v>161</v>
      </c>
      <c r="BJ5" s="21" t="s">
        <v>161</v>
      </c>
      <c r="BK5" s="21" t="s">
        <v>163</v>
      </c>
      <c r="BL5" s="51" t="b">
        <v>0</v>
      </c>
    </row>
    <row r="6" s="28" customFormat="1" ht="69" customHeight="1" spans="1:64">
      <c r="A6" s="7" t="s">
        <v>170</v>
      </c>
      <c r="B6" s="7" t="s">
        <v>144</v>
      </c>
      <c r="C6" s="82" t="s">
        <v>29</v>
      </c>
      <c r="D6" s="17" t="s">
        <v>145</v>
      </c>
      <c r="E6" s="7" t="s">
        <v>146</v>
      </c>
      <c r="F6" s="111" t="s">
        <v>31</v>
      </c>
      <c r="G6" s="111" t="s">
        <v>32</v>
      </c>
      <c r="H6" s="7" t="s">
        <v>147</v>
      </c>
      <c r="I6" s="7" t="s">
        <v>148</v>
      </c>
      <c r="J6" s="7"/>
      <c r="K6" s="7" t="s">
        <v>149</v>
      </c>
      <c r="L6" s="7"/>
      <c r="M6" s="94"/>
      <c r="N6" s="94"/>
      <c r="O6" s="7"/>
      <c r="P6" s="7"/>
      <c r="Q6" s="7"/>
      <c r="R6" s="7"/>
      <c r="S6" s="7"/>
      <c r="T6" s="94"/>
      <c r="U6" s="7"/>
      <c r="V6" s="94"/>
      <c r="W6" s="7" t="s">
        <v>150</v>
      </c>
      <c r="X6" s="7" t="s">
        <v>151</v>
      </c>
      <c r="Y6" s="7" t="s">
        <v>150</v>
      </c>
      <c r="Z6" s="7" t="s">
        <v>151</v>
      </c>
      <c r="AA6" s="7" t="s">
        <v>151</v>
      </c>
      <c r="AB6" s="7"/>
      <c r="AC6" s="7" t="s">
        <v>152</v>
      </c>
      <c r="AD6" s="7" t="s">
        <v>146</v>
      </c>
      <c r="AE6" s="7" t="s">
        <v>171</v>
      </c>
      <c r="AF6" s="7"/>
      <c r="AG6" s="7"/>
      <c r="AH6" s="7" t="s">
        <v>154</v>
      </c>
      <c r="AI6" s="7" t="s">
        <v>155</v>
      </c>
      <c r="AJ6" s="107" t="s">
        <v>156</v>
      </c>
      <c r="AK6" s="117" t="s">
        <v>42</v>
      </c>
      <c r="AL6" s="117" t="s">
        <v>172</v>
      </c>
      <c r="AM6" s="117">
        <v>0</v>
      </c>
      <c r="AN6" s="7"/>
      <c r="AO6" s="7" t="s">
        <v>158</v>
      </c>
      <c r="AP6" s="7" t="s">
        <v>159</v>
      </c>
      <c r="AQ6" s="7" t="s">
        <v>62</v>
      </c>
      <c r="AR6" s="7" t="s">
        <v>147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89" t="s">
        <v>160</v>
      </c>
      <c r="BB6" s="21">
        <v>200</v>
      </c>
      <c r="BC6" s="21">
        <v>1</v>
      </c>
      <c r="BD6" s="21" t="s">
        <v>161</v>
      </c>
      <c r="BE6" s="21" t="str">
        <f t="shared" si="0"/>
        <v>PhuongTT</v>
      </c>
      <c r="BF6" s="21" t="str">
        <f t="shared" si="1"/>
        <v>VST</v>
      </c>
      <c r="BG6" s="51" t="b">
        <v>0</v>
      </c>
      <c r="BH6" s="21" t="s">
        <v>162</v>
      </c>
      <c r="BI6" s="21" t="s">
        <v>161</v>
      </c>
      <c r="BJ6" s="21" t="s">
        <v>161</v>
      </c>
      <c r="BK6" s="21" t="s">
        <v>163</v>
      </c>
      <c r="BL6" s="51" t="b">
        <v>0</v>
      </c>
    </row>
    <row r="7" s="28" customFormat="1" ht="50" customHeight="1" spans="1:64">
      <c r="A7" s="7" t="s">
        <v>173</v>
      </c>
      <c r="B7" s="7" t="s">
        <v>144</v>
      </c>
      <c r="C7" s="82" t="s">
        <v>29</v>
      </c>
      <c r="D7" s="17" t="s">
        <v>145</v>
      </c>
      <c r="E7" s="7" t="s">
        <v>146</v>
      </c>
      <c r="F7" s="111" t="s">
        <v>31</v>
      </c>
      <c r="G7" s="111" t="s">
        <v>32</v>
      </c>
      <c r="H7" s="7" t="s">
        <v>147</v>
      </c>
      <c r="I7" s="7" t="s">
        <v>148</v>
      </c>
      <c r="J7" s="7"/>
      <c r="K7" s="7" t="s">
        <v>149</v>
      </c>
      <c r="L7" s="7"/>
      <c r="M7" s="94"/>
      <c r="N7" s="94"/>
      <c r="O7" s="7"/>
      <c r="P7" s="7"/>
      <c r="Q7" s="7"/>
      <c r="R7" s="7"/>
      <c r="S7" s="7"/>
      <c r="T7" s="94"/>
      <c r="U7" s="7"/>
      <c r="V7" s="94"/>
      <c r="W7" s="7" t="s">
        <v>150</v>
      </c>
      <c r="X7" s="7" t="s">
        <v>151</v>
      </c>
      <c r="Y7" s="7" t="s">
        <v>150</v>
      </c>
      <c r="Z7" s="7" t="s">
        <v>151</v>
      </c>
      <c r="AA7" s="7" t="s">
        <v>151</v>
      </c>
      <c r="AB7" s="7"/>
      <c r="AC7" s="7" t="s">
        <v>152</v>
      </c>
      <c r="AD7" s="7" t="s">
        <v>146</v>
      </c>
      <c r="AE7" s="7" t="s">
        <v>174</v>
      </c>
      <c r="AF7" s="7"/>
      <c r="AG7" s="7"/>
      <c r="AH7" s="7" t="s">
        <v>154</v>
      </c>
      <c r="AI7" s="7" t="s">
        <v>155</v>
      </c>
      <c r="AJ7" s="107" t="s">
        <v>156</v>
      </c>
      <c r="AK7" s="83" t="s">
        <v>42</v>
      </c>
      <c r="AL7" s="83" t="s">
        <v>172</v>
      </c>
      <c r="AM7" s="83">
        <v>1</v>
      </c>
      <c r="AN7" s="7"/>
      <c r="AO7" s="7" t="s">
        <v>158</v>
      </c>
      <c r="AP7" s="7" t="s">
        <v>159</v>
      </c>
      <c r="AQ7" s="7" t="s">
        <v>62</v>
      </c>
      <c r="AR7" s="7" t="s">
        <v>147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89" t="s">
        <v>160</v>
      </c>
      <c r="BB7" s="21">
        <v>200</v>
      </c>
      <c r="BC7" s="21">
        <v>1</v>
      </c>
      <c r="BD7" s="21" t="s">
        <v>161</v>
      </c>
      <c r="BE7" s="21" t="str">
        <f t="shared" si="0"/>
        <v>PhuongTT</v>
      </c>
      <c r="BF7" s="21" t="str">
        <f t="shared" si="1"/>
        <v>VST</v>
      </c>
      <c r="BG7" s="51" t="b">
        <v>0</v>
      </c>
      <c r="BH7" s="21" t="s">
        <v>162</v>
      </c>
      <c r="BI7" s="21" t="s">
        <v>161</v>
      </c>
      <c r="BJ7" s="21" t="s">
        <v>161</v>
      </c>
      <c r="BK7" s="21" t="s">
        <v>163</v>
      </c>
      <c r="BL7" s="51" t="b">
        <v>0</v>
      </c>
    </row>
    <row r="8" s="28" customFormat="1" ht="69" customHeight="1" spans="1:64">
      <c r="A8" s="7" t="s">
        <v>175</v>
      </c>
      <c r="B8" s="7" t="s">
        <v>144</v>
      </c>
      <c r="C8" s="82" t="s">
        <v>29</v>
      </c>
      <c r="D8" s="17" t="s">
        <v>145</v>
      </c>
      <c r="E8" s="7" t="s">
        <v>146</v>
      </c>
      <c r="F8" s="111" t="s">
        <v>31</v>
      </c>
      <c r="G8" s="111" t="s">
        <v>32</v>
      </c>
      <c r="H8" s="7" t="s">
        <v>147</v>
      </c>
      <c r="I8" s="7" t="s">
        <v>148</v>
      </c>
      <c r="J8" s="7"/>
      <c r="K8" s="7" t="s">
        <v>149</v>
      </c>
      <c r="L8" s="7"/>
      <c r="M8" s="94"/>
      <c r="N8" s="94"/>
      <c r="O8" s="7"/>
      <c r="P8" s="7"/>
      <c r="Q8" s="7"/>
      <c r="R8" s="7"/>
      <c r="S8" s="7"/>
      <c r="T8" s="94"/>
      <c r="U8" s="7"/>
      <c r="V8" s="94"/>
      <c r="W8" s="7" t="s">
        <v>150</v>
      </c>
      <c r="X8" s="7" t="s">
        <v>151</v>
      </c>
      <c r="Y8" s="7" t="s">
        <v>150</v>
      </c>
      <c r="Z8" s="7" t="s">
        <v>151</v>
      </c>
      <c r="AA8" s="7" t="s">
        <v>151</v>
      </c>
      <c r="AB8" s="7"/>
      <c r="AC8" s="7" t="s">
        <v>152</v>
      </c>
      <c r="AD8" s="7" t="s">
        <v>146</v>
      </c>
      <c r="AE8" s="7" t="s">
        <v>176</v>
      </c>
      <c r="AF8" s="7"/>
      <c r="AG8" s="7"/>
      <c r="AH8" s="7" t="s">
        <v>154</v>
      </c>
      <c r="AI8" s="7" t="s">
        <v>155</v>
      </c>
      <c r="AJ8" s="107" t="s">
        <v>156</v>
      </c>
      <c r="AK8" s="83" t="s">
        <v>42</v>
      </c>
      <c r="AL8" s="83" t="s">
        <v>172</v>
      </c>
      <c r="AM8" s="83">
        <v>2</v>
      </c>
      <c r="AN8" s="7"/>
      <c r="AO8" s="7" t="s">
        <v>158</v>
      </c>
      <c r="AP8" s="7" t="s">
        <v>159</v>
      </c>
      <c r="AQ8" s="7" t="s">
        <v>62</v>
      </c>
      <c r="AR8" s="7" t="s">
        <v>147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 t="s">
        <v>36</v>
      </c>
      <c r="BA8" s="89" t="s">
        <v>160</v>
      </c>
      <c r="BB8" s="21">
        <v>200</v>
      </c>
      <c r="BC8" s="21">
        <v>1</v>
      </c>
      <c r="BD8" s="21" t="s">
        <v>161</v>
      </c>
      <c r="BE8" s="21" t="str">
        <f t="shared" si="0"/>
        <v>PhuongTT</v>
      </c>
      <c r="BF8" s="21" t="str">
        <f t="shared" si="1"/>
        <v>VST</v>
      </c>
      <c r="BG8" s="51" t="b">
        <v>0</v>
      </c>
      <c r="BH8" s="21" t="s">
        <v>162</v>
      </c>
      <c r="BI8" s="21" t="s">
        <v>161</v>
      </c>
      <c r="BJ8" s="21" t="s">
        <v>161</v>
      </c>
      <c r="BK8" s="21" t="s">
        <v>163</v>
      </c>
      <c r="BL8" s="51" t="b">
        <v>0</v>
      </c>
    </row>
    <row r="9" s="28" customFormat="1" ht="69" customHeight="1" spans="1:64">
      <c r="A9" s="7" t="s">
        <v>177</v>
      </c>
      <c r="B9" s="7" t="s">
        <v>144</v>
      </c>
      <c r="C9" s="82" t="s">
        <v>29</v>
      </c>
      <c r="D9" s="17" t="s">
        <v>145</v>
      </c>
      <c r="E9" s="7" t="s">
        <v>146</v>
      </c>
      <c r="F9" s="111" t="s">
        <v>31</v>
      </c>
      <c r="G9" s="111" t="s">
        <v>32</v>
      </c>
      <c r="H9" s="7" t="s">
        <v>147</v>
      </c>
      <c r="I9" s="7" t="s">
        <v>148</v>
      </c>
      <c r="J9" s="7"/>
      <c r="K9" s="7" t="s">
        <v>149</v>
      </c>
      <c r="L9" s="7"/>
      <c r="M9" s="94"/>
      <c r="N9" s="94"/>
      <c r="O9" s="7"/>
      <c r="P9" s="7"/>
      <c r="Q9" s="7"/>
      <c r="R9" s="7"/>
      <c r="S9" s="7"/>
      <c r="T9" s="94"/>
      <c r="U9" s="7"/>
      <c r="V9" s="94"/>
      <c r="W9" s="7" t="s">
        <v>150</v>
      </c>
      <c r="X9" s="7" t="s">
        <v>151</v>
      </c>
      <c r="Y9" s="7" t="s">
        <v>150</v>
      </c>
      <c r="Z9" s="7" t="s">
        <v>151</v>
      </c>
      <c r="AA9" s="7" t="s">
        <v>151</v>
      </c>
      <c r="AB9" s="7"/>
      <c r="AC9" s="7" t="s">
        <v>152</v>
      </c>
      <c r="AD9" s="7" t="s">
        <v>146</v>
      </c>
      <c r="AE9" s="7" t="s">
        <v>178</v>
      </c>
      <c r="AF9" s="7"/>
      <c r="AG9" s="7"/>
      <c r="AH9" s="7" t="s">
        <v>154</v>
      </c>
      <c r="AI9" s="7" t="s">
        <v>155</v>
      </c>
      <c r="AJ9" s="107" t="s">
        <v>156</v>
      </c>
      <c r="AK9" s="83" t="s">
        <v>42</v>
      </c>
      <c r="AL9" s="83" t="s">
        <v>172</v>
      </c>
      <c r="AM9" s="83">
        <v>3</v>
      </c>
      <c r="AN9" s="7"/>
      <c r="AO9" s="7" t="s">
        <v>158</v>
      </c>
      <c r="AP9" s="7" t="s">
        <v>159</v>
      </c>
      <c r="AQ9" s="7" t="s">
        <v>62</v>
      </c>
      <c r="AR9" s="7" t="s">
        <v>147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 t="s">
        <v>36</v>
      </c>
      <c r="BA9" s="89" t="s">
        <v>160</v>
      </c>
      <c r="BB9" s="21">
        <v>200</v>
      </c>
      <c r="BC9" s="21">
        <v>1</v>
      </c>
      <c r="BD9" s="21" t="s">
        <v>161</v>
      </c>
      <c r="BE9" s="21" t="str">
        <f t="shared" si="0"/>
        <v>PhuongTT</v>
      </c>
      <c r="BF9" s="21" t="str">
        <f t="shared" si="1"/>
        <v>VST</v>
      </c>
      <c r="BG9" s="51" t="b">
        <v>0</v>
      </c>
      <c r="BH9" s="21" t="s">
        <v>162</v>
      </c>
      <c r="BI9" s="21" t="s">
        <v>161</v>
      </c>
      <c r="BJ9" s="21" t="s">
        <v>161</v>
      </c>
      <c r="BK9" s="21" t="s">
        <v>163</v>
      </c>
      <c r="BL9" s="51" t="b">
        <v>0</v>
      </c>
    </row>
    <row r="10" s="28" customFormat="1" ht="69" customHeight="1" spans="1:64">
      <c r="A10" s="7" t="s">
        <v>179</v>
      </c>
      <c r="B10" s="7" t="s">
        <v>144</v>
      </c>
      <c r="C10" s="82" t="s">
        <v>29</v>
      </c>
      <c r="D10" s="17" t="s">
        <v>145</v>
      </c>
      <c r="E10" s="7" t="s">
        <v>146</v>
      </c>
      <c r="F10" s="111" t="s">
        <v>31</v>
      </c>
      <c r="G10" s="111" t="s">
        <v>32</v>
      </c>
      <c r="H10" s="7" t="s">
        <v>147</v>
      </c>
      <c r="I10" s="7" t="s">
        <v>148</v>
      </c>
      <c r="J10" s="7"/>
      <c r="K10" s="7" t="s">
        <v>149</v>
      </c>
      <c r="L10" s="7"/>
      <c r="M10" s="94"/>
      <c r="N10" s="94"/>
      <c r="O10" s="7"/>
      <c r="P10" s="7"/>
      <c r="Q10" s="7"/>
      <c r="R10" s="7"/>
      <c r="S10" s="7"/>
      <c r="T10" s="94"/>
      <c r="U10" s="7"/>
      <c r="V10" s="94"/>
      <c r="W10" s="7" t="s">
        <v>150</v>
      </c>
      <c r="X10" s="7" t="s">
        <v>151</v>
      </c>
      <c r="Y10" s="7" t="s">
        <v>150</v>
      </c>
      <c r="Z10" s="7" t="s">
        <v>151</v>
      </c>
      <c r="AA10" s="7" t="s">
        <v>151</v>
      </c>
      <c r="AB10" s="7"/>
      <c r="AC10" s="7" t="s">
        <v>152</v>
      </c>
      <c r="AD10" s="7" t="s">
        <v>146</v>
      </c>
      <c r="AE10" s="7" t="s">
        <v>180</v>
      </c>
      <c r="AF10" s="7"/>
      <c r="AG10" s="7"/>
      <c r="AH10" s="7" t="s">
        <v>154</v>
      </c>
      <c r="AI10" s="7" t="s">
        <v>155</v>
      </c>
      <c r="AJ10" s="107" t="s">
        <v>156</v>
      </c>
      <c r="AK10" s="118">
        <v>0.761111111111111</v>
      </c>
      <c r="AL10" s="118">
        <v>0.861111111111111</v>
      </c>
      <c r="AM10" s="119">
        <v>0</v>
      </c>
      <c r="AN10" s="7"/>
      <c r="AO10" s="7" t="s">
        <v>158</v>
      </c>
      <c r="AP10" s="7" t="s">
        <v>159</v>
      </c>
      <c r="AQ10" s="7" t="s">
        <v>62</v>
      </c>
      <c r="AR10" s="7" t="s">
        <v>147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89" t="s">
        <v>160</v>
      </c>
      <c r="BB10" s="21">
        <v>200</v>
      </c>
      <c r="BC10" s="21">
        <v>1</v>
      </c>
      <c r="BD10" s="21" t="s">
        <v>161</v>
      </c>
      <c r="BE10" s="21" t="str">
        <f t="shared" si="0"/>
        <v>PhuongTT</v>
      </c>
      <c r="BF10" s="21" t="str">
        <f t="shared" si="1"/>
        <v>VST</v>
      </c>
      <c r="BG10" s="51" t="b">
        <v>0</v>
      </c>
      <c r="BH10" s="21" t="s">
        <v>162</v>
      </c>
      <c r="BI10" s="21" t="s">
        <v>161</v>
      </c>
      <c r="BJ10" s="21" t="s">
        <v>161</v>
      </c>
      <c r="BK10" s="21" t="s">
        <v>163</v>
      </c>
      <c r="BL10" s="51" t="b">
        <v>0</v>
      </c>
    </row>
    <row r="11" s="28" customFormat="1" ht="69" customHeight="1" spans="1:64">
      <c r="A11" s="7" t="s">
        <v>181</v>
      </c>
      <c r="B11" s="7" t="s">
        <v>144</v>
      </c>
      <c r="C11" s="82" t="s">
        <v>29</v>
      </c>
      <c r="D11" s="17" t="s">
        <v>145</v>
      </c>
      <c r="E11" s="7" t="s">
        <v>146</v>
      </c>
      <c r="F11" s="111" t="s">
        <v>31</v>
      </c>
      <c r="G11" s="111" t="s">
        <v>32</v>
      </c>
      <c r="H11" s="7" t="s">
        <v>147</v>
      </c>
      <c r="I11" s="7" t="s">
        <v>148</v>
      </c>
      <c r="J11" s="7"/>
      <c r="K11" s="7" t="s">
        <v>149</v>
      </c>
      <c r="L11" s="7"/>
      <c r="M11" s="94"/>
      <c r="N11" s="94"/>
      <c r="O11" s="7"/>
      <c r="P11" s="7"/>
      <c r="Q11" s="7"/>
      <c r="R11" s="7"/>
      <c r="S11" s="7"/>
      <c r="T11" s="94"/>
      <c r="U11" s="7"/>
      <c r="V11" s="94"/>
      <c r="W11" s="7" t="s">
        <v>150</v>
      </c>
      <c r="X11" s="7" t="s">
        <v>151</v>
      </c>
      <c r="Y11" s="7" t="s">
        <v>150</v>
      </c>
      <c r="Z11" s="7" t="s">
        <v>151</v>
      </c>
      <c r="AA11" s="7" t="s">
        <v>151</v>
      </c>
      <c r="AB11" s="7"/>
      <c r="AC11" s="7" t="s">
        <v>152</v>
      </c>
      <c r="AD11" s="7" t="s">
        <v>146</v>
      </c>
      <c r="AE11" s="7" t="s">
        <v>182</v>
      </c>
      <c r="AF11" s="7"/>
      <c r="AG11" s="7"/>
      <c r="AH11" s="7" t="s">
        <v>154</v>
      </c>
      <c r="AI11" s="7" t="s">
        <v>155</v>
      </c>
      <c r="AJ11" s="107" t="s">
        <v>156</v>
      </c>
      <c r="AK11" s="118">
        <v>0.761111111111111</v>
      </c>
      <c r="AL11" s="118">
        <v>0.861111111111111</v>
      </c>
      <c r="AM11" s="119">
        <v>1</v>
      </c>
      <c r="AN11" s="7"/>
      <c r="AO11" s="7" t="s">
        <v>158</v>
      </c>
      <c r="AP11" s="7" t="s">
        <v>159</v>
      </c>
      <c r="AQ11" s="7" t="s">
        <v>62</v>
      </c>
      <c r="AR11" s="7" t="s">
        <v>147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89" t="s">
        <v>160</v>
      </c>
      <c r="BB11" s="21">
        <v>200</v>
      </c>
      <c r="BC11" s="21">
        <v>1</v>
      </c>
      <c r="BD11" s="21" t="s">
        <v>161</v>
      </c>
      <c r="BE11" s="21" t="str">
        <f t="shared" si="0"/>
        <v>PhuongTT</v>
      </c>
      <c r="BF11" s="21" t="str">
        <f t="shared" si="1"/>
        <v>VST</v>
      </c>
      <c r="BG11" s="51" t="b">
        <v>0</v>
      </c>
      <c r="BH11" s="21" t="s">
        <v>162</v>
      </c>
      <c r="BI11" s="21" t="s">
        <v>161</v>
      </c>
      <c r="BJ11" s="21" t="s">
        <v>161</v>
      </c>
      <c r="BK11" s="21" t="s">
        <v>163</v>
      </c>
      <c r="BL11" s="51" t="b">
        <v>0</v>
      </c>
    </row>
    <row r="12" s="110" customFormat="1" ht="50" customHeight="1" spans="1:64">
      <c r="A12" s="7" t="s">
        <v>183</v>
      </c>
      <c r="B12" s="112" t="s">
        <v>144</v>
      </c>
      <c r="C12" s="113" t="s">
        <v>29</v>
      </c>
      <c r="D12" s="114" t="s">
        <v>145</v>
      </c>
      <c r="E12" s="112" t="s">
        <v>146</v>
      </c>
      <c r="F12" s="115" t="s">
        <v>31</v>
      </c>
      <c r="G12" s="115" t="s">
        <v>32</v>
      </c>
      <c r="H12" s="112" t="s">
        <v>147</v>
      </c>
      <c r="I12" s="112" t="s">
        <v>148</v>
      </c>
      <c r="J12" s="112"/>
      <c r="K12" s="112" t="s">
        <v>149</v>
      </c>
      <c r="L12" s="112"/>
      <c r="M12" s="116"/>
      <c r="N12" s="116"/>
      <c r="O12" s="112"/>
      <c r="P12" s="112"/>
      <c r="Q12" s="112"/>
      <c r="R12" s="112"/>
      <c r="S12" s="112"/>
      <c r="T12" s="116"/>
      <c r="U12" s="112"/>
      <c r="V12" s="116"/>
      <c r="W12" s="112" t="s">
        <v>150</v>
      </c>
      <c r="X12" s="112" t="s">
        <v>151</v>
      </c>
      <c r="Y12" s="112" t="s">
        <v>150</v>
      </c>
      <c r="Z12" s="112" t="s">
        <v>151</v>
      </c>
      <c r="AA12" s="112" t="s">
        <v>151</v>
      </c>
      <c r="AB12" s="112"/>
      <c r="AC12" s="112" t="s">
        <v>152</v>
      </c>
      <c r="AD12" s="112" t="s">
        <v>146</v>
      </c>
      <c r="AE12" s="7" t="s">
        <v>184</v>
      </c>
      <c r="AF12" s="112"/>
      <c r="AG12" s="112"/>
      <c r="AH12" s="112" t="s">
        <v>154</v>
      </c>
      <c r="AI12" s="112" t="s">
        <v>155</v>
      </c>
      <c r="AJ12" s="120" t="s">
        <v>156</v>
      </c>
      <c r="AK12" s="105">
        <v>0.761111111111111</v>
      </c>
      <c r="AL12" s="105">
        <v>0.861111111111111</v>
      </c>
      <c r="AM12" s="106">
        <v>2</v>
      </c>
      <c r="AN12" s="112"/>
      <c r="AO12" s="112" t="s">
        <v>158</v>
      </c>
      <c r="AP12" s="112" t="s">
        <v>159</v>
      </c>
      <c r="AQ12" s="112" t="s">
        <v>62</v>
      </c>
      <c r="AR12" s="112" t="s">
        <v>147</v>
      </c>
      <c r="AS12" s="112" t="s">
        <v>33</v>
      </c>
      <c r="AT12" s="112" t="s">
        <v>36</v>
      </c>
      <c r="AU12" s="112"/>
      <c r="AV12" s="112"/>
      <c r="AW12" s="112"/>
      <c r="AX12" s="112"/>
      <c r="AY12" s="112"/>
      <c r="AZ12" s="112" t="s">
        <v>36</v>
      </c>
      <c r="BA12" s="121" t="s">
        <v>160</v>
      </c>
      <c r="BB12" s="122">
        <v>200</v>
      </c>
      <c r="BC12" s="122">
        <v>1</v>
      </c>
      <c r="BD12" s="122" t="s">
        <v>161</v>
      </c>
      <c r="BE12" s="122" t="str">
        <f t="shared" si="0"/>
        <v>PhuongTT</v>
      </c>
      <c r="BF12" s="122" t="str">
        <f t="shared" si="1"/>
        <v>VST</v>
      </c>
      <c r="BG12" s="123" t="b">
        <v>0</v>
      </c>
      <c r="BH12" s="122" t="s">
        <v>162</v>
      </c>
      <c r="BI12" s="122" t="s">
        <v>161</v>
      </c>
      <c r="BJ12" s="122" t="s">
        <v>161</v>
      </c>
      <c r="BK12" s="122" t="s">
        <v>163</v>
      </c>
      <c r="BL12" s="123" t="b">
        <v>0</v>
      </c>
    </row>
    <row r="13" s="110" customFormat="1" ht="69" customHeight="1" spans="1:64">
      <c r="A13" s="7" t="s">
        <v>185</v>
      </c>
      <c r="B13" s="112" t="s">
        <v>144</v>
      </c>
      <c r="C13" s="113" t="s">
        <v>29</v>
      </c>
      <c r="D13" s="114" t="s">
        <v>145</v>
      </c>
      <c r="E13" s="112" t="s">
        <v>146</v>
      </c>
      <c r="F13" s="115" t="s">
        <v>31</v>
      </c>
      <c r="G13" s="115" t="s">
        <v>32</v>
      </c>
      <c r="H13" s="112" t="s">
        <v>147</v>
      </c>
      <c r="I13" s="112" t="s">
        <v>148</v>
      </c>
      <c r="J13" s="112"/>
      <c r="K13" s="112" t="s">
        <v>149</v>
      </c>
      <c r="L13" s="112"/>
      <c r="M13" s="116"/>
      <c r="N13" s="116"/>
      <c r="O13" s="112"/>
      <c r="P13" s="112"/>
      <c r="Q13" s="112"/>
      <c r="R13" s="112"/>
      <c r="S13" s="112"/>
      <c r="T13" s="116"/>
      <c r="U13" s="112"/>
      <c r="V13" s="116"/>
      <c r="W13" s="112" t="s">
        <v>150</v>
      </c>
      <c r="X13" s="112" t="s">
        <v>151</v>
      </c>
      <c r="Y13" s="112" t="s">
        <v>150</v>
      </c>
      <c r="Z13" s="112" t="s">
        <v>151</v>
      </c>
      <c r="AA13" s="112" t="s">
        <v>151</v>
      </c>
      <c r="AB13" s="112"/>
      <c r="AC13" s="112" t="s">
        <v>152</v>
      </c>
      <c r="AD13" s="112" t="s">
        <v>146</v>
      </c>
      <c r="AE13" s="7" t="s">
        <v>186</v>
      </c>
      <c r="AF13" s="112"/>
      <c r="AG13" s="112"/>
      <c r="AH13" s="112" t="s">
        <v>154</v>
      </c>
      <c r="AI13" s="112" t="s">
        <v>155</v>
      </c>
      <c r="AJ13" s="120" t="s">
        <v>156</v>
      </c>
      <c r="AK13" s="105">
        <v>0.761111111111111</v>
      </c>
      <c r="AL13" s="105">
        <v>0.861111111111111</v>
      </c>
      <c r="AM13" s="106">
        <v>3</v>
      </c>
      <c r="AN13" s="112"/>
      <c r="AO13" s="112" t="s">
        <v>158</v>
      </c>
      <c r="AP13" s="112" t="s">
        <v>159</v>
      </c>
      <c r="AQ13" s="112" t="s">
        <v>62</v>
      </c>
      <c r="AR13" s="112" t="s">
        <v>147</v>
      </c>
      <c r="AS13" s="112" t="s">
        <v>33</v>
      </c>
      <c r="AT13" s="112" t="s">
        <v>36</v>
      </c>
      <c r="AU13" s="112"/>
      <c r="AV13" s="112"/>
      <c r="AW13" s="112"/>
      <c r="AX13" s="112"/>
      <c r="AY13" s="112"/>
      <c r="AZ13" s="112" t="s">
        <v>36</v>
      </c>
      <c r="BA13" s="121" t="s">
        <v>160</v>
      </c>
      <c r="BB13" s="122">
        <v>200</v>
      </c>
      <c r="BC13" s="122">
        <v>1</v>
      </c>
      <c r="BD13" s="122" t="s">
        <v>161</v>
      </c>
      <c r="BE13" s="122" t="str">
        <f t="shared" si="0"/>
        <v>PhuongTT</v>
      </c>
      <c r="BF13" s="122" t="str">
        <f t="shared" si="1"/>
        <v>VST</v>
      </c>
      <c r="BG13" s="123" t="b">
        <v>0</v>
      </c>
      <c r="BH13" s="122" t="s">
        <v>162</v>
      </c>
      <c r="BI13" s="122" t="s">
        <v>161</v>
      </c>
      <c r="BJ13" s="122" t="s">
        <v>161</v>
      </c>
      <c r="BK13" s="122" t="s">
        <v>163</v>
      </c>
      <c r="BL13" s="123" t="b">
        <v>0</v>
      </c>
    </row>
    <row r="14" s="110" customFormat="1" ht="69" customHeight="1" spans="1:64">
      <c r="A14" s="7" t="s">
        <v>187</v>
      </c>
      <c r="B14" s="112" t="s">
        <v>144</v>
      </c>
      <c r="C14" s="113" t="s">
        <v>29</v>
      </c>
      <c r="D14" s="114" t="s">
        <v>145</v>
      </c>
      <c r="E14" s="112" t="s">
        <v>146</v>
      </c>
      <c r="F14" s="115" t="s">
        <v>31</v>
      </c>
      <c r="G14" s="115" t="s">
        <v>32</v>
      </c>
      <c r="H14" s="112" t="s">
        <v>147</v>
      </c>
      <c r="I14" s="112" t="s">
        <v>148</v>
      </c>
      <c r="J14" s="112"/>
      <c r="K14" s="112" t="s">
        <v>149</v>
      </c>
      <c r="L14" s="112"/>
      <c r="M14" s="116"/>
      <c r="N14" s="116"/>
      <c r="O14" s="112"/>
      <c r="P14" s="112"/>
      <c r="Q14" s="112"/>
      <c r="R14" s="112"/>
      <c r="S14" s="112"/>
      <c r="T14" s="116"/>
      <c r="U14" s="112"/>
      <c r="V14" s="116"/>
      <c r="W14" s="112" t="s">
        <v>150</v>
      </c>
      <c r="X14" s="112" t="s">
        <v>151</v>
      </c>
      <c r="Y14" s="112" t="s">
        <v>150</v>
      </c>
      <c r="Z14" s="112" t="s">
        <v>151</v>
      </c>
      <c r="AA14" s="112" t="s">
        <v>151</v>
      </c>
      <c r="AB14" s="112"/>
      <c r="AC14" s="112" t="s">
        <v>152</v>
      </c>
      <c r="AD14" s="112" t="s">
        <v>146</v>
      </c>
      <c r="AE14" s="7" t="s">
        <v>188</v>
      </c>
      <c r="AF14" s="112"/>
      <c r="AG14" s="112"/>
      <c r="AH14" s="112" t="s">
        <v>154</v>
      </c>
      <c r="AI14" s="112" t="s">
        <v>155</v>
      </c>
      <c r="AJ14" s="120" t="s">
        <v>156</v>
      </c>
      <c r="AK14" s="105">
        <v>0.766666666666667</v>
      </c>
      <c r="AL14" s="105">
        <v>0.866666666666667</v>
      </c>
      <c r="AM14" s="106">
        <v>0</v>
      </c>
      <c r="AN14" s="112"/>
      <c r="AO14" s="112" t="s">
        <v>158</v>
      </c>
      <c r="AP14" s="112" t="s">
        <v>159</v>
      </c>
      <c r="AQ14" s="112" t="s">
        <v>62</v>
      </c>
      <c r="AR14" s="112" t="s">
        <v>147</v>
      </c>
      <c r="AS14" s="112" t="s">
        <v>33</v>
      </c>
      <c r="AT14" s="112" t="s">
        <v>36</v>
      </c>
      <c r="AU14" s="112"/>
      <c r="AV14" s="112"/>
      <c r="AW14" s="112"/>
      <c r="AX14" s="112"/>
      <c r="AY14" s="112"/>
      <c r="AZ14" s="112" t="s">
        <v>36</v>
      </c>
      <c r="BA14" s="121" t="s">
        <v>160</v>
      </c>
      <c r="BB14" s="122">
        <v>200</v>
      </c>
      <c r="BC14" s="122">
        <v>1</v>
      </c>
      <c r="BD14" s="122" t="s">
        <v>161</v>
      </c>
      <c r="BE14" s="122" t="str">
        <f t="shared" si="0"/>
        <v>PhuongTT</v>
      </c>
      <c r="BF14" s="122" t="str">
        <f t="shared" si="1"/>
        <v>VST</v>
      </c>
      <c r="BG14" s="123" t="b">
        <v>0</v>
      </c>
      <c r="BH14" s="122" t="s">
        <v>162</v>
      </c>
      <c r="BI14" s="122" t="s">
        <v>161</v>
      </c>
      <c r="BJ14" s="122" t="s">
        <v>161</v>
      </c>
      <c r="BK14" s="122" t="s">
        <v>163</v>
      </c>
      <c r="BL14" s="123" t="b">
        <v>0</v>
      </c>
    </row>
    <row r="15" s="110" customFormat="1" ht="69" customHeight="1" spans="1:64">
      <c r="A15" s="7" t="s">
        <v>189</v>
      </c>
      <c r="B15" s="112" t="s">
        <v>144</v>
      </c>
      <c r="C15" s="113" t="s">
        <v>29</v>
      </c>
      <c r="D15" s="114" t="s">
        <v>145</v>
      </c>
      <c r="E15" s="112" t="s">
        <v>146</v>
      </c>
      <c r="F15" s="115" t="s">
        <v>31</v>
      </c>
      <c r="G15" s="115" t="s">
        <v>32</v>
      </c>
      <c r="H15" s="112" t="s">
        <v>147</v>
      </c>
      <c r="I15" s="112" t="s">
        <v>148</v>
      </c>
      <c r="J15" s="112"/>
      <c r="K15" s="112" t="s">
        <v>149</v>
      </c>
      <c r="L15" s="112"/>
      <c r="M15" s="116"/>
      <c r="N15" s="116"/>
      <c r="O15" s="112"/>
      <c r="P15" s="112"/>
      <c r="Q15" s="112"/>
      <c r="R15" s="112"/>
      <c r="S15" s="112"/>
      <c r="T15" s="116"/>
      <c r="U15" s="112"/>
      <c r="V15" s="116"/>
      <c r="W15" s="112" t="s">
        <v>150</v>
      </c>
      <c r="X15" s="112" t="s">
        <v>151</v>
      </c>
      <c r="Y15" s="112" t="s">
        <v>150</v>
      </c>
      <c r="Z15" s="112" t="s">
        <v>151</v>
      </c>
      <c r="AA15" s="112" t="s">
        <v>151</v>
      </c>
      <c r="AB15" s="112"/>
      <c r="AC15" s="112" t="s">
        <v>152</v>
      </c>
      <c r="AD15" s="112" t="s">
        <v>146</v>
      </c>
      <c r="AE15" s="7" t="s">
        <v>190</v>
      </c>
      <c r="AF15" s="112"/>
      <c r="AG15" s="112"/>
      <c r="AH15" s="112" t="s">
        <v>154</v>
      </c>
      <c r="AI15" s="112" t="s">
        <v>155</v>
      </c>
      <c r="AJ15" s="120" t="s">
        <v>156</v>
      </c>
      <c r="AK15" s="105">
        <v>0.766666666666667</v>
      </c>
      <c r="AL15" s="105">
        <v>0.866666666666667</v>
      </c>
      <c r="AM15" s="106">
        <v>1</v>
      </c>
      <c r="AN15" s="112"/>
      <c r="AO15" s="112" t="s">
        <v>158</v>
      </c>
      <c r="AP15" s="112" t="s">
        <v>159</v>
      </c>
      <c r="AQ15" s="112" t="s">
        <v>62</v>
      </c>
      <c r="AR15" s="112" t="s">
        <v>147</v>
      </c>
      <c r="AS15" s="112" t="s">
        <v>33</v>
      </c>
      <c r="AT15" s="112" t="s">
        <v>36</v>
      </c>
      <c r="AU15" s="112"/>
      <c r="AV15" s="112"/>
      <c r="AW15" s="112"/>
      <c r="AX15" s="112"/>
      <c r="AY15" s="112"/>
      <c r="AZ15" s="112" t="s">
        <v>36</v>
      </c>
      <c r="BA15" s="121" t="s">
        <v>160</v>
      </c>
      <c r="BB15" s="122">
        <v>200</v>
      </c>
      <c r="BC15" s="122">
        <v>1</v>
      </c>
      <c r="BD15" s="122" t="s">
        <v>161</v>
      </c>
      <c r="BE15" s="122" t="str">
        <f t="shared" si="0"/>
        <v>PhuongTT</v>
      </c>
      <c r="BF15" s="122" t="str">
        <f t="shared" si="1"/>
        <v>VST</v>
      </c>
      <c r="BG15" s="123" t="b">
        <v>0</v>
      </c>
      <c r="BH15" s="122" t="s">
        <v>162</v>
      </c>
      <c r="BI15" s="122" t="s">
        <v>161</v>
      </c>
      <c r="BJ15" s="122" t="s">
        <v>161</v>
      </c>
      <c r="BK15" s="122" t="s">
        <v>163</v>
      </c>
      <c r="BL15" s="123" t="b">
        <v>0</v>
      </c>
    </row>
    <row r="16" s="110" customFormat="1" ht="69" customHeight="1" spans="1:64">
      <c r="A16" s="7" t="s">
        <v>191</v>
      </c>
      <c r="B16" s="112" t="s">
        <v>144</v>
      </c>
      <c r="C16" s="113" t="s">
        <v>29</v>
      </c>
      <c r="D16" s="114" t="s">
        <v>145</v>
      </c>
      <c r="E16" s="112" t="s">
        <v>146</v>
      </c>
      <c r="F16" s="115" t="s">
        <v>31</v>
      </c>
      <c r="G16" s="115" t="s">
        <v>32</v>
      </c>
      <c r="H16" s="112" t="s">
        <v>147</v>
      </c>
      <c r="I16" s="112" t="s">
        <v>148</v>
      </c>
      <c r="J16" s="112"/>
      <c r="K16" s="112" t="s">
        <v>149</v>
      </c>
      <c r="L16" s="112"/>
      <c r="M16" s="116"/>
      <c r="N16" s="116"/>
      <c r="O16" s="112"/>
      <c r="P16" s="112"/>
      <c r="Q16" s="112"/>
      <c r="R16" s="112"/>
      <c r="S16" s="112"/>
      <c r="T16" s="116"/>
      <c r="U16" s="112"/>
      <c r="V16" s="116"/>
      <c r="W16" s="112" t="s">
        <v>150</v>
      </c>
      <c r="X16" s="112" t="s">
        <v>151</v>
      </c>
      <c r="Y16" s="112" t="s">
        <v>150</v>
      </c>
      <c r="Z16" s="112" t="s">
        <v>151</v>
      </c>
      <c r="AA16" s="112" t="s">
        <v>151</v>
      </c>
      <c r="AB16" s="112"/>
      <c r="AC16" s="112" t="s">
        <v>152</v>
      </c>
      <c r="AD16" s="112" t="s">
        <v>146</v>
      </c>
      <c r="AE16" s="7" t="s">
        <v>192</v>
      </c>
      <c r="AF16" s="112"/>
      <c r="AG16" s="112"/>
      <c r="AH16" s="112" t="s">
        <v>154</v>
      </c>
      <c r="AI16" s="112" t="s">
        <v>155</v>
      </c>
      <c r="AJ16" s="120" t="s">
        <v>156</v>
      </c>
      <c r="AK16" s="105">
        <v>0.766666666666667</v>
      </c>
      <c r="AL16" s="105">
        <v>0.866666666666667</v>
      </c>
      <c r="AM16" s="106">
        <v>2</v>
      </c>
      <c r="AN16" s="112"/>
      <c r="AO16" s="112" t="s">
        <v>158</v>
      </c>
      <c r="AP16" s="112" t="s">
        <v>159</v>
      </c>
      <c r="AQ16" s="112" t="s">
        <v>62</v>
      </c>
      <c r="AR16" s="112" t="s">
        <v>147</v>
      </c>
      <c r="AS16" s="112" t="s">
        <v>33</v>
      </c>
      <c r="AT16" s="112" t="s">
        <v>36</v>
      </c>
      <c r="AU16" s="112"/>
      <c r="AV16" s="112"/>
      <c r="AW16" s="112"/>
      <c r="AX16" s="112"/>
      <c r="AY16" s="112"/>
      <c r="AZ16" s="112" t="s">
        <v>36</v>
      </c>
      <c r="BA16" s="121" t="s">
        <v>160</v>
      </c>
      <c r="BB16" s="122">
        <v>200</v>
      </c>
      <c r="BC16" s="122">
        <v>1</v>
      </c>
      <c r="BD16" s="122" t="s">
        <v>161</v>
      </c>
      <c r="BE16" s="122" t="str">
        <f t="shared" si="0"/>
        <v>PhuongTT</v>
      </c>
      <c r="BF16" s="122" t="str">
        <f t="shared" si="1"/>
        <v>VST</v>
      </c>
      <c r="BG16" s="123" t="b">
        <v>0</v>
      </c>
      <c r="BH16" s="122" t="s">
        <v>162</v>
      </c>
      <c r="BI16" s="122" t="s">
        <v>161</v>
      </c>
      <c r="BJ16" s="122" t="s">
        <v>161</v>
      </c>
      <c r="BK16" s="122" t="s">
        <v>163</v>
      </c>
      <c r="BL16" s="123" t="b">
        <v>0</v>
      </c>
    </row>
    <row r="17" s="110" customFormat="1" ht="50" customHeight="1" spans="1:64">
      <c r="A17" s="7" t="s">
        <v>193</v>
      </c>
      <c r="B17" s="112" t="s">
        <v>144</v>
      </c>
      <c r="C17" s="113" t="s">
        <v>29</v>
      </c>
      <c r="D17" s="114" t="s">
        <v>145</v>
      </c>
      <c r="E17" s="112" t="s">
        <v>146</v>
      </c>
      <c r="F17" s="115" t="s">
        <v>31</v>
      </c>
      <c r="G17" s="115" t="s">
        <v>32</v>
      </c>
      <c r="H17" s="112" t="s">
        <v>147</v>
      </c>
      <c r="I17" s="112" t="s">
        <v>148</v>
      </c>
      <c r="J17" s="112"/>
      <c r="K17" s="112" t="s">
        <v>149</v>
      </c>
      <c r="L17" s="112"/>
      <c r="M17" s="116"/>
      <c r="N17" s="116"/>
      <c r="O17" s="112"/>
      <c r="P17" s="112"/>
      <c r="Q17" s="112"/>
      <c r="R17" s="112"/>
      <c r="S17" s="112"/>
      <c r="T17" s="116"/>
      <c r="U17" s="112"/>
      <c r="V17" s="116"/>
      <c r="W17" s="112" t="s">
        <v>150</v>
      </c>
      <c r="X17" s="112" t="s">
        <v>151</v>
      </c>
      <c r="Y17" s="112" t="s">
        <v>150</v>
      </c>
      <c r="Z17" s="112" t="s">
        <v>151</v>
      </c>
      <c r="AA17" s="112" t="s">
        <v>151</v>
      </c>
      <c r="AB17" s="112"/>
      <c r="AC17" s="112" t="s">
        <v>152</v>
      </c>
      <c r="AD17" s="112" t="s">
        <v>146</v>
      </c>
      <c r="AE17" s="7" t="s">
        <v>194</v>
      </c>
      <c r="AF17" s="112"/>
      <c r="AG17" s="112"/>
      <c r="AH17" s="112" t="s">
        <v>154</v>
      </c>
      <c r="AI17" s="112" t="s">
        <v>155</v>
      </c>
      <c r="AJ17" s="120" t="s">
        <v>156</v>
      </c>
      <c r="AK17" s="105">
        <v>0.766666666666667</v>
      </c>
      <c r="AL17" s="105">
        <v>0.866666666666667</v>
      </c>
      <c r="AM17" s="106">
        <v>3</v>
      </c>
      <c r="AN17" s="112"/>
      <c r="AO17" s="112" t="s">
        <v>158</v>
      </c>
      <c r="AP17" s="112" t="s">
        <v>159</v>
      </c>
      <c r="AQ17" s="112" t="s">
        <v>62</v>
      </c>
      <c r="AR17" s="112" t="s">
        <v>147</v>
      </c>
      <c r="AS17" s="112" t="s">
        <v>33</v>
      </c>
      <c r="AT17" s="112" t="s">
        <v>36</v>
      </c>
      <c r="AU17" s="112"/>
      <c r="AV17" s="112"/>
      <c r="AW17" s="112"/>
      <c r="AX17" s="112"/>
      <c r="AY17" s="112"/>
      <c r="AZ17" s="112" t="s">
        <v>36</v>
      </c>
      <c r="BA17" s="121" t="s">
        <v>160</v>
      </c>
      <c r="BB17" s="122">
        <v>200</v>
      </c>
      <c r="BC17" s="122">
        <v>1</v>
      </c>
      <c r="BD17" s="122" t="s">
        <v>161</v>
      </c>
      <c r="BE17" s="122" t="str">
        <f t="shared" si="0"/>
        <v>PhuongTT</v>
      </c>
      <c r="BF17" s="122" t="str">
        <f t="shared" si="1"/>
        <v>VST</v>
      </c>
      <c r="BG17" s="123" t="b">
        <v>0</v>
      </c>
      <c r="BH17" s="122" t="s">
        <v>162</v>
      </c>
      <c r="BI17" s="122" t="s">
        <v>161</v>
      </c>
      <c r="BJ17" s="122" t="s">
        <v>161</v>
      </c>
      <c r="BK17" s="122" t="s">
        <v>163</v>
      </c>
      <c r="BL17" s="123" t="b">
        <v>0</v>
      </c>
    </row>
    <row r="18" s="110" customFormat="1" ht="69" customHeight="1" spans="1:64">
      <c r="A18" s="7" t="s">
        <v>195</v>
      </c>
      <c r="B18" s="112" t="s">
        <v>144</v>
      </c>
      <c r="C18" s="113" t="s">
        <v>29</v>
      </c>
      <c r="D18" s="114" t="s">
        <v>145</v>
      </c>
      <c r="E18" s="112" t="s">
        <v>146</v>
      </c>
      <c r="F18" s="115" t="s">
        <v>31</v>
      </c>
      <c r="G18" s="115" t="s">
        <v>32</v>
      </c>
      <c r="H18" s="112" t="s">
        <v>147</v>
      </c>
      <c r="I18" s="112" t="s">
        <v>148</v>
      </c>
      <c r="J18" s="112"/>
      <c r="K18" s="112" t="s">
        <v>149</v>
      </c>
      <c r="L18" s="112"/>
      <c r="M18" s="116"/>
      <c r="N18" s="116"/>
      <c r="O18" s="112"/>
      <c r="P18" s="112"/>
      <c r="Q18" s="112"/>
      <c r="R18" s="112"/>
      <c r="S18" s="112"/>
      <c r="T18" s="116"/>
      <c r="U18" s="112"/>
      <c r="V18" s="116"/>
      <c r="W18" s="112" t="s">
        <v>150</v>
      </c>
      <c r="X18" s="112" t="s">
        <v>151</v>
      </c>
      <c r="Y18" s="112" t="s">
        <v>150</v>
      </c>
      <c r="Z18" s="112" t="s">
        <v>151</v>
      </c>
      <c r="AA18" s="112" t="s">
        <v>151</v>
      </c>
      <c r="AB18" s="112"/>
      <c r="AC18" s="112" t="s">
        <v>152</v>
      </c>
      <c r="AD18" s="112" t="s">
        <v>146</v>
      </c>
      <c r="AE18" s="7" t="s">
        <v>196</v>
      </c>
      <c r="AF18" s="112"/>
      <c r="AG18" s="112"/>
      <c r="AH18" s="112" t="s">
        <v>154</v>
      </c>
      <c r="AI18" s="112" t="s">
        <v>155</v>
      </c>
      <c r="AJ18" s="120" t="s">
        <v>156</v>
      </c>
      <c r="AK18" s="105">
        <v>0.772222222222222</v>
      </c>
      <c r="AL18" s="105">
        <v>0.872222222222222</v>
      </c>
      <c r="AM18" s="106">
        <v>0</v>
      </c>
      <c r="AN18" s="112"/>
      <c r="AO18" s="112" t="s">
        <v>158</v>
      </c>
      <c r="AP18" s="112" t="s">
        <v>159</v>
      </c>
      <c r="AQ18" s="112" t="s">
        <v>62</v>
      </c>
      <c r="AR18" s="112" t="s">
        <v>147</v>
      </c>
      <c r="AS18" s="112" t="s">
        <v>33</v>
      </c>
      <c r="AT18" s="112" t="s">
        <v>36</v>
      </c>
      <c r="AU18" s="112"/>
      <c r="AV18" s="112"/>
      <c r="AW18" s="112"/>
      <c r="AX18" s="112"/>
      <c r="AY18" s="112"/>
      <c r="AZ18" s="112" t="s">
        <v>36</v>
      </c>
      <c r="BA18" s="121" t="s">
        <v>160</v>
      </c>
      <c r="BB18" s="122">
        <v>200</v>
      </c>
      <c r="BC18" s="122">
        <v>1</v>
      </c>
      <c r="BD18" s="122" t="s">
        <v>161</v>
      </c>
      <c r="BE18" s="122" t="str">
        <f t="shared" si="0"/>
        <v>PhuongTT</v>
      </c>
      <c r="BF18" s="122" t="str">
        <f t="shared" si="1"/>
        <v>VST</v>
      </c>
      <c r="BG18" s="123" t="b">
        <v>0</v>
      </c>
      <c r="BH18" s="122" t="s">
        <v>162</v>
      </c>
      <c r="BI18" s="122" t="s">
        <v>161</v>
      </c>
      <c r="BJ18" s="122" t="s">
        <v>161</v>
      </c>
      <c r="BK18" s="122" t="s">
        <v>163</v>
      </c>
      <c r="BL18" s="123" t="b">
        <v>0</v>
      </c>
    </row>
    <row r="19" s="110" customFormat="1" ht="69" customHeight="1" spans="1:64">
      <c r="A19" s="7" t="s">
        <v>197</v>
      </c>
      <c r="B19" s="112" t="s">
        <v>144</v>
      </c>
      <c r="C19" s="113" t="s">
        <v>29</v>
      </c>
      <c r="D19" s="114" t="s">
        <v>145</v>
      </c>
      <c r="E19" s="112" t="s">
        <v>146</v>
      </c>
      <c r="F19" s="115" t="s">
        <v>31</v>
      </c>
      <c r="G19" s="115" t="s">
        <v>32</v>
      </c>
      <c r="H19" s="112" t="s">
        <v>147</v>
      </c>
      <c r="I19" s="112" t="s">
        <v>148</v>
      </c>
      <c r="J19" s="112"/>
      <c r="K19" s="112" t="s">
        <v>149</v>
      </c>
      <c r="L19" s="112"/>
      <c r="M19" s="116"/>
      <c r="N19" s="116"/>
      <c r="O19" s="112"/>
      <c r="P19" s="112"/>
      <c r="Q19" s="112"/>
      <c r="R19" s="112"/>
      <c r="S19" s="112"/>
      <c r="T19" s="116"/>
      <c r="U19" s="112"/>
      <c r="V19" s="116"/>
      <c r="W19" s="112" t="s">
        <v>150</v>
      </c>
      <c r="X19" s="112" t="s">
        <v>151</v>
      </c>
      <c r="Y19" s="112" t="s">
        <v>150</v>
      </c>
      <c r="Z19" s="112" t="s">
        <v>151</v>
      </c>
      <c r="AA19" s="112" t="s">
        <v>151</v>
      </c>
      <c r="AB19" s="112"/>
      <c r="AC19" s="112" t="s">
        <v>152</v>
      </c>
      <c r="AD19" s="112" t="s">
        <v>146</v>
      </c>
      <c r="AE19" s="7" t="s">
        <v>198</v>
      </c>
      <c r="AF19" s="112"/>
      <c r="AG19" s="112"/>
      <c r="AH19" s="112" t="s">
        <v>154</v>
      </c>
      <c r="AI19" s="112" t="s">
        <v>155</v>
      </c>
      <c r="AJ19" s="120" t="s">
        <v>156</v>
      </c>
      <c r="AK19" s="105">
        <v>0.772222222222222</v>
      </c>
      <c r="AL19" s="105">
        <v>0.872222222222222</v>
      </c>
      <c r="AM19" s="106">
        <v>1</v>
      </c>
      <c r="AN19" s="112"/>
      <c r="AO19" s="112" t="s">
        <v>158</v>
      </c>
      <c r="AP19" s="112" t="s">
        <v>159</v>
      </c>
      <c r="AQ19" s="112" t="s">
        <v>62</v>
      </c>
      <c r="AR19" s="112" t="s">
        <v>147</v>
      </c>
      <c r="AS19" s="112" t="s">
        <v>33</v>
      </c>
      <c r="AT19" s="112" t="s">
        <v>36</v>
      </c>
      <c r="AU19" s="112"/>
      <c r="AV19" s="112"/>
      <c r="AW19" s="112"/>
      <c r="AX19" s="112"/>
      <c r="AY19" s="112"/>
      <c r="AZ19" s="112" t="s">
        <v>36</v>
      </c>
      <c r="BA19" s="121" t="s">
        <v>160</v>
      </c>
      <c r="BB19" s="122">
        <v>200</v>
      </c>
      <c r="BC19" s="122">
        <v>1</v>
      </c>
      <c r="BD19" s="122" t="s">
        <v>161</v>
      </c>
      <c r="BE19" s="122" t="str">
        <f t="shared" si="0"/>
        <v>PhuongTT</v>
      </c>
      <c r="BF19" s="122" t="str">
        <f t="shared" si="1"/>
        <v>VST</v>
      </c>
      <c r="BG19" s="123" t="b">
        <v>0</v>
      </c>
      <c r="BH19" s="122" t="s">
        <v>162</v>
      </c>
      <c r="BI19" s="122" t="s">
        <v>161</v>
      </c>
      <c r="BJ19" s="122" t="s">
        <v>161</v>
      </c>
      <c r="BK19" s="122" t="s">
        <v>163</v>
      </c>
      <c r="BL19" s="123" t="b">
        <v>0</v>
      </c>
    </row>
    <row r="20" s="110" customFormat="1" ht="69" customHeight="1" spans="1:64">
      <c r="A20" s="7" t="s">
        <v>199</v>
      </c>
      <c r="B20" s="112" t="s">
        <v>144</v>
      </c>
      <c r="C20" s="113" t="s">
        <v>29</v>
      </c>
      <c r="D20" s="114" t="s">
        <v>145</v>
      </c>
      <c r="E20" s="112" t="s">
        <v>146</v>
      </c>
      <c r="F20" s="115" t="s">
        <v>31</v>
      </c>
      <c r="G20" s="115" t="s">
        <v>32</v>
      </c>
      <c r="H20" s="112" t="s">
        <v>147</v>
      </c>
      <c r="I20" s="112" t="s">
        <v>148</v>
      </c>
      <c r="J20" s="112"/>
      <c r="K20" s="112" t="s">
        <v>149</v>
      </c>
      <c r="L20" s="112"/>
      <c r="M20" s="116"/>
      <c r="N20" s="116"/>
      <c r="O20" s="112"/>
      <c r="P20" s="112"/>
      <c r="Q20" s="112"/>
      <c r="R20" s="112"/>
      <c r="S20" s="112"/>
      <c r="T20" s="116"/>
      <c r="U20" s="112"/>
      <c r="V20" s="116"/>
      <c r="W20" s="112" t="s">
        <v>150</v>
      </c>
      <c r="X20" s="112" t="s">
        <v>151</v>
      </c>
      <c r="Y20" s="112" t="s">
        <v>150</v>
      </c>
      <c r="Z20" s="112" t="s">
        <v>151</v>
      </c>
      <c r="AA20" s="112" t="s">
        <v>151</v>
      </c>
      <c r="AB20" s="112"/>
      <c r="AC20" s="112" t="s">
        <v>152</v>
      </c>
      <c r="AD20" s="112" t="s">
        <v>146</v>
      </c>
      <c r="AE20" s="7" t="s">
        <v>200</v>
      </c>
      <c r="AF20" s="112"/>
      <c r="AG20" s="112"/>
      <c r="AH20" s="112" t="s">
        <v>154</v>
      </c>
      <c r="AI20" s="112" t="s">
        <v>155</v>
      </c>
      <c r="AJ20" s="120" t="s">
        <v>156</v>
      </c>
      <c r="AK20" s="105">
        <v>0.772222222222222</v>
      </c>
      <c r="AL20" s="105">
        <v>0.872222222222222</v>
      </c>
      <c r="AM20" s="106">
        <v>2</v>
      </c>
      <c r="AN20" s="112"/>
      <c r="AO20" s="112" t="s">
        <v>158</v>
      </c>
      <c r="AP20" s="112" t="s">
        <v>159</v>
      </c>
      <c r="AQ20" s="112" t="s">
        <v>62</v>
      </c>
      <c r="AR20" s="112" t="s">
        <v>147</v>
      </c>
      <c r="AS20" s="112" t="s">
        <v>33</v>
      </c>
      <c r="AT20" s="112" t="s">
        <v>36</v>
      </c>
      <c r="AU20" s="112"/>
      <c r="AV20" s="112"/>
      <c r="AW20" s="112"/>
      <c r="AX20" s="112"/>
      <c r="AY20" s="112"/>
      <c r="AZ20" s="112" t="s">
        <v>36</v>
      </c>
      <c r="BA20" s="121" t="s">
        <v>160</v>
      </c>
      <c r="BB20" s="122">
        <v>200</v>
      </c>
      <c r="BC20" s="122">
        <v>1</v>
      </c>
      <c r="BD20" s="122" t="s">
        <v>161</v>
      </c>
      <c r="BE20" s="122" t="str">
        <f t="shared" si="0"/>
        <v>PhuongTT</v>
      </c>
      <c r="BF20" s="122" t="str">
        <f t="shared" si="1"/>
        <v>VST</v>
      </c>
      <c r="BG20" s="123" t="b">
        <v>0</v>
      </c>
      <c r="BH20" s="122" t="s">
        <v>162</v>
      </c>
      <c r="BI20" s="122" t="s">
        <v>161</v>
      </c>
      <c r="BJ20" s="122" t="s">
        <v>161</v>
      </c>
      <c r="BK20" s="122" t="s">
        <v>163</v>
      </c>
      <c r="BL20" s="123" t="b">
        <v>0</v>
      </c>
    </row>
    <row r="21" s="110" customFormat="1" ht="69" customHeight="1" spans="1:64">
      <c r="A21" s="7" t="s">
        <v>201</v>
      </c>
      <c r="B21" s="112" t="s">
        <v>144</v>
      </c>
      <c r="C21" s="113" t="s">
        <v>29</v>
      </c>
      <c r="D21" s="114" t="s">
        <v>145</v>
      </c>
      <c r="E21" s="112" t="s">
        <v>146</v>
      </c>
      <c r="F21" s="115" t="s">
        <v>31</v>
      </c>
      <c r="G21" s="115" t="s">
        <v>32</v>
      </c>
      <c r="H21" s="112" t="s">
        <v>147</v>
      </c>
      <c r="I21" s="112" t="s">
        <v>148</v>
      </c>
      <c r="J21" s="112"/>
      <c r="K21" s="112" t="s">
        <v>149</v>
      </c>
      <c r="L21" s="112"/>
      <c r="M21" s="116"/>
      <c r="N21" s="116"/>
      <c r="O21" s="112"/>
      <c r="P21" s="112"/>
      <c r="Q21" s="112"/>
      <c r="R21" s="112"/>
      <c r="S21" s="112"/>
      <c r="T21" s="116"/>
      <c r="U21" s="112"/>
      <c r="V21" s="116"/>
      <c r="W21" s="112" t="s">
        <v>150</v>
      </c>
      <c r="X21" s="112" t="s">
        <v>151</v>
      </c>
      <c r="Y21" s="112" t="s">
        <v>150</v>
      </c>
      <c r="Z21" s="112" t="s">
        <v>151</v>
      </c>
      <c r="AA21" s="112" t="s">
        <v>151</v>
      </c>
      <c r="AB21" s="112"/>
      <c r="AC21" s="112" t="s">
        <v>152</v>
      </c>
      <c r="AD21" s="112" t="s">
        <v>146</v>
      </c>
      <c r="AE21" s="7" t="s">
        <v>202</v>
      </c>
      <c r="AF21" s="112"/>
      <c r="AG21" s="112"/>
      <c r="AH21" s="112" t="s">
        <v>154</v>
      </c>
      <c r="AI21" s="112" t="s">
        <v>155</v>
      </c>
      <c r="AJ21" s="120" t="s">
        <v>156</v>
      </c>
      <c r="AK21" s="105">
        <v>0.772222222222222</v>
      </c>
      <c r="AL21" s="105">
        <v>0.872222222222222</v>
      </c>
      <c r="AM21" s="106">
        <v>3</v>
      </c>
      <c r="AN21" s="112"/>
      <c r="AO21" s="112" t="s">
        <v>158</v>
      </c>
      <c r="AP21" s="112" t="s">
        <v>159</v>
      </c>
      <c r="AQ21" s="112" t="s">
        <v>62</v>
      </c>
      <c r="AR21" s="112" t="s">
        <v>147</v>
      </c>
      <c r="AS21" s="112" t="s">
        <v>33</v>
      </c>
      <c r="AT21" s="112" t="s">
        <v>36</v>
      </c>
      <c r="AU21" s="112"/>
      <c r="AV21" s="112"/>
      <c r="AW21" s="112"/>
      <c r="AX21" s="112"/>
      <c r="AY21" s="112"/>
      <c r="AZ21" s="112" t="s">
        <v>36</v>
      </c>
      <c r="BA21" s="121" t="s">
        <v>160</v>
      </c>
      <c r="BB21" s="122">
        <v>200</v>
      </c>
      <c r="BC21" s="122">
        <v>1</v>
      </c>
      <c r="BD21" s="122" t="s">
        <v>161</v>
      </c>
      <c r="BE21" s="122" t="str">
        <f t="shared" si="0"/>
        <v>PhuongTT</v>
      </c>
      <c r="BF21" s="122" t="str">
        <f t="shared" si="1"/>
        <v>VST</v>
      </c>
      <c r="BG21" s="123" t="b">
        <v>0</v>
      </c>
      <c r="BH21" s="122" t="s">
        <v>162</v>
      </c>
      <c r="BI21" s="122" t="s">
        <v>161</v>
      </c>
      <c r="BJ21" s="122" t="s">
        <v>161</v>
      </c>
      <c r="BK21" s="122" t="s">
        <v>163</v>
      </c>
      <c r="BL21" s="123" t="b">
        <v>0</v>
      </c>
    </row>
    <row r="22" s="110" customFormat="1" ht="50" customHeight="1" spans="1:64">
      <c r="A22" s="7" t="s">
        <v>203</v>
      </c>
      <c r="B22" s="112" t="s">
        <v>144</v>
      </c>
      <c r="C22" s="113" t="s">
        <v>29</v>
      </c>
      <c r="D22" s="114" t="s">
        <v>145</v>
      </c>
      <c r="E22" s="112" t="s">
        <v>146</v>
      </c>
      <c r="F22" s="115" t="s">
        <v>31</v>
      </c>
      <c r="G22" s="115" t="s">
        <v>32</v>
      </c>
      <c r="H22" s="112" t="s">
        <v>147</v>
      </c>
      <c r="I22" s="112" t="s">
        <v>148</v>
      </c>
      <c r="J22" s="112"/>
      <c r="K22" s="112" t="s">
        <v>149</v>
      </c>
      <c r="L22" s="112"/>
      <c r="M22" s="116"/>
      <c r="N22" s="116"/>
      <c r="O22" s="112"/>
      <c r="P22" s="112"/>
      <c r="Q22" s="112"/>
      <c r="R22" s="112"/>
      <c r="S22" s="112"/>
      <c r="T22" s="116"/>
      <c r="U22" s="112"/>
      <c r="V22" s="116"/>
      <c r="W22" s="112" t="s">
        <v>150</v>
      </c>
      <c r="X22" s="112" t="s">
        <v>151</v>
      </c>
      <c r="Y22" s="112" t="s">
        <v>150</v>
      </c>
      <c r="Z22" s="112" t="s">
        <v>151</v>
      </c>
      <c r="AA22" s="112" t="s">
        <v>151</v>
      </c>
      <c r="AB22" s="112"/>
      <c r="AC22" s="112" t="s">
        <v>152</v>
      </c>
      <c r="AD22" s="112" t="s">
        <v>146</v>
      </c>
      <c r="AE22" s="7" t="s">
        <v>204</v>
      </c>
      <c r="AF22" s="112"/>
      <c r="AG22" s="112"/>
      <c r="AH22" s="112" t="s">
        <v>154</v>
      </c>
      <c r="AI22" s="112" t="s">
        <v>155</v>
      </c>
      <c r="AJ22" s="120" t="s">
        <v>156</v>
      </c>
      <c r="AK22" s="105">
        <v>0.777777777777778</v>
      </c>
      <c r="AL22" s="105">
        <v>0.877777777777778</v>
      </c>
      <c r="AM22" s="106">
        <v>0</v>
      </c>
      <c r="AN22" s="112"/>
      <c r="AO22" s="112" t="s">
        <v>158</v>
      </c>
      <c r="AP22" s="112" t="s">
        <v>159</v>
      </c>
      <c r="AQ22" s="112" t="s">
        <v>62</v>
      </c>
      <c r="AR22" s="112" t="s">
        <v>147</v>
      </c>
      <c r="AS22" s="112" t="s">
        <v>33</v>
      </c>
      <c r="AT22" s="112" t="s">
        <v>36</v>
      </c>
      <c r="AU22" s="112"/>
      <c r="AV22" s="112"/>
      <c r="AW22" s="112"/>
      <c r="AX22" s="112"/>
      <c r="AY22" s="112"/>
      <c r="AZ22" s="112" t="s">
        <v>36</v>
      </c>
      <c r="BA22" s="121" t="s">
        <v>160</v>
      </c>
      <c r="BB22" s="122">
        <v>200</v>
      </c>
      <c r="BC22" s="122">
        <v>1</v>
      </c>
      <c r="BD22" s="122" t="s">
        <v>161</v>
      </c>
      <c r="BE22" s="122" t="str">
        <f t="shared" si="0"/>
        <v>PhuongTT</v>
      </c>
      <c r="BF22" s="122" t="str">
        <f t="shared" si="1"/>
        <v>VST</v>
      </c>
      <c r="BG22" s="123" t="b">
        <v>0</v>
      </c>
      <c r="BH22" s="122" t="s">
        <v>162</v>
      </c>
      <c r="BI22" s="122" t="s">
        <v>161</v>
      </c>
      <c r="BJ22" s="122" t="s">
        <v>161</v>
      </c>
      <c r="BK22" s="122" t="s">
        <v>163</v>
      </c>
      <c r="BL22" s="123" t="b">
        <v>0</v>
      </c>
    </row>
    <row r="23" s="110" customFormat="1" ht="69" customHeight="1" spans="1:64">
      <c r="A23" s="7" t="s">
        <v>205</v>
      </c>
      <c r="B23" s="112" t="s">
        <v>144</v>
      </c>
      <c r="C23" s="113" t="s">
        <v>29</v>
      </c>
      <c r="D23" s="114" t="s">
        <v>145</v>
      </c>
      <c r="E23" s="112" t="s">
        <v>146</v>
      </c>
      <c r="F23" s="115" t="s">
        <v>31</v>
      </c>
      <c r="G23" s="115" t="s">
        <v>32</v>
      </c>
      <c r="H23" s="112" t="s">
        <v>147</v>
      </c>
      <c r="I23" s="112" t="s">
        <v>148</v>
      </c>
      <c r="J23" s="112"/>
      <c r="K23" s="112" t="s">
        <v>149</v>
      </c>
      <c r="L23" s="112"/>
      <c r="M23" s="116"/>
      <c r="N23" s="116"/>
      <c r="O23" s="112"/>
      <c r="P23" s="112"/>
      <c r="Q23" s="112"/>
      <c r="R23" s="112"/>
      <c r="S23" s="112"/>
      <c r="T23" s="116"/>
      <c r="U23" s="112"/>
      <c r="V23" s="116"/>
      <c r="W23" s="112" t="s">
        <v>150</v>
      </c>
      <c r="X23" s="112" t="s">
        <v>151</v>
      </c>
      <c r="Y23" s="112" t="s">
        <v>150</v>
      </c>
      <c r="Z23" s="112" t="s">
        <v>151</v>
      </c>
      <c r="AA23" s="112" t="s">
        <v>151</v>
      </c>
      <c r="AB23" s="112"/>
      <c r="AC23" s="112" t="s">
        <v>152</v>
      </c>
      <c r="AD23" s="112" t="s">
        <v>146</v>
      </c>
      <c r="AE23" s="7" t="s">
        <v>206</v>
      </c>
      <c r="AF23" s="112"/>
      <c r="AG23" s="112"/>
      <c r="AH23" s="112" t="s">
        <v>154</v>
      </c>
      <c r="AI23" s="112" t="s">
        <v>155</v>
      </c>
      <c r="AJ23" s="120" t="s">
        <v>156</v>
      </c>
      <c r="AK23" s="105">
        <v>0.777777777777778</v>
      </c>
      <c r="AL23" s="105">
        <v>0.877777777777778</v>
      </c>
      <c r="AM23" s="106">
        <v>1</v>
      </c>
      <c r="AN23" s="112"/>
      <c r="AO23" s="112" t="s">
        <v>158</v>
      </c>
      <c r="AP23" s="112" t="s">
        <v>159</v>
      </c>
      <c r="AQ23" s="112" t="s">
        <v>62</v>
      </c>
      <c r="AR23" s="112" t="s">
        <v>147</v>
      </c>
      <c r="AS23" s="112" t="s">
        <v>33</v>
      </c>
      <c r="AT23" s="112" t="s">
        <v>36</v>
      </c>
      <c r="AU23" s="112"/>
      <c r="AV23" s="112"/>
      <c r="AW23" s="112"/>
      <c r="AX23" s="112"/>
      <c r="AY23" s="112"/>
      <c r="AZ23" s="112" t="s">
        <v>36</v>
      </c>
      <c r="BA23" s="121" t="s">
        <v>160</v>
      </c>
      <c r="BB23" s="122">
        <v>200</v>
      </c>
      <c r="BC23" s="122">
        <v>1</v>
      </c>
      <c r="BD23" s="122" t="s">
        <v>161</v>
      </c>
      <c r="BE23" s="122" t="str">
        <f t="shared" si="0"/>
        <v>PhuongTT</v>
      </c>
      <c r="BF23" s="122" t="str">
        <f t="shared" si="1"/>
        <v>VST</v>
      </c>
      <c r="BG23" s="123" t="b">
        <v>0</v>
      </c>
      <c r="BH23" s="122" t="s">
        <v>162</v>
      </c>
      <c r="BI23" s="122" t="s">
        <v>161</v>
      </c>
      <c r="BJ23" s="122" t="s">
        <v>161</v>
      </c>
      <c r="BK23" s="122" t="s">
        <v>163</v>
      </c>
      <c r="BL23" s="123" t="b">
        <v>0</v>
      </c>
    </row>
    <row r="24" s="110" customFormat="1" ht="69" customHeight="1" spans="1:64">
      <c r="A24" s="7" t="s">
        <v>207</v>
      </c>
      <c r="B24" s="112" t="s">
        <v>144</v>
      </c>
      <c r="C24" s="113" t="s">
        <v>29</v>
      </c>
      <c r="D24" s="114" t="s">
        <v>145</v>
      </c>
      <c r="E24" s="112" t="s">
        <v>146</v>
      </c>
      <c r="F24" s="115" t="s">
        <v>31</v>
      </c>
      <c r="G24" s="115" t="s">
        <v>32</v>
      </c>
      <c r="H24" s="112" t="s">
        <v>147</v>
      </c>
      <c r="I24" s="112" t="s">
        <v>148</v>
      </c>
      <c r="J24" s="112"/>
      <c r="K24" s="112" t="s">
        <v>149</v>
      </c>
      <c r="L24" s="112"/>
      <c r="M24" s="116"/>
      <c r="N24" s="116"/>
      <c r="O24" s="112"/>
      <c r="P24" s="112"/>
      <c r="Q24" s="112"/>
      <c r="R24" s="112"/>
      <c r="S24" s="112"/>
      <c r="T24" s="116"/>
      <c r="U24" s="112"/>
      <c r="V24" s="116"/>
      <c r="W24" s="112" t="s">
        <v>150</v>
      </c>
      <c r="X24" s="112" t="s">
        <v>151</v>
      </c>
      <c r="Y24" s="112" t="s">
        <v>150</v>
      </c>
      <c r="Z24" s="112" t="s">
        <v>151</v>
      </c>
      <c r="AA24" s="112" t="s">
        <v>151</v>
      </c>
      <c r="AB24" s="112"/>
      <c r="AC24" s="112" t="s">
        <v>152</v>
      </c>
      <c r="AD24" s="112" t="s">
        <v>146</v>
      </c>
      <c r="AE24" s="7" t="s">
        <v>208</v>
      </c>
      <c r="AF24" s="112"/>
      <c r="AG24" s="112"/>
      <c r="AH24" s="112" t="s">
        <v>154</v>
      </c>
      <c r="AI24" s="112" t="s">
        <v>155</v>
      </c>
      <c r="AJ24" s="120" t="s">
        <v>156</v>
      </c>
      <c r="AK24" s="105">
        <v>0.777777777777778</v>
      </c>
      <c r="AL24" s="105">
        <v>0.877777777777778</v>
      </c>
      <c r="AM24" s="106">
        <v>2</v>
      </c>
      <c r="AN24" s="112"/>
      <c r="AO24" s="112" t="s">
        <v>158</v>
      </c>
      <c r="AP24" s="112" t="s">
        <v>159</v>
      </c>
      <c r="AQ24" s="112" t="s">
        <v>62</v>
      </c>
      <c r="AR24" s="112" t="s">
        <v>147</v>
      </c>
      <c r="AS24" s="112" t="s">
        <v>33</v>
      </c>
      <c r="AT24" s="112" t="s">
        <v>36</v>
      </c>
      <c r="AU24" s="112"/>
      <c r="AV24" s="112"/>
      <c r="AW24" s="112"/>
      <c r="AX24" s="112"/>
      <c r="AY24" s="112"/>
      <c r="AZ24" s="112" t="s">
        <v>36</v>
      </c>
      <c r="BA24" s="121" t="s">
        <v>160</v>
      </c>
      <c r="BB24" s="122">
        <v>200</v>
      </c>
      <c r="BC24" s="122">
        <v>1</v>
      </c>
      <c r="BD24" s="122" t="s">
        <v>161</v>
      </c>
      <c r="BE24" s="122" t="str">
        <f t="shared" si="0"/>
        <v>PhuongTT</v>
      </c>
      <c r="BF24" s="122" t="str">
        <f t="shared" si="1"/>
        <v>VST</v>
      </c>
      <c r="BG24" s="123" t="b">
        <v>0</v>
      </c>
      <c r="BH24" s="122" t="s">
        <v>162</v>
      </c>
      <c r="BI24" s="122" t="s">
        <v>161</v>
      </c>
      <c r="BJ24" s="122" t="s">
        <v>161</v>
      </c>
      <c r="BK24" s="122" t="s">
        <v>163</v>
      </c>
      <c r="BL24" s="123" t="b">
        <v>0</v>
      </c>
    </row>
    <row r="25" s="110" customFormat="1" ht="69" customHeight="1" spans="1:64">
      <c r="A25" s="7" t="s">
        <v>209</v>
      </c>
      <c r="B25" s="112" t="s">
        <v>144</v>
      </c>
      <c r="C25" s="113" t="s">
        <v>29</v>
      </c>
      <c r="D25" s="114" t="s">
        <v>145</v>
      </c>
      <c r="E25" s="112" t="s">
        <v>146</v>
      </c>
      <c r="F25" s="115" t="s">
        <v>31</v>
      </c>
      <c r="G25" s="115" t="s">
        <v>32</v>
      </c>
      <c r="H25" s="112" t="s">
        <v>147</v>
      </c>
      <c r="I25" s="112" t="s">
        <v>148</v>
      </c>
      <c r="J25" s="112"/>
      <c r="K25" s="112" t="s">
        <v>149</v>
      </c>
      <c r="L25" s="112"/>
      <c r="M25" s="116"/>
      <c r="N25" s="116"/>
      <c r="O25" s="112"/>
      <c r="P25" s="112"/>
      <c r="Q25" s="112"/>
      <c r="R25" s="112"/>
      <c r="S25" s="112"/>
      <c r="T25" s="116"/>
      <c r="U25" s="112"/>
      <c r="V25" s="116"/>
      <c r="W25" s="112" t="s">
        <v>150</v>
      </c>
      <c r="X25" s="112" t="s">
        <v>151</v>
      </c>
      <c r="Y25" s="112" t="s">
        <v>150</v>
      </c>
      <c r="Z25" s="112" t="s">
        <v>151</v>
      </c>
      <c r="AA25" s="112" t="s">
        <v>151</v>
      </c>
      <c r="AB25" s="112"/>
      <c r="AC25" s="112" t="s">
        <v>152</v>
      </c>
      <c r="AD25" s="112" t="s">
        <v>146</v>
      </c>
      <c r="AE25" s="7" t="s">
        <v>210</v>
      </c>
      <c r="AF25" s="112"/>
      <c r="AG25" s="112"/>
      <c r="AH25" s="112" t="s">
        <v>154</v>
      </c>
      <c r="AI25" s="112" t="s">
        <v>155</v>
      </c>
      <c r="AJ25" s="120" t="s">
        <v>156</v>
      </c>
      <c r="AK25" s="105">
        <v>0.777777777777778</v>
      </c>
      <c r="AL25" s="105">
        <v>0.877777777777778</v>
      </c>
      <c r="AM25" s="106">
        <v>3</v>
      </c>
      <c r="AN25" s="112"/>
      <c r="AO25" s="112" t="s">
        <v>158</v>
      </c>
      <c r="AP25" s="112" t="s">
        <v>159</v>
      </c>
      <c r="AQ25" s="112" t="s">
        <v>62</v>
      </c>
      <c r="AR25" s="112" t="s">
        <v>147</v>
      </c>
      <c r="AS25" s="112" t="s">
        <v>33</v>
      </c>
      <c r="AT25" s="112" t="s">
        <v>36</v>
      </c>
      <c r="AU25" s="112"/>
      <c r="AV25" s="112"/>
      <c r="AW25" s="112"/>
      <c r="AX25" s="112"/>
      <c r="AY25" s="112"/>
      <c r="AZ25" s="112" t="s">
        <v>36</v>
      </c>
      <c r="BA25" s="121" t="s">
        <v>160</v>
      </c>
      <c r="BB25" s="122">
        <v>200</v>
      </c>
      <c r="BC25" s="122">
        <v>1</v>
      </c>
      <c r="BD25" s="122" t="s">
        <v>161</v>
      </c>
      <c r="BE25" s="122" t="str">
        <f t="shared" si="0"/>
        <v>PhuongTT</v>
      </c>
      <c r="BF25" s="122" t="str">
        <f t="shared" si="1"/>
        <v>VST</v>
      </c>
      <c r="BG25" s="123" t="b">
        <v>0</v>
      </c>
      <c r="BH25" s="122" t="s">
        <v>162</v>
      </c>
      <c r="BI25" s="122" t="s">
        <v>161</v>
      </c>
      <c r="BJ25" s="122" t="s">
        <v>161</v>
      </c>
      <c r="BK25" s="122" t="s">
        <v>163</v>
      </c>
      <c r="BL25" s="123" t="b">
        <v>0</v>
      </c>
    </row>
    <row r="26" s="110" customFormat="1" ht="69" customHeight="1" spans="1:64">
      <c r="A26" s="7" t="s">
        <v>211</v>
      </c>
      <c r="B26" s="112" t="s">
        <v>144</v>
      </c>
      <c r="C26" s="113" t="s">
        <v>29</v>
      </c>
      <c r="D26" s="114" t="s">
        <v>145</v>
      </c>
      <c r="E26" s="112" t="s">
        <v>146</v>
      </c>
      <c r="F26" s="115" t="s">
        <v>31</v>
      </c>
      <c r="G26" s="115" t="s">
        <v>32</v>
      </c>
      <c r="H26" s="112" t="s">
        <v>147</v>
      </c>
      <c r="I26" s="112" t="s">
        <v>148</v>
      </c>
      <c r="J26" s="112"/>
      <c r="K26" s="112" t="s">
        <v>149</v>
      </c>
      <c r="L26" s="112"/>
      <c r="M26" s="116"/>
      <c r="N26" s="116"/>
      <c r="O26" s="112"/>
      <c r="P26" s="112"/>
      <c r="Q26" s="112"/>
      <c r="R26" s="112"/>
      <c r="S26" s="112"/>
      <c r="T26" s="116"/>
      <c r="U26" s="112"/>
      <c r="V26" s="116"/>
      <c r="W26" s="112" t="s">
        <v>150</v>
      </c>
      <c r="X26" s="112" t="s">
        <v>151</v>
      </c>
      <c r="Y26" s="112" t="s">
        <v>150</v>
      </c>
      <c r="Z26" s="112" t="s">
        <v>151</v>
      </c>
      <c r="AA26" s="112" t="s">
        <v>151</v>
      </c>
      <c r="AB26" s="112"/>
      <c r="AC26" s="112" t="s">
        <v>152</v>
      </c>
      <c r="AD26" s="112" t="s">
        <v>146</v>
      </c>
      <c r="AE26" s="7" t="s">
        <v>212</v>
      </c>
      <c r="AF26" s="112"/>
      <c r="AG26" s="112"/>
      <c r="AH26" s="112" t="s">
        <v>154</v>
      </c>
      <c r="AI26" s="112" t="s">
        <v>155</v>
      </c>
      <c r="AJ26" s="120" t="s">
        <v>156</v>
      </c>
      <c r="AK26" s="105">
        <v>0.783333333333333</v>
      </c>
      <c r="AL26" s="105">
        <v>0.883333333333333</v>
      </c>
      <c r="AM26" s="106">
        <v>0</v>
      </c>
      <c r="AN26" s="112"/>
      <c r="AO26" s="112" t="s">
        <v>158</v>
      </c>
      <c r="AP26" s="112" t="s">
        <v>159</v>
      </c>
      <c r="AQ26" s="112" t="s">
        <v>62</v>
      </c>
      <c r="AR26" s="112" t="s">
        <v>147</v>
      </c>
      <c r="AS26" s="112" t="s">
        <v>33</v>
      </c>
      <c r="AT26" s="112" t="s">
        <v>36</v>
      </c>
      <c r="AU26" s="112"/>
      <c r="AV26" s="112"/>
      <c r="AW26" s="112"/>
      <c r="AX26" s="112"/>
      <c r="AY26" s="112"/>
      <c r="AZ26" s="112" t="s">
        <v>36</v>
      </c>
      <c r="BA26" s="121" t="s">
        <v>160</v>
      </c>
      <c r="BB26" s="122">
        <v>200</v>
      </c>
      <c r="BC26" s="122">
        <v>1</v>
      </c>
      <c r="BD26" s="122" t="s">
        <v>161</v>
      </c>
      <c r="BE26" s="122" t="str">
        <f t="shared" si="0"/>
        <v>PhuongTT</v>
      </c>
      <c r="BF26" s="122" t="str">
        <f t="shared" si="1"/>
        <v>VST</v>
      </c>
      <c r="BG26" s="123" t="b">
        <v>0</v>
      </c>
      <c r="BH26" s="122" t="s">
        <v>162</v>
      </c>
      <c r="BI26" s="122" t="s">
        <v>161</v>
      </c>
      <c r="BJ26" s="122" t="s">
        <v>161</v>
      </c>
      <c r="BK26" s="122" t="s">
        <v>163</v>
      </c>
      <c r="BL26" s="123" t="b">
        <v>0</v>
      </c>
    </row>
    <row r="27" s="110" customFormat="1" ht="50" customHeight="1" spans="1:64">
      <c r="A27" s="7" t="s">
        <v>213</v>
      </c>
      <c r="B27" s="112" t="s">
        <v>144</v>
      </c>
      <c r="C27" s="113" t="s">
        <v>29</v>
      </c>
      <c r="D27" s="114" t="s">
        <v>145</v>
      </c>
      <c r="E27" s="112" t="s">
        <v>146</v>
      </c>
      <c r="F27" s="115" t="s">
        <v>31</v>
      </c>
      <c r="G27" s="115" t="s">
        <v>32</v>
      </c>
      <c r="H27" s="112" t="s">
        <v>147</v>
      </c>
      <c r="I27" s="112" t="s">
        <v>148</v>
      </c>
      <c r="J27" s="112"/>
      <c r="K27" s="112" t="s">
        <v>149</v>
      </c>
      <c r="L27" s="112"/>
      <c r="M27" s="116"/>
      <c r="N27" s="116"/>
      <c r="O27" s="112"/>
      <c r="P27" s="112"/>
      <c r="Q27" s="112"/>
      <c r="R27" s="112"/>
      <c r="S27" s="112"/>
      <c r="T27" s="116"/>
      <c r="U27" s="112"/>
      <c r="V27" s="116"/>
      <c r="W27" s="112" t="s">
        <v>150</v>
      </c>
      <c r="X27" s="112" t="s">
        <v>151</v>
      </c>
      <c r="Y27" s="112" t="s">
        <v>150</v>
      </c>
      <c r="Z27" s="112" t="s">
        <v>151</v>
      </c>
      <c r="AA27" s="112" t="s">
        <v>151</v>
      </c>
      <c r="AB27" s="112"/>
      <c r="AC27" s="112" t="s">
        <v>152</v>
      </c>
      <c r="AD27" s="112" t="s">
        <v>146</v>
      </c>
      <c r="AE27" s="7" t="s">
        <v>214</v>
      </c>
      <c r="AF27" s="112"/>
      <c r="AG27" s="112"/>
      <c r="AH27" s="112" t="s">
        <v>154</v>
      </c>
      <c r="AI27" s="112" t="s">
        <v>155</v>
      </c>
      <c r="AJ27" s="120" t="s">
        <v>156</v>
      </c>
      <c r="AK27" s="105">
        <v>0.783333333333333</v>
      </c>
      <c r="AL27" s="105">
        <v>0.883333333333333</v>
      </c>
      <c r="AM27" s="106">
        <v>1</v>
      </c>
      <c r="AN27" s="112"/>
      <c r="AO27" s="112" t="s">
        <v>158</v>
      </c>
      <c r="AP27" s="112" t="s">
        <v>159</v>
      </c>
      <c r="AQ27" s="112" t="s">
        <v>62</v>
      </c>
      <c r="AR27" s="112" t="s">
        <v>147</v>
      </c>
      <c r="AS27" s="112" t="s">
        <v>33</v>
      </c>
      <c r="AT27" s="112" t="s">
        <v>36</v>
      </c>
      <c r="AU27" s="112"/>
      <c r="AV27" s="112"/>
      <c r="AW27" s="112"/>
      <c r="AX27" s="112"/>
      <c r="AY27" s="112"/>
      <c r="AZ27" s="112" t="s">
        <v>36</v>
      </c>
      <c r="BA27" s="121" t="s">
        <v>160</v>
      </c>
      <c r="BB27" s="122">
        <v>200</v>
      </c>
      <c r="BC27" s="122">
        <v>1</v>
      </c>
      <c r="BD27" s="122" t="s">
        <v>161</v>
      </c>
      <c r="BE27" s="122" t="str">
        <f t="shared" si="0"/>
        <v>PhuongTT</v>
      </c>
      <c r="BF27" s="122" t="str">
        <f t="shared" si="1"/>
        <v>VST</v>
      </c>
      <c r="BG27" s="123" t="b">
        <v>0</v>
      </c>
      <c r="BH27" s="122" t="s">
        <v>162</v>
      </c>
      <c r="BI27" s="122" t="s">
        <v>161</v>
      </c>
      <c r="BJ27" s="122" t="s">
        <v>161</v>
      </c>
      <c r="BK27" s="122" t="s">
        <v>163</v>
      </c>
      <c r="BL27" s="123" t="b">
        <v>0</v>
      </c>
    </row>
    <row r="28" s="110" customFormat="1" ht="69" customHeight="1" spans="1:64">
      <c r="A28" s="7" t="s">
        <v>215</v>
      </c>
      <c r="B28" s="112" t="s">
        <v>144</v>
      </c>
      <c r="C28" s="113" t="s">
        <v>29</v>
      </c>
      <c r="D28" s="114" t="s">
        <v>145</v>
      </c>
      <c r="E28" s="112" t="s">
        <v>146</v>
      </c>
      <c r="F28" s="115" t="s">
        <v>31</v>
      </c>
      <c r="G28" s="115" t="s">
        <v>32</v>
      </c>
      <c r="H28" s="112" t="s">
        <v>147</v>
      </c>
      <c r="I28" s="112" t="s">
        <v>148</v>
      </c>
      <c r="J28" s="112"/>
      <c r="K28" s="112" t="s">
        <v>149</v>
      </c>
      <c r="L28" s="112"/>
      <c r="M28" s="116"/>
      <c r="N28" s="116"/>
      <c r="O28" s="112"/>
      <c r="P28" s="112"/>
      <c r="Q28" s="112"/>
      <c r="R28" s="112"/>
      <c r="S28" s="112"/>
      <c r="T28" s="116"/>
      <c r="U28" s="112"/>
      <c r="V28" s="116"/>
      <c r="W28" s="112" t="s">
        <v>150</v>
      </c>
      <c r="X28" s="112" t="s">
        <v>151</v>
      </c>
      <c r="Y28" s="112" t="s">
        <v>150</v>
      </c>
      <c r="Z28" s="112" t="s">
        <v>151</v>
      </c>
      <c r="AA28" s="112" t="s">
        <v>151</v>
      </c>
      <c r="AB28" s="112"/>
      <c r="AC28" s="112" t="s">
        <v>152</v>
      </c>
      <c r="AD28" s="112" t="s">
        <v>146</v>
      </c>
      <c r="AE28" s="7" t="s">
        <v>216</v>
      </c>
      <c r="AF28" s="112"/>
      <c r="AG28" s="112"/>
      <c r="AH28" s="112" t="s">
        <v>154</v>
      </c>
      <c r="AI28" s="112" t="s">
        <v>155</v>
      </c>
      <c r="AJ28" s="120" t="s">
        <v>156</v>
      </c>
      <c r="AK28" s="105">
        <v>0.783333333333333</v>
      </c>
      <c r="AL28" s="105">
        <v>0.883333333333333</v>
      </c>
      <c r="AM28" s="106">
        <v>2</v>
      </c>
      <c r="AN28" s="112"/>
      <c r="AO28" s="112" t="s">
        <v>158</v>
      </c>
      <c r="AP28" s="112" t="s">
        <v>159</v>
      </c>
      <c r="AQ28" s="112" t="s">
        <v>62</v>
      </c>
      <c r="AR28" s="112" t="s">
        <v>147</v>
      </c>
      <c r="AS28" s="112" t="s">
        <v>33</v>
      </c>
      <c r="AT28" s="112" t="s">
        <v>36</v>
      </c>
      <c r="AU28" s="112"/>
      <c r="AV28" s="112"/>
      <c r="AW28" s="112"/>
      <c r="AX28" s="112"/>
      <c r="AY28" s="112"/>
      <c r="AZ28" s="112" t="s">
        <v>36</v>
      </c>
      <c r="BA28" s="121" t="s">
        <v>160</v>
      </c>
      <c r="BB28" s="122">
        <v>200</v>
      </c>
      <c r="BC28" s="122">
        <v>1</v>
      </c>
      <c r="BD28" s="122" t="s">
        <v>161</v>
      </c>
      <c r="BE28" s="122" t="str">
        <f t="shared" si="0"/>
        <v>PhuongTT</v>
      </c>
      <c r="BF28" s="122" t="str">
        <f t="shared" si="1"/>
        <v>VST</v>
      </c>
      <c r="BG28" s="123" t="b">
        <v>0</v>
      </c>
      <c r="BH28" s="122" t="s">
        <v>162</v>
      </c>
      <c r="BI28" s="122" t="s">
        <v>161</v>
      </c>
      <c r="BJ28" s="122" t="s">
        <v>161</v>
      </c>
      <c r="BK28" s="122" t="s">
        <v>163</v>
      </c>
      <c r="BL28" s="123" t="b">
        <v>0</v>
      </c>
    </row>
    <row r="29" s="110" customFormat="1" ht="69" customHeight="1" spans="1:64">
      <c r="A29" s="7" t="s">
        <v>217</v>
      </c>
      <c r="B29" s="112" t="s">
        <v>144</v>
      </c>
      <c r="C29" s="113" t="s">
        <v>29</v>
      </c>
      <c r="D29" s="114" t="s">
        <v>145</v>
      </c>
      <c r="E29" s="112" t="s">
        <v>146</v>
      </c>
      <c r="F29" s="115" t="s">
        <v>31</v>
      </c>
      <c r="G29" s="115" t="s">
        <v>32</v>
      </c>
      <c r="H29" s="112" t="s">
        <v>147</v>
      </c>
      <c r="I29" s="112" t="s">
        <v>148</v>
      </c>
      <c r="J29" s="112"/>
      <c r="K29" s="112" t="s">
        <v>149</v>
      </c>
      <c r="L29" s="112"/>
      <c r="M29" s="116"/>
      <c r="N29" s="116"/>
      <c r="O29" s="112"/>
      <c r="P29" s="112"/>
      <c r="Q29" s="112"/>
      <c r="R29" s="112"/>
      <c r="S29" s="112"/>
      <c r="T29" s="116"/>
      <c r="U29" s="112"/>
      <c r="V29" s="116"/>
      <c r="W29" s="112" t="s">
        <v>150</v>
      </c>
      <c r="X29" s="112" t="s">
        <v>151</v>
      </c>
      <c r="Y29" s="112" t="s">
        <v>150</v>
      </c>
      <c r="Z29" s="112" t="s">
        <v>151</v>
      </c>
      <c r="AA29" s="112" t="s">
        <v>151</v>
      </c>
      <c r="AB29" s="112"/>
      <c r="AC29" s="112" t="s">
        <v>152</v>
      </c>
      <c r="AD29" s="112" t="s">
        <v>146</v>
      </c>
      <c r="AE29" s="7" t="s">
        <v>218</v>
      </c>
      <c r="AF29" s="112"/>
      <c r="AG29" s="112"/>
      <c r="AH29" s="112" t="s">
        <v>154</v>
      </c>
      <c r="AI29" s="112" t="s">
        <v>155</v>
      </c>
      <c r="AJ29" s="120" t="s">
        <v>156</v>
      </c>
      <c r="AK29" s="105">
        <v>0.783333333333333</v>
      </c>
      <c r="AL29" s="105">
        <v>0.883333333333333</v>
      </c>
      <c r="AM29" s="106">
        <v>3</v>
      </c>
      <c r="AN29" s="112"/>
      <c r="AO29" s="112" t="s">
        <v>158</v>
      </c>
      <c r="AP29" s="112" t="s">
        <v>159</v>
      </c>
      <c r="AQ29" s="112" t="s">
        <v>62</v>
      </c>
      <c r="AR29" s="112" t="s">
        <v>147</v>
      </c>
      <c r="AS29" s="112" t="s">
        <v>33</v>
      </c>
      <c r="AT29" s="112" t="s">
        <v>36</v>
      </c>
      <c r="AU29" s="112"/>
      <c r="AV29" s="112"/>
      <c r="AW29" s="112"/>
      <c r="AX29" s="112"/>
      <c r="AY29" s="112"/>
      <c r="AZ29" s="112" t="s">
        <v>36</v>
      </c>
      <c r="BA29" s="121" t="s">
        <v>160</v>
      </c>
      <c r="BB29" s="122">
        <v>200</v>
      </c>
      <c r="BC29" s="122">
        <v>1</v>
      </c>
      <c r="BD29" s="122" t="s">
        <v>161</v>
      </c>
      <c r="BE29" s="122" t="str">
        <f t="shared" si="0"/>
        <v>PhuongTT</v>
      </c>
      <c r="BF29" s="122" t="str">
        <f t="shared" si="1"/>
        <v>VST</v>
      </c>
      <c r="BG29" s="123" t="b">
        <v>0</v>
      </c>
      <c r="BH29" s="122" t="s">
        <v>162</v>
      </c>
      <c r="BI29" s="122" t="s">
        <v>161</v>
      </c>
      <c r="BJ29" s="122" t="s">
        <v>161</v>
      </c>
      <c r="BK29" s="122" t="s">
        <v>163</v>
      </c>
      <c r="BL29" s="123" t="b">
        <v>0</v>
      </c>
    </row>
    <row r="30" s="110" customFormat="1" ht="69" customHeight="1" spans="1:64">
      <c r="A30" s="7" t="s">
        <v>219</v>
      </c>
      <c r="B30" s="112" t="s">
        <v>144</v>
      </c>
      <c r="C30" s="113" t="s">
        <v>29</v>
      </c>
      <c r="D30" s="114" t="s">
        <v>145</v>
      </c>
      <c r="E30" s="112" t="s">
        <v>146</v>
      </c>
      <c r="F30" s="115" t="s">
        <v>31</v>
      </c>
      <c r="G30" s="115" t="s">
        <v>32</v>
      </c>
      <c r="H30" s="112" t="s">
        <v>147</v>
      </c>
      <c r="I30" s="112" t="s">
        <v>148</v>
      </c>
      <c r="J30" s="112"/>
      <c r="K30" s="112" t="s">
        <v>149</v>
      </c>
      <c r="L30" s="112"/>
      <c r="M30" s="116"/>
      <c r="N30" s="116"/>
      <c r="O30" s="112"/>
      <c r="P30" s="112"/>
      <c r="Q30" s="112"/>
      <c r="R30" s="112"/>
      <c r="S30" s="112"/>
      <c r="T30" s="116"/>
      <c r="U30" s="112"/>
      <c r="V30" s="116"/>
      <c r="W30" s="112" t="s">
        <v>150</v>
      </c>
      <c r="X30" s="112" t="s">
        <v>151</v>
      </c>
      <c r="Y30" s="112" t="s">
        <v>150</v>
      </c>
      <c r="Z30" s="112" t="s">
        <v>151</v>
      </c>
      <c r="AA30" s="112" t="s">
        <v>151</v>
      </c>
      <c r="AB30" s="112"/>
      <c r="AC30" s="112" t="s">
        <v>152</v>
      </c>
      <c r="AD30" s="112" t="s">
        <v>146</v>
      </c>
      <c r="AE30" s="7" t="s">
        <v>220</v>
      </c>
      <c r="AF30" s="112"/>
      <c r="AG30" s="112"/>
      <c r="AH30" s="112" t="s">
        <v>154</v>
      </c>
      <c r="AI30" s="112" t="s">
        <v>155</v>
      </c>
      <c r="AJ30" s="120" t="s">
        <v>156</v>
      </c>
      <c r="AK30" s="105">
        <v>0.788888888888889</v>
      </c>
      <c r="AL30" s="105">
        <v>0.888888888888889</v>
      </c>
      <c r="AM30" s="106">
        <v>0</v>
      </c>
      <c r="AN30" s="112"/>
      <c r="AO30" s="112" t="s">
        <v>158</v>
      </c>
      <c r="AP30" s="112" t="s">
        <v>159</v>
      </c>
      <c r="AQ30" s="112" t="s">
        <v>62</v>
      </c>
      <c r="AR30" s="112" t="s">
        <v>147</v>
      </c>
      <c r="AS30" s="112" t="s">
        <v>33</v>
      </c>
      <c r="AT30" s="112" t="s">
        <v>36</v>
      </c>
      <c r="AU30" s="112"/>
      <c r="AV30" s="112"/>
      <c r="AW30" s="112"/>
      <c r="AX30" s="112"/>
      <c r="AY30" s="112"/>
      <c r="AZ30" s="112" t="s">
        <v>36</v>
      </c>
      <c r="BA30" s="121" t="s">
        <v>160</v>
      </c>
      <c r="BB30" s="122">
        <v>200</v>
      </c>
      <c r="BC30" s="122">
        <v>1</v>
      </c>
      <c r="BD30" s="122" t="s">
        <v>161</v>
      </c>
      <c r="BE30" s="122" t="str">
        <f t="shared" si="0"/>
        <v>PhuongTT</v>
      </c>
      <c r="BF30" s="122" t="str">
        <f t="shared" si="1"/>
        <v>VST</v>
      </c>
      <c r="BG30" s="123" t="b">
        <v>0</v>
      </c>
      <c r="BH30" s="122" t="s">
        <v>162</v>
      </c>
      <c r="BI30" s="122" t="s">
        <v>161</v>
      </c>
      <c r="BJ30" s="122" t="s">
        <v>161</v>
      </c>
      <c r="BK30" s="122" t="s">
        <v>163</v>
      </c>
      <c r="BL30" s="123" t="b">
        <v>0</v>
      </c>
    </row>
    <row r="31" s="110" customFormat="1" ht="69" customHeight="1" spans="1:64">
      <c r="A31" s="7" t="s">
        <v>221</v>
      </c>
      <c r="B31" s="112" t="s">
        <v>144</v>
      </c>
      <c r="C31" s="113" t="s">
        <v>29</v>
      </c>
      <c r="D31" s="114" t="s">
        <v>145</v>
      </c>
      <c r="E31" s="112" t="s">
        <v>146</v>
      </c>
      <c r="F31" s="115" t="s">
        <v>31</v>
      </c>
      <c r="G31" s="115" t="s">
        <v>32</v>
      </c>
      <c r="H31" s="112" t="s">
        <v>147</v>
      </c>
      <c r="I31" s="112" t="s">
        <v>148</v>
      </c>
      <c r="J31" s="112"/>
      <c r="K31" s="112" t="s">
        <v>149</v>
      </c>
      <c r="L31" s="112"/>
      <c r="M31" s="116"/>
      <c r="N31" s="116"/>
      <c r="O31" s="112"/>
      <c r="P31" s="112"/>
      <c r="Q31" s="112"/>
      <c r="R31" s="112"/>
      <c r="S31" s="112"/>
      <c r="T31" s="116"/>
      <c r="U31" s="112"/>
      <c r="V31" s="116"/>
      <c r="W31" s="112" t="s">
        <v>150</v>
      </c>
      <c r="X31" s="112" t="s">
        <v>151</v>
      </c>
      <c r="Y31" s="112" t="s">
        <v>150</v>
      </c>
      <c r="Z31" s="112" t="s">
        <v>151</v>
      </c>
      <c r="AA31" s="112" t="s">
        <v>151</v>
      </c>
      <c r="AB31" s="112"/>
      <c r="AC31" s="112" t="s">
        <v>152</v>
      </c>
      <c r="AD31" s="112" t="s">
        <v>146</v>
      </c>
      <c r="AE31" s="7" t="s">
        <v>222</v>
      </c>
      <c r="AF31" s="112"/>
      <c r="AG31" s="112"/>
      <c r="AH31" s="112" t="s">
        <v>154</v>
      </c>
      <c r="AI31" s="112" t="s">
        <v>155</v>
      </c>
      <c r="AJ31" s="120" t="s">
        <v>156</v>
      </c>
      <c r="AK31" s="105">
        <v>0.788888888888889</v>
      </c>
      <c r="AL31" s="105">
        <v>0.888888888888889</v>
      </c>
      <c r="AM31" s="106">
        <v>1</v>
      </c>
      <c r="AN31" s="112"/>
      <c r="AO31" s="112" t="s">
        <v>158</v>
      </c>
      <c r="AP31" s="112" t="s">
        <v>159</v>
      </c>
      <c r="AQ31" s="112" t="s">
        <v>62</v>
      </c>
      <c r="AR31" s="112" t="s">
        <v>147</v>
      </c>
      <c r="AS31" s="112" t="s">
        <v>33</v>
      </c>
      <c r="AT31" s="112" t="s">
        <v>36</v>
      </c>
      <c r="AU31" s="112"/>
      <c r="AV31" s="112"/>
      <c r="AW31" s="112"/>
      <c r="AX31" s="112"/>
      <c r="AY31" s="112"/>
      <c r="AZ31" s="112" t="s">
        <v>36</v>
      </c>
      <c r="BA31" s="121" t="s">
        <v>160</v>
      </c>
      <c r="BB31" s="122">
        <v>200</v>
      </c>
      <c r="BC31" s="122">
        <v>1</v>
      </c>
      <c r="BD31" s="122" t="s">
        <v>161</v>
      </c>
      <c r="BE31" s="122" t="str">
        <f t="shared" si="0"/>
        <v>PhuongTT</v>
      </c>
      <c r="BF31" s="122" t="str">
        <f t="shared" si="1"/>
        <v>VST</v>
      </c>
      <c r="BG31" s="123" t="b">
        <v>0</v>
      </c>
      <c r="BH31" s="122" t="s">
        <v>162</v>
      </c>
      <c r="BI31" s="122" t="s">
        <v>161</v>
      </c>
      <c r="BJ31" s="122" t="s">
        <v>161</v>
      </c>
      <c r="BK31" s="122" t="s">
        <v>163</v>
      </c>
      <c r="BL31" s="123" t="b">
        <v>0</v>
      </c>
    </row>
    <row r="32" s="28" customFormat="1" ht="69" customHeight="1" spans="1:64">
      <c r="A32" s="7"/>
      <c r="B32" s="81"/>
      <c r="C32" s="82"/>
      <c r="D32" s="17"/>
      <c r="E32" s="7"/>
      <c r="F32" s="4"/>
      <c r="G32" s="4"/>
      <c r="H32" s="7"/>
      <c r="I32" s="7"/>
      <c r="J32" s="7"/>
      <c r="K32" s="7"/>
      <c r="L32" s="7"/>
      <c r="M32" s="94"/>
      <c r="N32" s="94"/>
      <c r="O32" s="7"/>
      <c r="P32" s="7"/>
      <c r="Q32" s="7"/>
      <c r="R32" s="7"/>
      <c r="S32" s="7"/>
      <c r="T32" s="94"/>
      <c r="U32" s="7"/>
      <c r="V32" s="94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107"/>
      <c r="AK32" s="83"/>
      <c r="AL32" s="83"/>
      <c r="AM32" s="83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89"/>
      <c r="BB32" s="21"/>
      <c r="BC32" s="21"/>
      <c r="BD32" s="21"/>
      <c r="BE32" s="21"/>
      <c r="BF32" s="21"/>
      <c r="BG32" s="51"/>
      <c r="BH32" s="21"/>
      <c r="BI32" s="21"/>
      <c r="BJ32" s="21"/>
      <c r="BK32" s="21"/>
      <c r="BL32" s="51"/>
    </row>
    <row r="33" s="28" customFormat="1" ht="69" customHeight="1" spans="1:64">
      <c r="A33" s="7" t="s">
        <v>223</v>
      </c>
      <c r="B33" s="81" t="s">
        <v>224</v>
      </c>
      <c r="C33" s="82" t="s">
        <v>29</v>
      </c>
      <c r="D33" s="17" t="s">
        <v>145</v>
      </c>
      <c r="E33" s="7" t="s">
        <v>146</v>
      </c>
      <c r="F33" s="4" t="s">
        <v>31</v>
      </c>
      <c r="G33" s="4" t="s">
        <v>32</v>
      </c>
      <c r="H33" s="7" t="s">
        <v>147</v>
      </c>
      <c r="I33" s="7" t="s">
        <v>225</v>
      </c>
      <c r="J33" s="7"/>
      <c r="K33" s="7" t="s">
        <v>149</v>
      </c>
      <c r="L33" s="7"/>
      <c r="M33" s="94"/>
      <c r="N33" s="94"/>
      <c r="O33" s="7"/>
      <c r="P33" s="7"/>
      <c r="Q33" s="7"/>
      <c r="R33" s="7"/>
      <c r="S33" s="7"/>
      <c r="T33" s="94"/>
      <c r="U33" s="7"/>
      <c r="V33" s="94"/>
      <c r="W33" s="7" t="s">
        <v>150</v>
      </c>
      <c r="X33" s="7" t="s">
        <v>151</v>
      </c>
      <c r="Y33" s="7" t="s">
        <v>150</v>
      </c>
      <c r="Z33" s="7" t="s">
        <v>151</v>
      </c>
      <c r="AA33" s="7" t="s">
        <v>151</v>
      </c>
      <c r="AB33" s="7"/>
      <c r="AC33" s="7" t="s">
        <v>152</v>
      </c>
      <c r="AD33" s="7" t="s">
        <v>146</v>
      </c>
      <c r="AE33" s="7" t="s">
        <v>225</v>
      </c>
      <c r="AF33" s="7"/>
      <c r="AG33" s="7"/>
      <c r="AH33" s="7" t="s">
        <v>154</v>
      </c>
      <c r="AI33" s="7" t="s">
        <v>155</v>
      </c>
      <c r="AJ33" s="107" t="s">
        <v>156</v>
      </c>
      <c r="AK33" s="83" t="s">
        <v>35</v>
      </c>
      <c r="AL33" s="83" t="s">
        <v>157</v>
      </c>
      <c r="AM33" s="83">
        <v>1</v>
      </c>
      <c r="AN33" s="7"/>
      <c r="AO33" s="7" t="s">
        <v>158</v>
      </c>
      <c r="AP33" s="7" t="s">
        <v>159</v>
      </c>
      <c r="AQ33" s="7">
        <v>1</v>
      </c>
      <c r="AR33" s="7">
        <v>18</v>
      </c>
      <c r="AS33" s="7" t="s">
        <v>33</v>
      </c>
      <c r="AT33" s="7" t="s">
        <v>36</v>
      </c>
      <c r="AU33" s="7">
        <v>3088327983</v>
      </c>
      <c r="AV33" s="7" t="s">
        <v>226</v>
      </c>
      <c r="AW33" s="7" t="s">
        <v>227</v>
      </c>
      <c r="AX33" s="7" t="s">
        <v>226</v>
      </c>
      <c r="AY33" s="7" t="s">
        <v>226</v>
      </c>
      <c r="AZ33" s="7" t="s">
        <v>36</v>
      </c>
      <c r="BA33" s="89" t="s">
        <v>160</v>
      </c>
      <c r="BB33" s="21">
        <v>200</v>
      </c>
      <c r="BC33" s="21">
        <v>1</v>
      </c>
      <c r="BD33" s="21" t="s">
        <v>161</v>
      </c>
      <c r="BE33" s="21" t="str">
        <f t="shared" ref="BE33:BE43" si="2">I33</f>
        <v>Trần Phương MB</v>
      </c>
      <c r="BF33" s="21">
        <f t="shared" ref="BF33:BF43" si="3">AQ33</f>
        <v>1</v>
      </c>
      <c r="BG33" s="51" t="b">
        <v>0</v>
      </c>
      <c r="BH33" s="21" t="s">
        <v>162</v>
      </c>
      <c r="BI33" s="21" t="s">
        <v>161</v>
      </c>
      <c r="BJ33" s="21" t="s">
        <v>161</v>
      </c>
      <c r="BK33" s="21" t="s">
        <v>228</v>
      </c>
      <c r="BL33" s="51" t="b">
        <v>0</v>
      </c>
    </row>
    <row r="34" s="28" customFormat="1" ht="69" customHeight="1" spans="1:64">
      <c r="A34" s="7" t="s">
        <v>229</v>
      </c>
      <c r="B34" s="81" t="s">
        <v>230</v>
      </c>
      <c r="C34" s="82" t="s">
        <v>29</v>
      </c>
      <c r="D34" s="17" t="s">
        <v>145</v>
      </c>
      <c r="E34" s="7" t="s">
        <v>146</v>
      </c>
      <c r="F34" s="4" t="s">
        <v>31</v>
      </c>
      <c r="G34" s="4" t="s">
        <v>32</v>
      </c>
      <c r="H34" s="7" t="s">
        <v>147</v>
      </c>
      <c r="I34" s="7" t="s">
        <v>225</v>
      </c>
      <c r="J34" s="7"/>
      <c r="K34" s="7" t="s">
        <v>149</v>
      </c>
      <c r="L34" s="7"/>
      <c r="M34" s="94"/>
      <c r="N34" s="94"/>
      <c r="O34" s="7"/>
      <c r="P34" s="7"/>
      <c r="Q34" s="7"/>
      <c r="R34" s="7"/>
      <c r="S34" s="7"/>
      <c r="T34" s="7"/>
      <c r="U34" s="7"/>
      <c r="V34" s="7"/>
      <c r="W34" s="7" t="s">
        <v>150</v>
      </c>
      <c r="X34" s="7" t="s">
        <v>151</v>
      </c>
      <c r="Y34" s="7" t="s">
        <v>150</v>
      </c>
      <c r="Z34" s="7" t="s">
        <v>151</v>
      </c>
      <c r="AA34" s="7" t="s">
        <v>151</v>
      </c>
      <c r="AB34" s="7"/>
      <c r="AC34" s="7" t="s">
        <v>152</v>
      </c>
      <c r="AD34" s="7" t="s">
        <v>146</v>
      </c>
      <c r="AE34" s="7" t="s">
        <v>231</v>
      </c>
      <c r="AF34" s="7"/>
      <c r="AG34" s="7"/>
      <c r="AH34" s="7" t="s">
        <v>154</v>
      </c>
      <c r="AI34" s="7" t="s">
        <v>155</v>
      </c>
      <c r="AJ34" s="107" t="s">
        <v>156</v>
      </c>
      <c r="AK34" s="83" t="s">
        <v>35</v>
      </c>
      <c r="AL34" s="83" t="s">
        <v>157</v>
      </c>
      <c r="AM34" s="83">
        <v>2</v>
      </c>
      <c r="AN34" s="7"/>
      <c r="AO34" s="7" t="s">
        <v>158</v>
      </c>
      <c r="AP34" s="7" t="s">
        <v>159</v>
      </c>
      <c r="AQ34" s="7">
        <v>2</v>
      </c>
      <c r="AR34" s="7">
        <v>18</v>
      </c>
      <c r="AS34" s="7" t="s">
        <v>33</v>
      </c>
      <c r="AT34" s="7" t="s">
        <v>36</v>
      </c>
      <c r="AU34" s="7">
        <v>3088327983</v>
      </c>
      <c r="AV34" s="7" t="s">
        <v>226</v>
      </c>
      <c r="AW34" s="7" t="s">
        <v>227</v>
      </c>
      <c r="AX34" s="7" t="s">
        <v>226</v>
      </c>
      <c r="AY34" s="7"/>
      <c r="AZ34" s="7" t="s">
        <v>36</v>
      </c>
      <c r="BA34" s="89" t="s">
        <v>160</v>
      </c>
      <c r="BB34" s="21">
        <v>200</v>
      </c>
      <c r="BC34" s="21">
        <v>1</v>
      </c>
      <c r="BD34" s="21" t="s">
        <v>161</v>
      </c>
      <c r="BE34" s="21" t="str">
        <f t="shared" si="2"/>
        <v>Trần Phương MB</v>
      </c>
      <c r="BF34" s="21">
        <f t="shared" si="3"/>
        <v>2</v>
      </c>
      <c r="BG34" s="51" t="b">
        <v>0</v>
      </c>
      <c r="BH34" s="21" t="s">
        <v>162</v>
      </c>
      <c r="BI34" s="21" t="s">
        <v>161</v>
      </c>
      <c r="BJ34" s="21" t="s">
        <v>161</v>
      </c>
      <c r="BK34" s="21" t="s">
        <v>232</v>
      </c>
      <c r="BL34" s="51" t="b">
        <v>0</v>
      </c>
    </row>
    <row r="35" s="28" customFormat="1" ht="70" customHeight="1" spans="1:64">
      <c r="A35" s="7" t="s">
        <v>233</v>
      </c>
      <c r="B35" s="92" t="s">
        <v>234</v>
      </c>
      <c r="C35" s="82" t="s">
        <v>29</v>
      </c>
      <c r="D35" s="17" t="s">
        <v>145</v>
      </c>
      <c r="E35" s="7" t="s">
        <v>146</v>
      </c>
      <c r="F35" s="4" t="s">
        <v>31</v>
      </c>
      <c r="G35" s="4" t="s">
        <v>32</v>
      </c>
      <c r="H35" s="7" t="s">
        <v>147</v>
      </c>
      <c r="I35" s="7" t="s">
        <v>235</v>
      </c>
      <c r="J35" s="7"/>
      <c r="K35" s="7" t="s">
        <v>149</v>
      </c>
      <c r="L35" s="7"/>
      <c r="M35" s="94"/>
      <c r="N35" s="94"/>
      <c r="O35" s="7"/>
      <c r="P35" s="7"/>
      <c r="Q35" s="7"/>
      <c r="R35" s="7"/>
      <c r="S35" s="7"/>
      <c r="T35" s="7"/>
      <c r="U35" s="7"/>
      <c r="V35" s="7"/>
      <c r="W35" s="7" t="s">
        <v>150</v>
      </c>
      <c r="X35" s="7" t="s">
        <v>151</v>
      </c>
      <c r="Y35" s="7" t="s">
        <v>150</v>
      </c>
      <c r="Z35" s="7" t="s">
        <v>151</v>
      </c>
      <c r="AA35" s="7" t="s">
        <v>151</v>
      </c>
      <c r="AB35" s="7"/>
      <c r="AC35" s="7" t="s">
        <v>152</v>
      </c>
      <c r="AD35" s="7" t="s">
        <v>146</v>
      </c>
      <c r="AE35" s="7" t="s">
        <v>236</v>
      </c>
      <c r="AF35" s="7"/>
      <c r="AG35" s="7"/>
      <c r="AH35" s="7" t="s">
        <v>154</v>
      </c>
      <c r="AI35" s="7" t="s">
        <v>155</v>
      </c>
      <c r="AJ35" s="107" t="s">
        <v>156</v>
      </c>
      <c r="AK35" s="83" t="s">
        <v>35</v>
      </c>
      <c r="AL35" s="83" t="s">
        <v>157</v>
      </c>
      <c r="AM35" s="83">
        <v>3</v>
      </c>
      <c r="AN35" s="7"/>
      <c r="AO35" s="7" t="s">
        <v>158</v>
      </c>
      <c r="AP35" s="7" t="s">
        <v>159</v>
      </c>
      <c r="AQ35" s="7">
        <v>7</v>
      </c>
      <c r="AR35" s="7">
        <v>18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7" t="s">
        <v>36</v>
      </c>
      <c r="BA35" s="89" t="s">
        <v>160</v>
      </c>
      <c r="BB35" s="21">
        <v>200</v>
      </c>
      <c r="BC35" s="21">
        <v>1</v>
      </c>
      <c r="BD35" s="21" t="s">
        <v>161</v>
      </c>
      <c r="BE35" s="21" t="str">
        <f t="shared" si="2"/>
        <v>Khách None Golf</v>
      </c>
      <c r="BF35" s="21">
        <f t="shared" si="3"/>
        <v>7</v>
      </c>
      <c r="BG35" s="51" t="b">
        <v>0</v>
      </c>
      <c r="BH35" s="21" t="s">
        <v>162</v>
      </c>
      <c r="BI35" s="21" t="s">
        <v>161</v>
      </c>
      <c r="BJ35" s="21" t="s">
        <v>161</v>
      </c>
      <c r="BK35" s="21" t="s">
        <v>237</v>
      </c>
      <c r="BL35" s="51" t="b">
        <v>0</v>
      </c>
    </row>
    <row r="36" s="28" customFormat="1" ht="70" customHeight="1" spans="1:64">
      <c r="A36" s="7" t="s">
        <v>238</v>
      </c>
      <c r="B36" s="81" t="s">
        <v>239</v>
      </c>
      <c r="C36" s="82" t="s">
        <v>29</v>
      </c>
      <c r="D36" s="17" t="s">
        <v>240</v>
      </c>
      <c r="E36" s="7" t="s">
        <v>146</v>
      </c>
      <c r="F36" s="4" t="s">
        <v>31</v>
      </c>
      <c r="G36" s="4" t="s">
        <v>32</v>
      </c>
      <c r="H36" s="7" t="s">
        <v>147</v>
      </c>
      <c r="I36" s="7" t="s">
        <v>241</v>
      </c>
      <c r="J36" s="125" t="s">
        <v>242</v>
      </c>
      <c r="K36" s="95" t="s">
        <v>243</v>
      </c>
      <c r="L36" s="7">
        <v>378</v>
      </c>
      <c r="M36" s="94" t="s">
        <v>150</v>
      </c>
      <c r="N36" s="94" t="s">
        <v>150</v>
      </c>
      <c r="O36" s="7">
        <v>1600000</v>
      </c>
      <c r="P36" s="7">
        <v>400000</v>
      </c>
      <c r="Q36" s="7" t="s">
        <v>158</v>
      </c>
      <c r="R36" s="7" t="s">
        <v>158</v>
      </c>
      <c r="S36" s="7" t="s">
        <v>158</v>
      </c>
      <c r="T36" s="94" t="s">
        <v>244</v>
      </c>
      <c r="U36" s="7" t="s">
        <v>158</v>
      </c>
      <c r="V36" s="7" t="s">
        <v>158</v>
      </c>
      <c r="W36" s="7" t="s">
        <v>150</v>
      </c>
      <c r="X36" s="7" t="s">
        <v>151</v>
      </c>
      <c r="Y36" s="7" t="s">
        <v>150</v>
      </c>
      <c r="Z36" s="7" t="s">
        <v>151</v>
      </c>
      <c r="AA36" s="7" t="s">
        <v>151</v>
      </c>
      <c r="AB36" s="7"/>
      <c r="AC36" s="7" t="s">
        <v>152</v>
      </c>
      <c r="AD36" s="7" t="s">
        <v>146</v>
      </c>
      <c r="AE36" s="7" t="s">
        <v>245</v>
      </c>
      <c r="AF36" s="7"/>
      <c r="AG36" s="7"/>
      <c r="AH36" s="7" t="s">
        <v>154</v>
      </c>
      <c r="AI36" s="7" t="s">
        <v>155</v>
      </c>
      <c r="AJ36" s="107" t="s">
        <v>156</v>
      </c>
      <c r="AK36" s="83" t="s">
        <v>42</v>
      </c>
      <c r="AL36" s="83" t="s">
        <v>172</v>
      </c>
      <c r="AM36" s="83">
        <v>0</v>
      </c>
      <c r="AN36" s="7"/>
      <c r="AO36" s="7" t="s">
        <v>158</v>
      </c>
      <c r="AP36" s="7" t="s">
        <v>159</v>
      </c>
      <c r="AQ36" s="7" t="s">
        <v>48</v>
      </c>
      <c r="AR36" s="7">
        <v>18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7" t="s">
        <v>36</v>
      </c>
      <c r="BA36" s="89" t="s">
        <v>160</v>
      </c>
      <c r="BB36" s="21">
        <v>200</v>
      </c>
      <c r="BC36" s="21">
        <v>1</v>
      </c>
      <c r="BD36" s="21" t="s">
        <v>161</v>
      </c>
      <c r="BE36" s="21" t="str">
        <f t="shared" si="2"/>
        <v>VNPAY</v>
      </c>
      <c r="BF36" s="21" t="str">
        <f t="shared" si="3"/>
        <v>5D</v>
      </c>
      <c r="BG36" s="51" t="b">
        <v>0</v>
      </c>
      <c r="BH36" s="21" t="s">
        <v>162</v>
      </c>
      <c r="BI36" s="21" t="s">
        <v>161</v>
      </c>
      <c r="BJ36" s="21" t="s">
        <v>161</v>
      </c>
      <c r="BK36" s="21" t="s">
        <v>246</v>
      </c>
      <c r="BL36" s="51" t="b">
        <v>0</v>
      </c>
    </row>
    <row r="37" s="28" customFormat="1" ht="69" customHeight="1" spans="1:64">
      <c r="A37" s="7" t="s">
        <v>247</v>
      </c>
      <c r="B37" s="7" t="s">
        <v>248</v>
      </c>
      <c r="C37" s="82" t="s">
        <v>29</v>
      </c>
      <c r="D37" s="17" t="s">
        <v>145</v>
      </c>
      <c r="E37" s="7" t="s">
        <v>146</v>
      </c>
      <c r="F37" s="4" t="s">
        <v>31</v>
      </c>
      <c r="G37" s="4" t="s">
        <v>32</v>
      </c>
      <c r="H37" s="7" t="s">
        <v>147</v>
      </c>
      <c r="I37" s="7" t="s">
        <v>148</v>
      </c>
      <c r="J37" s="7"/>
      <c r="K37" s="7" t="s">
        <v>149</v>
      </c>
      <c r="L37" s="7"/>
      <c r="M37" s="94"/>
      <c r="N37" s="94"/>
      <c r="O37" s="7"/>
      <c r="P37" s="7"/>
      <c r="Q37" s="7"/>
      <c r="R37" s="7"/>
      <c r="S37" s="7"/>
      <c r="T37" s="94"/>
      <c r="U37" s="7"/>
      <c r="V37" s="94"/>
      <c r="W37" s="7" t="s">
        <v>150</v>
      </c>
      <c r="X37" s="7" t="s">
        <v>151</v>
      </c>
      <c r="Y37" s="7" t="s">
        <v>150</v>
      </c>
      <c r="Z37" s="7" t="s">
        <v>151</v>
      </c>
      <c r="AA37" s="7" t="s">
        <v>151</v>
      </c>
      <c r="AB37" s="7"/>
      <c r="AC37" s="7" t="s">
        <v>152</v>
      </c>
      <c r="AD37" s="7" t="s">
        <v>146</v>
      </c>
      <c r="AE37" s="7" t="s">
        <v>165</v>
      </c>
      <c r="AF37" s="125" t="s">
        <v>51</v>
      </c>
      <c r="AG37" s="125" t="s">
        <v>51</v>
      </c>
      <c r="AH37" s="7" t="s">
        <v>154</v>
      </c>
      <c r="AI37" s="7" t="s">
        <v>155</v>
      </c>
      <c r="AJ37" s="107" t="s">
        <v>156</v>
      </c>
      <c r="AK37" s="83" t="s">
        <v>42</v>
      </c>
      <c r="AL37" s="83" t="s">
        <v>172</v>
      </c>
      <c r="AM37" s="83">
        <v>1</v>
      </c>
      <c r="AN37" s="7"/>
      <c r="AO37" s="7" t="s">
        <v>158</v>
      </c>
      <c r="AP37" s="7" t="s">
        <v>159</v>
      </c>
      <c r="AQ37" s="7" t="s">
        <v>34</v>
      </c>
      <c r="AR37" s="7" t="s">
        <v>147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7" t="s">
        <v>36</v>
      </c>
      <c r="BA37" s="89" t="s">
        <v>160</v>
      </c>
      <c r="BB37" s="21">
        <v>200</v>
      </c>
      <c r="BC37" s="21">
        <v>1</v>
      </c>
      <c r="BD37" s="21" t="s">
        <v>161</v>
      </c>
      <c r="BE37" s="21" t="str">
        <f t="shared" si="2"/>
        <v>PhuongTT</v>
      </c>
      <c r="BF37" s="21" t="str">
        <f t="shared" si="3"/>
        <v>4D</v>
      </c>
      <c r="BG37" s="51" t="b">
        <v>0</v>
      </c>
      <c r="BH37" s="21" t="s">
        <v>162</v>
      </c>
      <c r="BI37" s="21" t="s">
        <v>161</v>
      </c>
      <c r="BJ37" s="21" t="s">
        <v>161</v>
      </c>
      <c r="BK37" s="21" t="s">
        <v>163</v>
      </c>
      <c r="BL37" s="51" t="b">
        <v>1</v>
      </c>
    </row>
    <row r="38" s="28" customFormat="1" ht="69" customHeight="1" spans="1:64">
      <c r="A38" s="7" t="s">
        <v>249</v>
      </c>
      <c r="B38" s="7" t="s">
        <v>250</v>
      </c>
      <c r="C38" s="82" t="s">
        <v>29</v>
      </c>
      <c r="D38" s="17" t="s">
        <v>145</v>
      </c>
      <c r="E38" s="7" t="s">
        <v>146</v>
      </c>
      <c r="F38" s="4" t="s">
        <v>31</v>
      </c>
      <c r="G38" s="4" t="s">
        <v>32</v>
      </c>
      <c r="H38" s="7" t="s">
        <v>147</v>
      </c>
      <c r="I38" s="7" t="s">
        <v>225</v>
      </c>
      <c r="J38" s="7"/>
      <c r="K38" s="7" t="s">
        <v>149</v>
      </c>
      <c r="L38" s="7"/>
      <c r="M38" s="94"/>
      <c r="N38" s="94"/>
      <c r="O38" s="7"/>
      <c r="P38" s="7"/>
      <c r="Q38" s="7"/>
      <c r="R38" s="7"/>
      <c r="S38" s="7"/>
      <c r="T38" s="94"/>
      <c r="U38" s="7"/>
      <c r="V38" s="94"/>
      <c r="W38" s="7" t="s">
        <v>150</v>
      </c>
      <c r="X38" s="7" t="s">
        <v>151</v>
      </c>
      <c r="Y38" s="7" t="s">
        <v>150</v>
      </c>
      <c r="Z38" s="7" t="s">
        <v>151</v>
      </c>
      <c r="AA38" s="7" t="s">
        <v>151</v>
      </c>
      <c r="AB38" s="7"/>
      <c r="AC38" s="7" t="s">
        <v>152</v>
      </c>
      <c r="AD38" s="7" t="s">
        <v>146</v>
      </c>
      <c r="AE38" s="7" t="s">
        <v>225</v>
      </c>
      <c r="AF38" s="125" t="s">
        <v>54</v>
      </c>
      <c r="AG38" s="125" t="s">
        <v>54</v>
      </c>
      <c r="AH38" s="7" t="s">
        <v>154</v>
      </c>
      <c r="AI38" s="7" t="s">
        <v>155</v>
      </c>
      <c r="AJ38" s="107" t="s">
        <v>156</v>
      </c>
      <c r="AK38" s="83" t="s">
        <v>42</v>
      </c>
      <c r="AL38" s="83" t="s">
        <v>172</v>
      </c>
      <c r="AM38" s="83">
        <v>2</v>
      </c>
      <c r="AN38" s="7"/>
      <c r="AO38" s="7" t="s">
        <v>158</v>
      </c>
      <c r="AP38" s="7" t="s">
        <v>159</v>
      </c>
      <c r="AQ38" s="7">
        <v>1</v>
      </c>
      <c r="AR38" s="7">
        <v>18</v>
      </c>
      <c r="AS38" s="7" t="s">
        <v>33</v>
      </c>
      <c r="AT38" s="7" t="s">
        <v>36</v>
      </c>
      <c r="AU38" s="7">
        <v>3088327983</v>
      </c>
      <c r="AV38" s="7" t="s">
        <v>226</v>
      </c>
      <c r="AW38" s="7" t="s">
        <v>227</v>
      </c>
      <c r="AX38" s="7" t="s">
        <v>226</v>
      </c>
      <c r="AY38" s="7" t="s">
        <v>226</v>
      </c>
      <c r="AZ38" s="7" t="s">
        <v>36</v>
      </c>
      <c r="BA38" s="89" t="s">
        <v>160</v>
      </c>
      <c r="BB38" s="21">
        <v>200</v>
      </c>
      <c r="BC38" s="21">
        <v>1</v>
      </c>
      <c r="BD38" s="21" t="s">
        <v>161</v>
      </c>
      <c r="BE38" s="21" t="str">
        <f t="shared" si="2"/>
        <v>Trần Phương MB</v>
      </c>
      <c r="BF38" s="21">
        <f t="shared" si="3"/>
        <v>1</v>
      </c>
      <c r="BG38" s="51" t="b">
        <v>0</v>
      </c>
      <c r="BH38" s="21" t="s">
        <v>162</v>
      </c>
      <c r="BI38" s="21" t="s">
        <v>161</v>
      </c>
      <c r="BJ38" s="21" t="s">
        <v>161</v>
      </c>
      <c r="BK38" s="21" t="s">
        <v>228</v>
      </c>
      <c r="BL38" s="51" t="b">
        <v>1</v>
      </c>
    </row>
    <row r="39" s="28" customFormat="1" ht="69" customHeight="1" spans="1:64">
      <c r="A39" s="7" t="s">
        <v>251</v>
      </c>
      <c r="B39" s="7" t="s">
        <v>252</v>
      </c>
      <c r="C39" s="82" t="s">
        <v>29</v>
      </c>
      <c r="D39" s="17" t="s">
        <v>145</v>
      </c>
      <c r="E39" s="7" t="s">
        <v>146</v>
      </c>
      <c r="F39" s="4" t="s">
        <v>31</v>
      </c>
      <c r="G39" s="4" t="s">
        <v>32</v>
      </c>
      <c r="H39" s="7" t="s">
        <v>147</v>
      </c>
      <c r="I39" s="7" t="s">
        <v>225</v>
      </c>
      <c r="J39" s="7"/>
      <c r="K39" s="7" t="s">
        <v>149</v>
      </c>
      <c r="L39" s="7"/>
      <c r="M39" s="94"/>
      <c r="N39" s="94"/>
      <c r="O39" s="7"/>
      <c r="P39" s="7"/>
      <c r="Q39" s="7"/>
      <c r="R39" s="7"/>
      <c r="S39" s="7"/>
      <c r="T39" s="7"/>
      <c r="U39" s="7"/>
      <c r="V39" s="7"/>
      <c r="W39" s="7" t="s">
        <v>150</v>
      </c>
      <c r="X39" s="7" t="s">
        <v>151</v>
      </c>
      <c r="Y39" s="7" t="s">
        <v>150</v>
      </c>
      <c r="Z39" s="7" t="s">
        <v>151</v>
      </c>
      <c r="AA39" s="7" t="s">
        <v>151</v>
      </c>
      <c r="AB39" s="7"/>
      <c r="AC39" s="7" t="s">
        <v>152</v>
      </c>
      <c r="AD39" s="7" t="s">
        <v>146</v>
      </c>
      <c r="AE39" s="7" t="s">
        <v>253</v>
      </c>
      <c r="AF39" s="125" t="s">
        <v>57</v>
      </c>
      <c r="AG39" s="125" t="s">
        <v>57</v>
      </c>
      <c r="AH39" s="7" t="s">
        <v>154</v>
      </c>
      <c r="AI39" s="7" t="s">
        <v>155</v>
      </c>
      <c r="AJ39" s="107" t="s">
        <v>156</v>
      </c>
      <c r="AK39" s="83" t="s">
        <v>42</v>
      </c>
      <c r="AL39" s="83" t="s">
        <v>172</v>
      </c>
      <c r="AM39" s="83">
        <v>3</v>
      </c>
      <c r="AN39" s="7"/>
      <c r="AO39" s="7" t="s">
        <v>158</v>
      </c>
      <c r="AP39" s="7" t="s">
        <v>159</v>
      </c>
      <c r="AQ39" s="7">
        <v>2</v>
      </c>
      <c r="AR39" s="7">
        <v>18</v>
      </c>
      <c r="AS39" s="7" t="s">
        <v>33</v>
      </c>
      <c r="AT39" s="7" t="s">
        <v>36</v>
      </c>
      <c r="AU39" s="7">
        <v>3088327983</v>
      </c>
      <c r="AV39" s="7" t="s">
        <v>226</v>
      </c>
      <c r="AW39" s="7" t="s">
        <v>227</v>
      </c>
      <c r="AX39" s="7" t="s">
        <v>226</v>
      </c>
      <c r="AY39" s="7"/>
      <c r="AZ39" s="7" t="s">
        <v>36</v>
      </c>
      <c r="BA39" s="89" t="s">
        <v>160</v>
      </c>
      <c r="BB39" s="21">
        <v>200</v>
      </c>
      <c r="BC39" s="21">
        <v>1</v>
      </c>
      <c r="BD39" s="21" t="s">
        <v>161</v>
      </c>
      <c r="BE39" s="21" t="str">
        <f t="shared" si="2"/>
        <v>Trần Phương MB</v>
      </c>
      <c r="BF39" s="21">
        <f t="shared" si="3"/>
        <v>2</v>
      </c>
      <c r="BG39" s="51" t="b">
        <v>0</v>
      </c>
      <c r="BH39" s="21" t="s">
        <v>162</v>
      </c>
      <c r="BI39" s="21" t="s">
        <v>161</v>
      </c>
      <c r="BJ39" s="21" t="s">
        <v>161</v>
      </c>
      <c r="BK39" s="21" t="s">
        <v>232</v>
      </c>
      <c r="BL39" s="51" t="b">
        <v>1</v>
      </c>
    </row>
    <row r="40" s="28" customFormat="1" ht="69" customHeight="1" spans="1:64">
      <c r="A40" s="7" t="s">
        <v>254</v>
      </c>
      <c r="B40" s="7" t="s">
        <v>255</v>
      </c>
      <c r="C40" s="82" t="s">
        <v>29</v>
      </c>
      <c r="D40" s="17" t="s">
        <v>240</v>
      </c>
      <c r="E40" s="7" t="s">
        <v>146</v>
      </c>
      <c r="F40" s="4" t="s">
        <v>31</v>
      </c>
      <c r="G40" s="4" t="s">
        <v>32</v>
      </c>
      <c r="H40" s="7" t="s">
        <v>147</v>
      </c>
      <c r="I40" s="7" t="s">
        <v>241</v>
      </c>
      <c r="J40" s="125" t="s">
        <v>242</v>
      </c>
      <c r="K40" s="95" t="s">
        <v>243</v>
      </c>
      <c r="L40" s="7">
        <v>378</v>
      </c>
      <c r="M40" s="94" t="s">
        <v>150</v>
      </c>
      <c r="N40" s="94" t="s">
        <v>150</v>
      </c>
      <c r="O40" s="7">
        <v>1600000</v>
      </c>
      <c r="P40" s="7">
        <v>400000</v>
      </c>
      <c r="Q40" s="7" t="s">
        <v>158</v>
      </c>
      <c r="R40" s="7" t="s">
        <v>158</v>
      </c>
      <c r="S40" s="7" t="s">
        <v>158</v>
      </c>
      <c r="T40" s="94" t="s">
        <v>244</v>
      </c>
      <c r="U40" s="7" t="s">
        <v>158</v>
      </c>
      <c r="V40" s="7" t="s">
        <v>158</v>
      </c>
      <c r="W40" s="7" t="s">
        <v>150</v>
      </c>
      <c r="X40" s="7" t="s">
        <v>151</v>
      </c>
      <c r="Y40" s="7" t="s">
        <v>150</v>
      </c>
      <c r="Z40" s="7" t="s">
        <v>151</v>
      </c>
      <c r="AA40" s="7" t="s">
        <v>151</v>
      </c>
      <c r="AB40" s="7"/>
      <c r="AC40" s="7" t="s">
        <v>152</v>
      </c>
      <c r="AD40" s="7" t="s">
        <v>146</v>
      </c>
      <c r="AE40" s="7" t="s">
        <v>256</v>
      </c>
      <c r="AF40" s="125" t="s">
        <v>60</v>
      </c>
      <c r="AG40" s="125" t="s">
        <v>60</v>
      </c>
      <c r="AH40" s="7" t="s">
        <v>154</v>
      </c>
      <c r="AI40" s="7" t="s">
        <v>155</v>
      </c>
      <c r="AJ40" s="107" t="s">
        <v>156</v>
      </c>
      <c r="AK40" s="83" t="s">
        <v>45</v>
      </c>
      <c r="AL40" s="83" t="s">
        <v>257</v>
      </c>
      <c r="AM40" s="83">
        <v>0</v>
      </c>
      <c r="AN40" s="7"/>
      <c r="AO40" s="7" t="s">
        <v>158</v>
      </c>
      <c r="AP40" s="7" t="s">
        <v>159</v>
      </c>
      <c r="AQ40" s="7" t="s">
        <v>48</v>
      </c>
      <c r="AR40" s="7">
        <v>18</v>
      </c>
      <c r="AS40" s="7" t="s">
        <v>33</v>
      </c>
      <c r="AT40" s="7" t="s">
        <v>36</v>
      </c>
      <c r="AU40" s="7"/>
      <c r="AV40" s="7"/>
      <c r="AW40" s="7"/>
      <c r="AX40" s="7"/>
      <c r="AY40" s="7"/>
      <c r="AZ40" s="7" t="s">
        <v>36</v>
      </c>
      <c r="BA40" s="89" t="s">
        <v>160</v>
      </c>
      <c r="BB40" s="21">
        <v>200</v>
      </c>
      <c r="BC40" s="21">
        <v>1</v>
      </c>
      <c r="BD40" s="21" t="s">
        <v>161</v>
      </c>
      <c r="BE40" s="21" t="str">
        <f t="shared" si="2"/>
        <v>VNPAY</v>
      </c>
      <c r="BF40" s="21" t="str">
        <f t="shared" si="3"/>
        <v>5D</v>
      </c>
      <c r="BG40" s="51" t="b">
        <v>0</v>
      </c>
      <c r="BH40" s="21" t="s">
        <v>162</v>
      </c>
      <c r="BI40" s="21" t="s">
        <v>161</v>
      </c>
      <c r="BJ40" s="21" t="s">
        <v>161</v>
      </c>
      <c r="BK40" s="21" t="s">
        <v>246</v>
      </c>
      <c r="BL40" s="51" t="b">
        <v>1</v>
      </c>
    </row>
    <row r="41" s="28" customFormat="1" ht="69" customHeight="1" spans="1:64">
      <c r="A41" s="7" t="s">
        <v>258</v>
      </c>
      <c r="B41" s="7" t="s">
        <v>259</v>
      </c>
      <c r="C41" s="82" t="s">
        <v>29</v>
      </c>
      <c r="D41" s="17" t="s">
        <v>240</v>
      </c>
      <c r="E41" s="7" t="s">
        <v>146</v>
      </c>
      <c r="F41" s="4" t="s">
        <v>31</v>
      </c>
      <c r="G41" s="4" t="s">
        <v>32</v>
      </c>
      <c r="H41" s="7" t="s">
        <v>147</v>
      </c>
      <c r="I41" s="7" t="s">
        <v>241</v>
      </c>
      <c r="J41" s="125" t="s">
        <v>242</v>
      </c>
      <c r="K41" s="95" t="s">
        <v>243</v>
      </c>
      <c r="L41" s="7">
        <v>378</v>
      </c>
      <c r="M41" s="94" t="s">
        <v>150</v>
      </c>
      <c r="N41" s="94" t="s">
        <v>150</v>
      </c>
      <c r="O41" s="7">
        <v>1600000</v>
      </c>
      <c r="P41" s="7">
        <v>400000</v>
      </c>
      <c r="Q41" s="7">
        <v>0</v>
      </c>
      <c r="R41" s="7">
        <v>0</v>
      </c>
      <c r="S41" s="7">
        <v>0</v>
      </c>
      <c r="T41" s="94" t="s">
        <v>244</v>
      </c>
      <c r="U41" s="7">
        <v>0</v>
      </c>
      <c r="V41" s="7">
        <v>0</v>
      </c>
      <c r="W41" s="7" t="s">
        <v>150</v>
      </c>
      <c r="X41" s="7" t="s">
        <v>151</v>
      </c>
      <c r="Y41" s="7" t="s">
        <v>150</v>
      </c>
      <c r="Z41" s="7" t="s">
        <v>151</v>
      </c>
      <c r="AA41" s="7" t="s">
        <v>151</v>
      </c>
      <c r="AB41" s="7"/>
      <c r="AC41" s="7" t="s">
        <v>152</v>
      </c>
      <c r="AD41" s="7" t="s">
        <v>146</v>
      </c>
      <c r="AE41" s="7" t="s">
        <v>256</v>
      </c>
      <c r="AF41" s="7"/>
      <c r="AG41" s="7"/>
      <c r="AH41" s="7" t="s">
        <v>154</v>
      </c>
      <c r="AI41" s="7" t="s">
        <v>155</v>
      </c>
      <c r="AJ41" s="107" t="s">
        <v>156</v>
      </c>
      <c r="AK41" s="83" t="s">
        <v>45</v>
      </c>
      <c r="AL41" s="83" t="s">
        <v>257</v>
      </c>
      <c r="AM41" s="83">
        <v>1</v>
      </c>
      <c r="AN41" s="7"/>
      <c r="AO41" s="7" t="s">
        <v>158</v>
      </c>
      <c r="AP41" s="7" t="s">
        <v>159</v>
      </c>
      <c r="AQ41" s="7" t="s">
        <v>48</v>
      </c>
      <c r="AR41" s="7">
        <v>18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7" t="s">
        <v>36</v>
      </c>
      <c r="BA41" s="89" t="s">
        <v>160</v>
      </c>
      <c r="BB41" s="21">
        <v>200</v>
      </c>
      <c r="BC41" s="21">
        <v>1</v>
      </c>
      <c r="BD41" s="21" t="s">
        <v>161</v>
      </c>
      <c r="BE41" s="21" t="str">
        <f t="shared" si="2"/>
        <v>VNPAY</v>
      </c>
      <c r="BF41" s="21" t="str">
        <f t="shared" si="3"/>
        <v>5D</v>
      </c>
      <c r="BG41" s="51" t="b">
        <v>0</v>
      </c>
      <c r="BH41" s="21" t="s">
        <v>162</v>
      </c>
      <c r="BI41" s="21" t="s">
        <v>161</v>
      </c>
      <c r="BJ41" s="21" t="s">
        <v>161</v>
      </c>
      <c r="BK41" s="21" t="s">
        <v>246</v>
      </c>
      <c r="BL41" s="51" t="b">
        <v>0</v>
      </c>
    </row>
    <row r="42" s="28" customFormat="1" ht="69" customHeight="1" spans="1:64">
      <c r="A42" s="7" t="s">
        <v>260</v>
      </c>
      <c r="B42" s="7" t="s">
        <v>261</v>
      </c>
      <c r="C42" s="82" t="s">
        <v>29</v>
      </c>
      <c r="D42" s="17" t="s">
        <v>240</v>
      </c>
      <c r="E42" s="7" t="s">
        <v>146</v>
      </c>
      <c r="F42" s="4" t="s">
        <v>31</v>
      </c>
      <c r="G42" s="4" t="s">
        <v>32</v>
      </c>
      <c r="H42" s="7" t="s">
        <v>147</v>
      </c>
      <c r="I42" s="7" t="s">
        <v>241</v>
      </c>
      <c r="J42" s="125" t="s">
        <v>242</v>
      </c>
      <c r="K42" s="95" t="s">
        <v>243</v>
      </c>
      <c r="L42" s="7">
        <v>378</v>
      </c>
      <c r="M42" s="94" t="s">
        <v>150</v>
      </c>
      <c r="N42" s="94" t="s">
        <v>244</v>
      </c>
      <c r="O42" s="7">
        <v>1600000</v>
      </c>
      <c r="P42" s="7">
        <v>400000</v>
      </c>
      <c r="Q42" s="7">
        <v>0</v>
      </c>
      <c r="R42" s="7">
        <v>0</v>
      </c>
      <c r="S42" s="7">
        <v>0</v>
      </c>
      <c r="T42" s="94" t="s">
        <v>244</v>
      </c>
      <c r="U42" s="7">
        <v>0</v>
      </c>
      <c r="V42" s="7">
        <v>0</v>
      </c>
      <c r="W42" s="7" t="s">
        <v>150</v>
      </c>
      <c r="X42" s="7" t="s">
        <v>151</v>
      </c>
      <c r="Y42" s="7" t="s">
        <v>150</v>
      </c>
      <c r="Z42" s="7" t="s">
        <v>151</v>
      </c>
      <c r="AA42" s="7" t="s">
        <v>151</v>
      </c>
      <c r="AB42" s="7"/>
      <c r="AC42" s="7" t="s">
        <v>152</v>
      </c>
      <c r="AD42" s="7" t="s">
        <v>146</v>
      </c>
      <c r="AE42" s="7" t="s">
        <v>256</v>
      </c>
      <c r="AF42" s="7"/>
      <c r="AG42" s="7"/>
      <c r="AH42" s="7" t="s">
        <v>154</v>
      </c>
      <c r="AI42" s="7" t="s">
        <v>155</v>
      </c>
      <c r="AJ42" s="107" t="s">
        <v>156</v>
      </c>
      <c r="AK42" s="83" t="s">
        <v>45</v>
      </c>
      <c r="AL42" s="83" t="s">
        <v>257</v>
      </c>
      <c r="AM42" s="83">
        <v>2</v>
      </c>
      <c r="AN42" s="7"/>
      <c r="AO42" s="7" t="s">
        <v>158</v>
      </c>
      <c r="AP42" s="7" t="s">
        <v>159</v>
      </c>
      <c r="AQ42" s="7" t="s">
        <v>48</v>
      </c>
      <c r="AR42" s="7">
        <v>18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7" t="s">
        <v>36</v>
      </c>
      <c r="BA42" s="89" t="s">
        <v>160</v>
      </c>
      <c r="BB42" s="21">
        <v>200</v>
      </c>
      <c r="BC42" s="21">
        <v>1</v>
      </c>
      <c r="BD42" s="21" t="s">
        <v>161</v>
      </c>
      <c r="BE42" s="21" t="str">
        <f t="shared" si="2"/>
        <v>VNPAY</v>
      </c>
      <c r="BF42" s="21" t="str">
        <f t="shared" si="3"/>
        <v>5D</v>
      </c>
      <c r="BG42" s="51" t="b">
        <v>0</v>
      </c>
      <c r="BH42" s="21" t="s">
        <v>162</v>
      </c>
      <c r="BI42" s="21" t="s">
        <v>161</v>
      </c>
      <c r="BJ42" s="21" t="s">
        <v>161</v>
      </c>
      <c r="BK42" s="21" t="s">
        <v>246</v>
      </c>
      <c r="BL42" s="51" t="b">
        <v>0</v>
      </c>
    </row>
    <row r="43" s="28" customFormat="1" ht="69" customHeight="1" spans="1:64">
      <c r="A43" s="7" t="s">
        <v>262</v>
      </c>
      <c r="B43" s="7" t="s">
        <v>263</v>
      </c>
      <c r="C43" s="82" t="s">
        <v>29</v>
      </c>
      <c r="D43" s="17" t="s">
        <v>240</v>
      </c>
      <c r="E43" s="7" t="s">
        <v>146</v>
      </c>
      <c r="F43" s="4" t="s">
        <v>31</v>
      </c>
      <c r="G43" s="4" t="s">
        <v>32</v>
      </c>
      <c r="H43" s="7" t="s">
        <v>147</v>
      </c>
      <c r="I43" s="7" t="s">
        <v>241</v>
      </c>
      <c r="J43" s="125" t="s">
        <v>242</v>
      </c>
      <c r="K43" s="95" t="s">
        <v>243</v>
      </c>
      <c r="L43" s="7">
        <v>378</v>
      </c>
      <c r="M43" s="94" t="s">
        <v>244</v>
      </c>
      <c r="N43" s="94" t="s">
        <v>150</v>
      </c>
      <c r="O43" s="7">
        <v>1600000</v>
      </c>
      <c r="P43" s="7">
        <v>400000</v>
      </c>
      <c r="Q43" s="7">
        <v>0</v>
      </c>
      <c r="R43" s="7">
        <v>0</v>
      </c>
      <c r="S43" s="7">
        <v>0</v>
      </c>
      <c r="T43" s="94" t="s">
        <v>244</v>
      </c>
      <c r="U43" s="7">
        <v>0</v>
      </c>
      <c r="V43" s="7">
        <v>0</v>
      </c>
      <c r="W43" s="7" t="s">
        <v>150</v>
      </c>
      <c r="X43" s="7" t="s">
        <v>151</v>
      </c>
      <c r="Y43" s="7" t="s">
        <v>150</v>
      </c>
      <c r="Z43" s="7" t="s">
        <v>151</v>
      </c>
      <c r="AA43" s="7" t="s">
        <v>151</v>
      </c>
      <c r="AB43" s="7"/>
      <c r="AC43" s="7" t="s">
        <v>152</v>
      </c>
      <c r="AD43" s="7" t="s">
        <v>146</v>
      </c>
      <c r="AE43" s="7" t="s">
        <v>256</v>
      </c>
      <c r="AF43" s="7"/>
      <c r="AG43" s="7"/>
      <c r="AH43" s="7" t="s">
        <v>154</v>
      </c>
      <c r="AI43" s="7" t="s">
        <v>155</v>
      </c>
      <c r="AJ43" s="107" t="s">
        <v>156</v>
      </c>
      <c r="AK43" s="83" t="s">
        <v>45</v>
      </c>
      <c r="AL43" s="83" t="s">
        <v>257</v>
      </c>
      <c r="AM43" s="83">
        <v>3</v>
      </c>
      <c r="AN43" s="7"/>
      <c r="AO43" s="7" t="s">
        <v>158</v>
      </c>
      <c r="AP43" s="7" t="s">
        <v>159</v>
      </c>
      <c r="AQ43" s="7" t="s">
        <v>48</v>
      </c>
      <c r="AR43" s="7">
        <v>18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7" t="s">
        <v>36</v>
      </c>
      <c r="BA43" s="89" t="s">
        <v>160</v>
      </c>
      <c r="BB43" s="21">
        <v>200</v>
      </c>
      <c r="BC43" s="21">
        <v>1</v>
      </c>
      <c r="BD43" s="21" t="s">
        <v>161</v>
      </c>
      <c r="BE43" s="21" t="str">
        <f t="shared" si="2"/>
        <v>VNPAY</v>
      </c>
      <c r="BF43" s="21" t="str">
        <f t="shared" si="3"/>
        <v>5D</v>
      </c>
      <c r="BG43" s="51" t="b">
        <v>0</v>
      </c>
      <c r="BH43" s="21" t="s">
        <v>162</v>
      </c>
      <c r="BI43" s="21" t="s">
        <v>161</v>
      </c>
      <c r="BJ43" s="21" t="s">
        <v>161</v>
      </c>
      <c r="BK43" s="21" t="s">
        <v>246</v>
      </c>
      <c r="BL43" s="51" t="b">
        <v>0</v>
      </c>
    </row>
  </sheetData>
  <hyperlinks>
    <hyperlink ref="K40" r:id="rId3" display="vnpay00@vnpay.vn"/>
    <hyperlink ref="K41" r:id="rId3" display="vnpay00@vnpay.vn"/>
    <hyperlink ref="K42" r:id="rId3" display="vnpay00@vnpay.vn"/>
    <hyperlink ref="K43" r:id="rId3" display="vnpay00@vnpay.vn"/>
    <hyperlink ref="K36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6"/>
  <sheetViews>
    <sheetView zoomScale="85" zoomScaleNormal="85" workbookViewId="0">
      <pane ySplit="1" topLeftCell="A22" activePane="bottomLeft" state="frozen"/>
      <selection/>
      <selection pane="bottomLeft" activeCell="I33" sqref="I33:I34"/>
    </sheetView>
  </sheetViews>
  <sheetFormatPr defaultColWidth="9.14285714285714" defaultRowHeight="30" customHeight="1"/>
  <cols>
    <col min="1" max="1" width="24.0285714285714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86</v>
      </c>
      <c r="F1" s="3" t="s">
        <v>87</v>
      </c>
      <c r="G1" s="3" t="s">
        <v>88</v>
      </c>
      <c r="H1" s="3" t="s">
        <v>89</v>
      </c>
      <c r="I1" s="3" t="s">
        <v>90</v>
      </c>
      <c r="J1" s="3" t="s">
        <v>91</v>
      </c>
      <c r="K1" s="3" t="s">
        <v>92</v>
      </c>
      <c r="L1" s="101" t="s">
        <v>93</v>
      </c>
      <c r="M1" s="102" t="s">
        <v>94</v>
      </c>
      <c r="N1" s="102" t="s">
        <v>95</v>
      </c>
      <c r="O1" s="101" t="s">
        <v>96</v>
      </c>
      <c r="P1" s="101" t="s">
        <v>97</v>
      </c>
      <c r="Q1" s="101" t="s">
        <v>98</v>
      </c>
      <c r="R1" s="101" t="s">
        <v>99</v>
      </c>
      <c r="S1" s="101" t="s">
        <v>100</v>
      </c>
      <c r="T1" s="102" t="s">
        <v>101</v>
      </c>
      <c r="U1" s="101" t="s">
        <v>102</v>
      </c>
      <c r="V1" s="102" t="s">
        <v>103</v>
      </c>
      <c r="W1" s="3" t="s">
        <v>104</v>
      </c>
      <c r="X1" s="3" t="s">
        <v>105</v>
      </c>
      <c r="Y1" s="3" t="s">
        <v>106</v>
      </c>
      <c r="Z1" s="3" t="s">
        <v>107</v>
      </c>
      <c r="AA1" s="3" t="s">
        <v>108</v>
      </c>
      <c r="AB1" s="3" t="s">
        <v>109</v>
      </c>
      <c r="AC1" s="3" t="s">
        <v>110</v>
      </c>
      <c r="AD1" s="3" t="s">
        <v>111</v>
      </c>
      <c r="AE1" s="3" t="s">
        <v>112</v>
      </c>
      <c r="AF1" s="3" t="s">
        <v>113</v>
      </c>
      <c r="AG1" s="3" t="s">
        <v>114</v>
      </c>
      <c r="AH1" s="3" t="s">
        <v>115</v>
      </c>
      <c r="AI1" s="101" t="s">
        <v>116</v>
      </c>
      <c r="AJ1" s="42" t="s">
        <v>117</v>
      </c>
      <c r="AK1" s="42" t="s">
        <v>118</v>
      </c>
      <c r="AL1" s="42" t="s">
        <v>119</v>
      </c>
      <c r="AM1" s="42" t="s">
        <v>120</v>
      </c>
      <c r="AN1" s="3" t="s">
        <v>121</v>
      </c>
      <c r="AO1" s="3" t="s">
        <v>122</v>
      </c>
      <c r="AP1" s="3" t="s">
        <v>123</v>
      </c>
      <c r="AQ1" s="3" t="s">
        <v>124</v>
      </c>
      <c r="AR1" s="3" t="s">
        <v>125</v>
      </c>
      <c r="AS1" s="3" t="s">
        <v>126</v>
      </c>
      <c r="AT1" s="3" t="s">
        <v>127</v>
      </c>
      <c r="AU1" s="108" t="s">
        <v>128</v>
      </c>
      <c r="AV1" s="108" t="s">
        <v>129</v>
      </c>
      <c r="AW1" s="108" t="s">
        <v>130</v>
      </c>
      <c r="AX1" s="108" t="s">
        <v>131</v>
      </c>
      <c r="AY1" s="108" t="s">
        <v>132</v>
      </c>
      <c r="AZ1" s="3" t="s">
        <v>264</v>
      </c>
      <c r="BA1" s="3" t="s">
        <v>265</v>
      </c>
      <c r="BB1" s="12" t="s">
        <v>15</v>
      </c>
      <c r="BC1" s="10" t="s">
        <v>16</v>
      </c>
      <c r="BD1" s="10" t="s">
        <v>17</v>
      </c>
      <c r="BE1" s="10" t="s">
        <v>134</v>
      </c>
      <c r="BF1" s="10" t="s">
        <v>135</v>
      </c>
      <c r="BG1" s="10" t="s">
        <v>136</v>
      </c>
      <c r="BH1" s="18" t="s">
        <v>137</v>
      </c>
      <c r="BI1" s="10" t="s">
        <v>138</v>
      </c>
      <c r="BJ1" s="10" t="s">
        <v>139</v>
      </c>
      <c r="BK1" s="10" t="s">
        <v>140</v>
      </c>
      <c r="BL1" s="10" t="s">
        <v>141</v>
      </c>
      <c r="BM1" s="18" t="s">
        <v>142</v>
      </c>
    </row>
    <row r="2" s="28" customFormat="1" ht="37" customHeight="1" spans="1:65">
      <c r="A2" s="30"/>
      <c r="B2" s="31" t="s">
        <v>65</v>
      </c>
      <c r="C2" s="32"/>
      <c r="D2" s="32"/>
      <c r="E2" s="33"/>
      <c r="F2" s="33"/>
      <c r="G2" s="33"/>
      <c r="H2" s="33"/>
      <c r="I2" s="33"/>
      <c r="J2" s="33"/>
      <c r="K2" s="33"/>
      <c r="L2" s="33"/>
      <c r="M2" s="40"/>
      <c r="N2" s="40"/>
      <c r="O2" s="33"/>
      <c r="P2" s="33"/>
      <c r="Q2" s="33"/>
      <c r="R2" s="33"/>
      <c r="S2" s="33"/>
      <c r="T2" s="40"/>
      <c r="U2" s="33"/>
      <c r="V2" s="40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43"/>
      <c r="AK2" s="43"/>
      <c r="AL2" s="43"/>
      <c r="AM2" s="4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49"/>
      <c r="BB2" s="50"/>
      <c r="BC2" s="21"/>
      <c r="BD2" s="21"/>
      <c r="BE2" s="21"/>
      <c r="BF2" s="21"/>
      <c r="BG2" s="21"/>
      <c r="BH2" s="51"/>
      <c r="BI2" s="21"/>
      <c r="BJ2" s="21"/>
      <c r="BK2" s="21"/>
      <c r="BL2" s="21"/>
      <c r="BM2" s="51"/>
    </row>
    <row r="3" s="1" customFormat="1" ht="53" customHeight="1" spans="1:65">
      <c r="A3" s="4" t="s">
        <v>266</v>
      </c>
      <c r="B3" s="10" t="s">
        <v>267</v>
      </c>
      <c r="C3" s="6" t="s">
        <v>29</v>
      </c>
      <c r="D3" s="17" t="s">
        <v>268</v>
      </c>
      <c r="E3" s="9" t="s">
        <v>146</v>
      </c>
      <c r="F3" s="4" t="s">
        <v>31</v>
      </c>
      <c r="G3" s="4" t="s">
        <v>32</v>
      </c>
      <c r="H3" s="7" t="s">
        <v>147</v>
      </c>
      <c r="I3" s="7" t="s">
        <v>148</v>
      </c>
      <c r="J3" s="7"/>
      <c r="K3" s="7" t="s">
        <v>149</v>
      </c>
      <c r="L3" s="7"/>
      <c r="M3" s="94"/>
      <c r="N3" s="94"/>
      <c r="O3" s="7"/>
      <c r="P3" s="7"/>
      <c r="Q3" s="7"/>
      <c r="R3" s="7"/>
      <c r="S3" s="7"/>
      <c r="T3" s="94"/>
      <c r="U3" s="7"/>
      <c r="V3" s="94"/>
      <c r="W3" s="7" t="s">
        <v>150</v>
      </c>
      <c r="X3" s="7" t="s">
        <v>151</v>
      </c>
      <c r="Y3" s="7" t="s">
        <v>150</v>
      </c>
      <c r="Z3" s="7" t="s">
        <v>151</v>
      </c>
      <c r="AA3" s="7" t="s">
        <v>151</v>
      </c>
      <c r="AB3" s="7"/>
      <c r="AC3" s="7" t="s">
        <v>152</v>
      </c>
      <c r="AD3" s="7" t="s">
        <v>146</v>
      </c>
      <c r="AE3" s="7" t="s">
        <v>153</v>
      </c>
      <c r="AF3" s="7"/>
      <c r="AG3" s="7"/>
      <c r="AH3" s="7" t="s">
        <v>154</v>
      </c>
      <c r="AI3" s="103" t="s">
        <v>269</v>
      </c>
      <c r="AJ3" s="83" t="s">
        <v>156</v>
      </c>
      <c r="AK3" s="83" t="s">
        <v>35</v>
      </c>
      <c r="AL3" s="83" t="s">
        <v>157</v>
      </c>
      <c r="AM3" s="83">
        <v>0</v>
      </c>
      <c r="AN3" s="7"/>
      <c r="AO3" s="7" t="s">
        <v>158</v>
      </c>
      <c r="AP3" s="7" t="s">
        <v>159</v>
      </c>
      <c r="AQ3" s="7" t="s">
        <v>62</v>
      </c>
      <c r="AR3" s="7" t="s">
        <v>147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>
        <v>35537</v>
      </c>
      <c r="BA3" s="13" t="s">
        <v>69</v>
      </c>
      <c r="BB3" s="13" t="s">
        <v>160</v>
      </c>
      <c r="BC3" s="9">
        <v>200</v>
      </c>
      <c r="BD3" s="9">
        <v>1</v>
      </c>
      <c r="BE3" s="9" t="s">
        <v>161</v>
      </c>
      <c r="BF3" s="9" t="str">
        <f>I3</f>
        <v>PhuongTT</v>
      </c>
      <c r="BG3" s="9" t="str">
        <f>AQ3</f>
        <v>VST</v>
      </c>
      <c r="BH3" s="19" t="b">
        <v>0</v>
      </c>
      <c r="BI3" s="9" t="s">
        <v>162</v>
      </c>
      <c r="BJ3" s="9" t="s">
        <v>161</v>
      </c>
      <c r="BK3" s="9" t="s">
        <v>161</v>
      </c>
      <c r="BL3" s="9" t="s">
        <v>163</v>
      </c>
      <c r="BM3" s="19" t="b">
        <v>0</v>
      </c>
    </row>
    <row r="4" s="1" customFormat="1" ht="53" customHeight="1" spans="1:65">
      <c r="A4" s="4" t="s">
        <v>270</v>
      </c>
      <c r="B4" s="10" t="s">
        <v>267</v>
      </c>
      <c r="C4" s="6" t="s">
        <v>29</v>
      </c>
      <c r="D4" s="17" t="s">
        <v>268</v>
      </c>
      <c r="E4" s="9" t="s">
        <v>146</v>
      </c>
      <c r="F4" s="4" t="s">
        <v>31</v>
      </c>
      <c r="G4" s="4" t="s">
        <v>32</v>
      </c>
      <c r="H4" s="7" t="s">
        <v>147</v>
      </c>
      <c r="I4" s="7" t="s">
        <v>148</v>
      </c>
      <c r="J4" s="7"/>
      <c r="K4" s="7" t="s">
        <v>149</v>
      </c>
      <c r="L4" s="7"/>
      <c r="M4" s="94"/>
      <c r="N4" s="94"/>
      <c r="O4" s="7"/>
      <c r="P4" s="7"/>
      <c r="Q4" s="7"/>
      <c r="R4" s="7"/>
      <c r="S4" s="7"/>
      <c r="T4" s="94"/>
      <c r="U4" s="7"/>
      <c r="V4" s="94"/>
      <c r="W4" s="7" t="s">
        <v>150</v>
      </c>
      <c r="X4" s="7" t="s">
        <v>151</v>
      </c>
      <c r="Y4" s="7" t="s">
        <v>150</v>
      </c>
      <c r="Z4" s="7" t="s">
        <v>151</v>
      </c>
      <c r="AA4" s="7" t="s">
        <v>151</v>
      </c>
      <c r="AB4" s="7"/>
      <c r="AC4" s="7" t="s">
        <v>152</v>
      </c>
      <c r="AD4" s="7" t="s">
        <v>146</v>
      </c>
      <c r="AE4" s="7" t="s">
        <v>165</v>
      </c>
      <c r="AF4" s="7"/>
      <c r="AG4" s="7"/>
      <c r="AH4" s="7" t="s">
        <v>154</v>
      </c>
      <c r="AI4" s="103" t="s">
        <v>269</v>
      </c>
      <c r="AJ4" s="83" t="s">
        <v>156</v>
      </c>
      <c r="AK4" s="83" t="s">
        <v>35</v>
      </c>
      <c r="AL4" s="83" t="s">
        <v>157</v>
      </c>
      <c r="AM4" s="83">
        <v>1</v>
      </c>
      <c r="AN4" s="7"/>
      <c r="AO4" s="7" t="s">
        <v>158</v>
      </c>
      <c r="AP4" s="7" t="s">
        <v>159</v>
      </c>
      <c r="AQ4" s="7" t="s">
        <v>62</v>
      </c>
      <c r="AR4" s="7" t="s">
        <v>147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>
        <v>35537</v>
      </c>
      <c r="BA4" s="13" t="s">
        <v>69</v>
      </c>
      <c r="BB4" s="13" t="s">
        <v>160</v>
      </c>
      <c r="BC4" s="9">
        <v>200</v>
      </c>
      <c r="BD4" s="9">
        <v>1</v>
      </c>
      <c r="BE4" s="9" t="s">
        <v>161</v>
      </c>
      <c r="BF4" s="9" t="str">
        <f t="shared" ref="BF4:BF17" si="0">I4</f>
        <v>PhuongTT</v>
      </c>
      <c r="BG4" s="9" t="str">
        <f t="shared" ref="BG4:BG17" si="1">AQ4</f>
        <v>VST</v>
      </c>
      <c r="BH4" s="19" t="b">
        <v>0</v>
      </c>
      <c r="BI4" s="9" t="s">
        <v>162</v>
      </c>
      <c r="BJ4" s="9" t="s">
        <v>161</v>
      </c>
      <c r="BK4" s="9" t="s">
        <v>161</v>
      </c>
      <c r="BL4" s="9" t="s">
        <v>163</v>
      </c>
      <c r="BM4" s="19" t="b">
        <v>0</v>
      </c>
    </row>
    <row r="5" s="1" customFormat="1" ht="53" customHeight="1" spans="1:65">
      <c r="A5" s="4" t="s">
        <v>271</v>
      </c>
      <c r="B5" s="10" t="s">
        <v>267</v>
      </c>
      <c r="C5" s="6" t="s">
        <v>29</v>
      </c>
      <c r="D5" s="17" t="s">
        <v>268</v>
      </c>
      <c r="E5" s="9" t="s">
        <v>146</v>
      </c>
      <c r="F5" s="4" t="s">
        <v>31</v>
      </c>
      <c r="G5" s="4" t="s">
        <v>32</v>
      </c>
      <c r="H5" s="7" t="s">
        <v>147</v>
      </c>
      <c r="I5" s="7" t="s">
        <v>148</v>
      </c>
      <c r="J5" s="7"/>
      <c r="K5" s="7" t="s">
        <v>149</v>
      </c>
      <c r="L5" s="7"/>
      <c r="M5" s="94"/>
      <c r="N5" s="94"/>
      <c r="O5" s="7"/>
      <c r="P5" s="7"/>
      <c r="Q5" s="7"/>
      <c r="R5" s="7"/>
      <c r="S5" s="7"/>
      <c r="T5" s="94"/>
      <c r="U5" s="7"/>
      <c r="V5" s="94"/>
      <c r="W5" s="7" t="s">
        <v>150</v>
      </c>
      <c r="X5" s="7" t="s">
        <v>151</v>
      </c>
      <c r="Y5" s="7" t="s">
        <v>150</v>
      </c>
      <c r="Z5" s="7" t="s">
        <v>151</v>
      </c>
      <c r="AA5" s="7" t="s">
        <v>151</v>
      </c>
      <c r="AB5" s="7"/>
      <c r="AC5" s="7" t="s">
        <v>152</v>
      </c>
      <c r="AD5" s="7" t="s">
        <v>146</v>
      </c>
      <c r="AE5" s="7" t="s">
        <v>167</v>
      </c>
      <c r="AF5" s="7"/>
      <c r="AG5" s="7"/>
      <c r="AH5" s="7" t="s">
        <v>154</v>
      </c>
      <c r="AI5" s="103" t="s">
        <v>269</v>
      </c>
      <c r="AJ5" s="83" t="s">
        <v>156</v>
      </c>
      <c r="AK5" s="83" t="s">
        <v>35</v>
      </c>
      <c r="AL5" s="83" t="s">
        <v>157</v>
      </c>
      <c r="AM5" s="83">
        <v>2</v>
      </c>
      <c r="AN5" s="7"/>
      <c r="AO5" s="7" t="s">
        <v>158</v>
      </c>
      <c r="AP5" s="7" t="s">
        <v>159</v>
      </c>
      <c r="AQ5" s="7" t="s">
        <v>62</v>
      </c>
      <c r="AR5" s="7" t="s">
        <v>147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>
        <v>35537</v>
      </c>
      <c r="BA5" s="13" t="s">
        <v>69</v>
      </c>
      <c r="BB5" s="13" t="s">
        <v>160</v>
      </c>
      <c r="BC5" s="9">
        <v>200</v>
      </c>
      <c r="BD5" s="9">
        <v>1</v>
      </c>
      <c r="BE5" s="9" t="s">
        <v>161</v>
      </c>
      <c r="BF5" s="9" t="str">
        <f t="shared" si="0"/>
        <v>PhuongTT</v>
      </c>
      <c r="BG5" s="9" t="str">
        <f t="shared" si="1"/>
        <v>VST</v>
      </c>
      <c r="BH5" s="19" t="b">
        <v>0</v>
      </c>
      <c r="BI5" s="9" t="s">
        <v>162</v>
      </c>
      <c r="BJ5" s="9" t="s">
        <v>161</v>
      </c>
      <c r="BK5" s="9" t="s">
        <v>161</v>
      </c>
      <c r="BL5" s="9" t="s">
        <v>163</v>
      </c>
      <c r="BM5" s="19" t="b">
        <v>0</v>
      </c>
    </row>
    <row r="6" s="99" customFormat="1" ht="53" customHeight="1" spans="1:66">
      <c r="A6" s="4" t="s">
        <v>272</v>
      </c>
      <c r="B6" s="10" t="s">
        <v>267</v>
      </c>
      <c r="C6" s="6" t="s">
        <v>29</v>
      </c>
      <c r="D6" s="17" t="s">
        <v>268</v>
      </c>
      <c r="E6" s="9" t="s">
        <v>146</v>
      </c>
      <c r="F6" s="4" t="s">
        <v>31</v>
      </c>
      <c r="G6" s="4" t="s">
        <v>32</v>
      </c>
      <c r="H6" s="7" t="s">
        <v>147</v>
      </c>
      <c r="I6" s="7" t="s">
        <v>148</v>
      </c>
      <c r="J6" s="7"/>
      <c r="K6" s="7" t="s">
        <v>149</v>
      </c>
      <c r="L6" s="7"/>
      <c r="M6" s="94"/>
      <c r="N6" s="94"/>
      <c r="O6" s="7"/>
      <c r="P6" s="7"/>
      <c r="Q6" s="7"/>
      <c r="R6" s="7"/>
      <c r="S6" s="7"/>
      <c r="T6" s="94"/>
      <c r="U6" s="7"/>
      <c r="V6" s="94"/>
      <c r="W6" s="7" t="s">
        <v>150</v>
      </c>
      <c r="X6" s="7" t="s">
        <v>151</v>
      </c>
      <c r="Y6" s="7" t="s">
        <v>150</v>
      </c>
      <c r="Z6" s="7" t="s">
        <v>151</v>
      </c>
      <c r="AA6" s="7" t="s">
        <v>151</v>
      </c>
      <c r="AB6" s="7"/>
      <c r="AC6" s="7" t="s">
        <v>152</v>
      </c>
      <c r="AD6" s="7" t="s">
        <v>146</v>
      </c>
      <c r="AE6" s="7" t="s">
        <v>169</v>
      </c>
      <c r="AF6" s="7"/>
      <c r="AG6" s="7"/>
      <c r="AH6" s="7" t="s">
        <v>154</v>
      </c>
      <c r="AI6" s="103" t="s">
        <v>269</v>
      </c>
      <c r="AJ6" s="83" t="s">
        <v>156</v>
      </c>
      <c r="AK6" s="83" t="s">
        <v>35</v>
      </c>
      <c r="AL6" s="83" t="s">
        <v>157</v>
      </c>
      <c r="AM6" s="83">
        <v>3</v>
      </c>
      <c r="AN6" s="7"/>
      <c r="AO6" s="7" t="s">
        <v>158</v>
      </c>
      <c r="AP6" s="7" t="s">
        <v>159</v>
      </c>
      <c r="AQ6" s="7" t="s">
        <v>62</v>
      </c>
      <c r="AR6" s="7" t="s">
        <v>147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>
        <v>35537</v>
      </c>
      <c r="BA6" s="13" t="s">
        <v>69</v>
      </c>
      <c r="BB6" s="13" t="s">
        <v>160</v>
      </c>
      <c r="BC6" s="9">
        <v>200</v>
      </c>
      <c r="BD6" s="9">
        <v>1</v>
      </c>
      <c r="BE6" s="9" t="s">
        <v>161</v>
      </c>
      <c r="BF6" s="9" t="str">
        <f t="shared" si="0"/>
        <v>PhuongTT</v>
      </c>
      <c r="BG6" s="9" t="str">
        <f t="shared" si="1"/>
        <v>VST</v>
      </c>
      <c r="BH6" s="19" t="b">
        <v>0</v>
      </c>
      <c r="BI6" s="9" t="s">
        <v>162</v>
      </c>
      <c r="BJ6" s="9" t="s">
        <v>161</v>
      </c>
      <c r="BK6" s="9" t="s">
        <v>161</v>
      </c>
      <c r="BL6" s="9" t="s">
        <v>163</v>
      </c>
      <c r="BM6" s="19" t="b">
        <v>0</v>
      </c>
      <c r="BN6" s="28"/>
    </row>
    <row r="7" s="99" customFormat="1" ht="53" customHeight="1" spans="1:66">
      <c r="A7" s="4" t="s">
        <v>273</v>
      </c>
      <c r="B7" s="10" t="s">
        <v>267</v>
      </c>
      <c r="C7" s="6" t="s">
        <v>29</v>
      </c>
      <c r="D7" s="17" t="s">
        <v>268</v>
      </c>
      <c r="E7" s="9" t="s">
        <v>146</v>
      </c>
      <c r="F7" s="4" t="s">
        <v>31</v>
      </c>
      <c r="G7" s="4" t="s">
        <v>32</v>
      </c>
      <c r="H7" s="7" t="s">
        <v>147</v>
      </c>
      <c r="I7" s="7" t="s">
        <v>148</v>
      </c>
      <c r="J7" s="7"/>
      <c r="K7" s="7" t="s">
        <v>149</v>
      </c>
      <c r="L7" s="7"/>
      <c r="M7" s="94"/>
      <c r="N7" s="94"/>
      <c r="O7" s="7"/>
      <c r="P7" s="7"/>
      <c r="Q7" s="7"/>
      <c r="R7" s="7"/>
      <c r="S7" s="7"/>
      <c r="T7" s="94"/>
      <c r="U7" s="7"/>
      <c r="V7" s="94"/>
      <c r="W7" s="7" t="s">
        <v>150</v>
      </c>
      <c r="X7" s="7" t="s">
        <v>151</v>
      </c>
      <c r="Y7" s="7" t="s">
        <v>150</v>
      </c>
      <c r="Z7" s="7" t="s">
        <v>151</v>
      </c>
      <c r="AA7" s="7" t="s">
        <v>151</v>
      </c>
      <c r="AB7" s="7"/>
      <c r="AC7" s="7" t="s">
        <v>152</v>
      </c>
      <c r="AD7" s="7" t="s">
        <v>146</v>
      </c>
      <c r="AE7" s="7" t="s">
        <v>171</v>
      </c>
      <c r="AF7" s="7"/>
      <c r="AG7" s="7"/>
      <c r="AH7" s="7" t="s">
        <v>154</v>
      </c>
      <c r="AI7" s="103" t="s">
        <v>269</v>
      </c>
      <c r="AJ7" s="83" t="s">
        <v>156</v>
      </c>
      <c r="AK7" s="104">
        <v>0.755555555555556</v>
      </c>
      <c r="AL7" s="104">
        <v>0.855555555555556</v>
      </c>
      <c r="AM7" s="83">
        <v>0</v>
      </c>
      <c r="AN7" s="7"/>
      <c r="AO7" s="7" t="s">
        <v>158</v>
      </c>
      <c r="AP7" s="7" t="s">
        <v>159</v>
      </c>
      <c r="AQ7" s="7" t="s">
        <v>62</v>
      </c>
      <c r="AR7" s="7" t="s">
        <v>147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>
        <v>35537</v>
      </c>
      <c r="BA7" s="13" t="s">
        <v>69</v>
      </c>
      <c r="BB7" s="13" t="s">
        <v>160</v>
      </c>
      <c r="BC7" s="9">
        <v>200</v>
      </c>
      <c r="BD7" s="9">
        <v>1</v>
      </c>
      <c r="BE7" s="9" t="s">
        <v>161</v>
      </c>
      <c r="BF7" s="9" t="str">
        <f t="shared" si="0"/>
        <v>PhuongTT</v>
      </c>
      <c r="BG7" s="9" t="str">
        <f t="shared" si="1"/>
        <v>VST</v>
      </c>
      <c r="BH7" s="19" t="b">
        <v>0</v>
      </c>
      <c r="BI7" s="9" t="s">
        <v>162</v>
      </c>
      <c r="BJ7" s="9" t="s">
        <v>161</v>
      </c>
      <c r="BK7" s="9" t="s">
        <v>161</v>
      </c>
      <c r="BL7" s="9" t="s">
        <v>163</v>
      </c>
      <c r="BM7" s="19" t="b">
        <v>0</v>
      </c>
      <c r="BN7" s="28"/>
    </row>
    <row r="8" s="99" customFormat="1" ht="37" customHeight="1" spans="1:66">
      <c r="A8" s="30"/>
      <c r="B8" s="65" t="s">
        <v>274</v>
      </c>
      <c r="C8" s="65"/>
      <c r="D8" s="65"/>
      <c r="E8" s="65"/>
      <c r="F8" s="65"/>
      <c r="G8" s="4"/>
      <c r="H8" s="7"/>
      <c r="I8" s="7"/>
      <c r="J8" s="7"/>
      <c r="K8" s="7"/>
      <c r="L8" s="7"/>
      <c r="M8" s="94"/>
      <c r="N8" s="94"/>
      <c r="O8" s="7"/>
      <c r="P8" s="7"/>
      <c r="Q8" s="7"/>
      <c r="R8" s="7"/>
      <c r="S8" s="7"/>
      <c r="T8" s="94"/>
      <c r="U8" s="7"/>
      <c r="V8" s="94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103"/>
      <c r="AJ8" s="83"/>
      <c r="AK8" s="83"/>
      <c r="AL8" s="83"/>
      <c r="AM8" s="83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13"/>
      <c r="BB8" s="13"/>
      <c r="BC8" s="9"/>
      <c r="BD8" s="9"/>
      <c r="BE8" s="9"/>
      <c r="BF8" s="9"/>
      <c r="BG8" s="9"/>
      <c r="BH8" s="19"/>
      <c r="BI8" s="9"/>
      <c r="BJ8" s="9"/>
      <c r="BK8" s="9"/>
      <c r="BL8" s="9"/>
      <c r="BM8" s="19"/>
      <c r="BN8" s="28"/>
    </row>
    <row r="9" s="1" customFormat="1" ht="50" customHeight="1" spans="1:65">
      <c r="A9" s="4" t="s">
        <v>275</v>
      </c>
      <c r="B9" s="10" t="s">
        <v>276</v>
      </c>
      <c r="C9" s="6" t="s">
        <v>29</v>
      </c>
      <c r="D9" s="17" t="s">
        <v>268</v>
      </c>
      <c r="E9" s="9" t="s">
        <v>146</v>
      </c>
      <c r="F9" s="4" t="s">
        <v>31</v>
      </c>
      <c r="G9" s="4" t="s">
        <v>32</v>
      </c>
      <c r="H9" s="7" t="s">
        <v>147</v>
      </c>
      <c r="I9" s="7" t="s">
        <v>148</v>
      </c>
      <c r="J9" s="7"/>
      <c r="K9" s="7" t="s">
        <v>149</v>
      </c>
      <c r="L9" s="7"/>
      <c r="M9" s="94"/>
      <c r="N9" s="94"/>
      <c r="O9" s="7"/>
      <c r="P9" s="7"/>
      <c r="Q9" s="7"/>
      <c r="R9" s="7"/>
      <c r="S9" s="7"/>
      <c r="T9" s="94"/>
      <c r="U9" s="7"/>
      <c r="V9" s="94"/>
      <c r="W9" s="7" t="s">
        <v>150</v>
      </c>
      <c r="X9" s="7" t="s">
        <v>151</v>
      </c>
      <c r="Y9" s="7" t="s">
        <v>150</v>
      </c>
      <c r="Z9" s="7" t="s">
        <v>151</v>
      </c>
      <c r="AA9" s="7" t="s">
        <v>151</v>
      </c>
      <c r="AB9" s="7"/>
      <c r="AC9" s="7" t="s">
        <v>152</v>
      </c>
      <c r="AD9" s="7" t="s">
        <v>146</v>
      </c>
      <c r="AE9" s="7" t="s">
        <v>174</v>
      </c>
      <c r="AF9" s="7"/>
      <c r="AG9" s="7"/>
      <c r="AH9" s="7" t="s">
        <v>154</v>
      </c>
      <c r="AI9" s="103" t="s">
        <v>269</v>
      </c>
      <c r="AJ9" s="83" t="s">
        <v>156</v>
      </c>
      <c r="AK9" s="104">
        <v>0.755555555555556</v>
      </c>
      <c r="AL9" s="104">
        <v>0.855555555555556</v>
      </c>
      <c r="AM9" s="83">
        <v>1</v>
      </c>
      <c r="AN9" s="7"/>
      <c r="AO9" s="7" t="s">
        <v>158</v>
      </c>
      <c r="AP9" s="7" t="s">
        <v>159</v>
      </c>
      <c r="AQ9" s="7" t="s">
        <v>62</v>
      </c>
      <c r="AR9" s="7" t="s">
        <v>147</v>
      </c>
      <c r="AS9" s="7" t="s">
        <v>33</v>
      </c>
      <c r="AT9" s="7" t="s">
        <v>36</v>
      </c>
      <c r="AU9" s="7"/>
      <c r="AV9" s="7"/>
      <c r="AW9" s="7"/>
      <c r="AX9" s="7"/>
      <c r="AY9" s="7"/>
      <c r="AZ9" s="109">
        <v>61351</v>
      </c>
      <c r="BA9" s="46" t="s">
        <v>73</v>
      </c>
      <c r="BB9" s="13" t="s">
        <v>160</v>
      </c>
      <c r="BC9" s="9">
        <v>200</v>
      </c>
      <c r="BD9" s="9">
        <v>1</v>
      </c>
      <c r="BE9" s="9" t="s">
        <v>161</v>
      </c>
      <c r="BF9" s="9" t="str">
        <f t="shared" si="0"/>
        <v>PhuongTT</v>
      </c>
      <c r="BG9" s="9" t="str">
        <f t="shared" si="1"/>
        <v>VST</v>
      </c>
      <c r="BH9" s="19" t="b">
        <v>0</v>
      </c>
      <c r="BI9" s="9" t="s">
        <v>162</v>
      </c>
      <c r="BJ9" s="9" t="s">
        <v>161</v>
      </c>
      <c r="BK9" s="9" t="s">
        <v>161</v>
      </c>
      <c r="BL9" s="9" t="s">
        <v>163</v>
      </c>
      <c r="BM9" s="19" t="b">
        <v>0</v>
      </c>
    </row>
    <row r="10" s="1" customFormat="1" ht="50" customHeight="1" spans="1:65">
      <c r="A10" s="4" t="s">
        <v>277</v>
      </c>
      <c r="B10" s="10" t="s">
        <v>276</v>
      </c>
      <c r="C10" s="6" t="s">
        <v>29</v>
      </c>
      <c r="D10" s="17" t="s">
        <v>268</v>
      </c>
      <c r="E10" s="9" t="s">
        <v>146</v>
      </c>
      <c r="F10" s="4" t="s">
        <v>31</v>
      </c>
      <c r="G10" s="4" t="s">
        <v>32</v>
      </c>
      <c r="H10" s="7" t="s">
        <v>147</v>
      </c>
      <c r="I10" s="7" t="s">
        <v>148</v>
      </c>
      <c r="J10" s="7"/>
      <c r="K10" s="7" t="s">
        <v>149</v>
      </c>
      <c r="L10" s="7"/>
      <c r="M10" s="94"/>
      <c r="N10" s="94"/>
      <c r="O10" s="7"/>
      <c r="P10" s="7"/>
      <c r="Q10" s="7"/>
      <c r="R10" s="7"/>
      <c r="S10" s="7"/>
      <c r="T10" s="94"/>
      <c r="U10" s="7"/>
      <c r="V10" s="94"/>
      <c r="W10" s="7" t="s">
        <v>150</v>
      </c>
      <c r="X10" s="7" t="s">
        <v>151</v>
      </c>
      <c r="Y10" s="7" t="s">
        <v>150</v>
      </c>
      <c r="Z10" s="7" t="s">
        <v>151</v>
      </c>
      <c r="AA10" s="7" t="s">
        <v>151</v>
      </c>
      <c r="AB10" s="7"/>
      <c r="AC10" s="7" t="s">
        <v>152</v>
      </c>
      <c r="AD10" s="7" t="s">
        <v>146</v>
      </c>
      <c r="AE10" s="7" t="s">
        <v>176</v>
      </c>
      <c r="AF10" s="7"/>
      <c r="AG10" s="7"/>
      <c r="AH10" s="7" t="s">
        <v>154</v>
      </c>
      <c r="AI10" s="103" t="s">
        <v>269</v>
      </c>
      <c r="AJ10" s="83" t="s">
        <v>156</v>
      </c>
      <c r="AK10" s="104">
        <v>0.755555555555556</v>
      </c>
      <c r="AL10" s="104">
        <v>0.855555555555556</v>
      </c>
      <c r="AM10" s="83">
        <v>2</v>
      </c>
      <c r="AN10" s="7"/>
      <c r="AO10" s="7" t="s">
        <v>158</v>
      </c>
      <c r="AP10" s="7" t="s">
        <v>159</v>
      </c>
      <c r="AQ10" s="7" t="s">
        <v>62</v>
      </c>
      <c r="AR10" s="7" t="s">
        <v>147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109">
        <v>61351</v>
      </c>
      <c r="BA10" s="46" t="s">
        <v>73</v>
      </c>
      <c r="BB10" s="13" t="s">
        <v>160</v>
      </c>
      <c r="BC10" s="9">
        <v>200</v>
      </c>
      <c r="BD10" s="9">
        <v>1</v>
      </c>
      <c r="BE10" s="9" t="s">
        <v>161</v>
      </c>
      <c r="BF10" s="9" t="str">
        <f t="shared" si="0"/>
        <v>PhuongTT</v>
      </c>
      <c r="BG10" s="9" t="str">
        <f t="shared" si="1"/>
        <v>VST</v>
      </c>
      <c r="BH10" s="19" t="b">
        <v>0</v>
      </c>
      <c r="BI10" s="9" t="s">
        <v>162</v>
      </c>
      <c r="BJ10" s="9" t="s">
        <v>161</v>
      </c>
      <c r="BK10" s="9" t="s">
        <v>161</v>
      </c>
      <c r="BL10" s="9" t="s">
        <v>163</v>
      </c>
      <c r="BM10" s="19" t="b">
        <v>0</v>
      </c>
    </row>
    <row r="11" s="1" customFormat="1" ht="50" customHeight="1" spans="1:65">
      <c r="A11" s="4" t="s">
        <v>278</v>
      </c>
      <c r="B11" s="10" t="s">
        <v>276</v>
      </c>
      <c r="C11" s="6" t="s">
        <v>29</v>
      </c>
      <c r="D11" s="17" t="s">
        <v>268</v>
      </c>
      <c r="E11" s="9" t="s">
        <v>146</v>
      </c>
      <c r="F11" s="4" t="s">
        <v>31</v>
      </c>
      <c r="G11" s="4" t="s">
        <v>32</v>
      </c>
      <c r="H11" s="7" t="s">
        <v>147</v>
      </c>
      <c r="I11" s="7" t="s">
        <v>148</v>
      </c>
      <c r="J11" s="7"/>
      <c r="K11" s="7" t="s">
        <v>149</v>
      </c>
      <c r="L11" s="7"/>
      <c r="M11" s="94"/>
      <c r="N11" s="94"/>
      <c r="O11" s="7"/>
      <c r="P11" s="7"/>
      <c r="Q11" s="7"/>
      <c r="R11" s="7"/>
      <c r="S11" s="7"/>
      <c r="T11" s="94"/>
      <c r="U11" s="7"/>
      <c r="V11" s="94"/>
      <c r="W11" s="7" t="s">
        <v>150</v>
      </c>
      <c r="X11" s="7" t="s">
        <v>151</v>
      </c>
      <c r="Y11" s="7" t="s">
        <v>150</v>
      </c>
      <c r="Z11" s="7" t="s">
        <v>151</v>
      </c>
      <c r="AA11" s="7" t="s">
        <v>151</v>
      </c>
      <c r="AB11" s="7"/>
      <c r="AC11" s="7" t="s">
        <v>152</v>
      </c>
      <c r="AD11" s="7" t="s">
        <v>146</v>
      </c>
      <c r="AE11" s="7" t="s">
        <v>178</v>
      </c>
      <c r="AF11" s="7"/>
      <c r="AG11" s="7"/>
      <c r="AH11" s="7" t="s">
        <v>154</v>
      </c>
      <c r="AI11" s="103" t="s">
        <v>269</v>
      </c>
      <c r="AJ11" s="83" t="s">
        <v>156</v>
      </c>
      <c r="AK11" s="104">
        <v>0.755555555555556</v>
      </c>
      <c r="AL11" s="104">
        <v>0.855555555555556</v>
      </c>
      <c r="AM11" s="83">
        <v>3</v>
      </c>
      <c r="AN11" s="7"/>
      <c r="AO11" s="7" t="s">
        <v>158</v>
      </c>
      <c r="AP11" s="7" t="s">
        <v>159</v>
      </c>
      <c r="AQ11" s="7" t="s">
        <v>62</v>
      </c>
      <c r="AR11" s="7" t="s">
        <v>147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109">
        <v>61351</v>
      </c>
      <c r="BA11" s="46" t="s">
        <v>73</v>
      </c>
      <c r="BB11" s="13" t="s">
        <v>160</v>
      </c>
      <c r="BC11" s="9">
        <v>200</v>
      </c>
      <c r="BD11" s="9">
        <v>1</v>
      </c>
      <c r="BE11" s="9" t="s">
        <v>161</v>
      </c>
      <c r="BF11" s="9" t="str">
        <f t="shared" si="0"/>
        <v>PhuongTT</v>
      </c>
      <c r="BG11" s="9" t="str">
        <f t="shared" si="1"/>
        <v>VST</v>
      </c>
      <c r="BH11" s="19" t="b">
        <v>0</v>
      </c>
      <c r="BI11" s="9" t="s">
        <v>162</v>
      </c>
      <c r="BJ11" s="9" t="s">
        <v>161</v>
      </c>
      <c r="BK11" s="9" t="s">
        <v>161</v>
      </c>
      <c r="BL11" s="9" t="s">
        <v>163</v>
      </c>
      <c r="BM11" s="19" t="b">
        <v>0</v>
      </c>
    </row>
    <row r="12" s="99" customFormat="1" ht="50" customHeight="1" spans="1:66">
      <c r="A12" s="4" t="s">
        <v>279</v>
      </c>
      <c r="B12" s="10" t="s">
        <v>276</v>
      </c>
      <c r="C12" s="6" t="s">
        <v>29</v>
      </c>
      <c r="D12" s="17" t="s">
        <v>268</v>
      </c>
      <c r="E12" s="9" t="s">
        <v>146</v>
      </c>
      <c r="F12" s="4" t="s">
        <v>31</v>
      </c>
      <c r="G12" s="4" t="s">
        <v>32</v>
      </c>
      <c r="H12" s="7" t="s">
        <v>147</v>
      </c>
      <c r="I12" s="7" t="s">
        <v>148</v>
      </c>
      <c r="J12" s="7"/>
      <c r="K12" s="7" t="s">
        <v>149</v>
      </c>
      <c r="L12" s="7"/>
      <c r="M12" s="94"/>
      <c r="N12" s="94"/>
      <c r="O12" s="7"/>
      <c r="P12" s="7"/>
      <c r="Q12" s="7"/>
      <c r="R12" s="7"/>
      <c r="S12" s="7"/>
      <c r="T12" s="94"/>
      <c r="U12" s="7"/>
      <c r="V12" s="94"/>
      <c r="W12" s="7" t="s">
        <v>150</v>
      </c>
      <c r="X12" s="7" t="s">
        <v>151</v>
      </c>
      <c r="Y12" s="7" t="s">
        <v>150</v>
      </c>
      <c r="Z12" s="7" t="s">
        <v>151</v>
      </c>
      <c r="AA12" s="7" t="s">
        <v>151</v>
      </c>
      <c r="AB12" s="7"/>
      <c r="AC12" s="7" t="s">
        <v>152</v>
      </c>
      <c r="AD12" s="7" t="s">
        <v>146</v>
      </c>
      <c r="AE12" s="7" t="s">
        <v>180</v>
      </c>
      <c r="AF12" s="7"/>
      <c r="AG12" s="7"/>
      <c r="AH12" s="7" t="s">
        <v>154</v>
      </c>
      <c r="AI12" s="103" t="s">
        <v>269</v>
      </c>
      <c r="AJ12" s="83" t="s">
        <v>156</v>
      </c>
      <c r="AK12" s="83" t="s">
        <v>45</v>
      </c>
      <c r="AL12" s="83" t="s">
        <v>257</v>
      </c>
      <c r="AM12" s="83">
        <v>0</v>
      </c>
      <c r="AN12" s="7"/>
      <c r="AO12" s="7" t="s">
        <v>158</v>
      </c>
      <c r="AP12" s="7" t="s">
        <v>159</v>
      </c>
      <c r="AQ12" s="7" t="s">
        <v>62</v>
      </c>
      <c r="AR12" s="7" t="s">
        <v>147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109">
        <v>61351</v>
      </c>
      <c r="BA12" s="46" t="s">
        <v>73</v>
      </c>
      <c r="BB12" s="13" t="s">
        <v>160</v>
      </c>
      <c r="BC12" s="9">
        <v>200</v>
      </c>
      <c r="BD12" s="9">
        <v>1</v>
      </c>
      <c r="BE12" s="9" t="s">
        <v>161</v>
      </c>
      <c r="BF12" s="9" t="str">
        <f t="shared" si="0"/>
        <v>PhuongTT</v>
      </c>
      <c r="BG12" s="9" t="str">
        <f t="shared" si="1"/>
        <v>VST</v>
      </c>
      <c r="BH12" s="19" t="b">
        <v>0</v>
      </c>
      <c r="BI12" s="9" t="s">
        <v>162</v>
      </c>
      <c r="BJ12" s="9" t="s">
        <v>161</v>
      </c>
      <c r="BK12" s="9" t="s">
        <v>161</v>
      </c>
      <c r="BL12" s="9" t="s">
        <v>163</v>
      </c>
      <c r="BM12" s="19" t="b">
        <v>0</v>
      </c>
      <c r="BN12" s="28"/>
    </row>
    <row r="13" s="99" customFormat="1" ht="50" customHeight="1" spans="1:66">
      <c r="A13" s="4" t="s">
        <v>280</v>
      </c>
      <c r="B13" s="10" t="s">
        <v>276</v>
      </c>
      <c r="C13" s="6" t="s">
        <v>29</v>
      </c>
      <c r="D13" s="17" t="s">
        <v>268</v>
      </c>
      <c r="E13" s="9" t="s">
        <v>146</v>
      </c>
      <c r="F13" s="4" t="s">
        <v>31</v>
      </c>
      <c r="G13" s="4" t="s">
        <v>32</v>
      </c>
      <c r="H13" s="7" t="s">
        <v>147</v>
      </c>
      <c r="I13" s="7" t="s">
        <v>148</v>
      </c>
      <c r="J13" s="7"/>
      <c r="K13" s="7" t="s">
        <v>149</v>
      </c>
      <c r="L13" s="7"/>
      <c r="M13" s="94"/>
      <c r="N13" s="94"/>
      <c r="O13" s="7"/>
      <c r="P13" s="7"/>
      <c r="Q13" s="7"/>
      <c r="R13" s="7"/>
      <c r="S13" s="7"/>
      <c r="T13" s="94"/>
      <c r="U13" s="7"/>
      <c r="V13" s="94"/>
      <c r="W13" s="7" t="s">
        <v>150</v>
      </c>
      <c r="X13" s="7" t="s">
        <v>151</v>
      </c>
      <c r="Y13" s="7" t="s">
        <v>150</v>
      </c>
      <c r="Z13" s="7" t="s">
        <v>151</v>
      </c>
      <c r="AA13" s="7" t="s">
        <v>151</v>
      </c>
      <c r="AB13" s="7"/>
      <c r="AC13" s="7" t="s">
        <v>152</v>
      </c>
      <c r="AD13" s="7" t="s">
        <v>146</v>
      </c>
      <c r="AE13" s="7" t="s">
        <v>182</v>
      </c>
      <c r="AF13" s="7"/>
      <c r="AG13" s="7"/>
      <c r="AH13" s="7" t="s">
        <v>154</v>
      </c>
      <c r="AI13" s="103" t="s">
        <v>269</v>
      </c>
      <c r="AJ13" s="83" t="s">
        <v>156</v>
      </c>
      <c r="AK13" s="83" t="s">
        <v>45</v>
      </c>
      <c r="AL13" s="83" t="s">
        <v>257</v>
      </c>
      <c r="AM13" s="83">
        <v>1</v>
      </c>
      <c r="AN13" s="7"/>
      <c r="AO13" s="7" t="s">
        <v>158</v>
      </c>
      <c r="AP13" s="7" t="s">
        <v>159</v>
      </c>
      <c r="AQ13" s="7" t="s">
        <v>62</v>
      </c>
      <c r="AR13" s="7" t="s">
        <v>147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109">
        <v>61351</v>
      </c>
      <c r="BA13" s="46" t="s">
        <v>73</v>
      </c>
      <c r="BB13" s="13" t="s">
        <v>160</v>
      </c>
      <c r="BC13" s="9">
        <v>200</v>
      </c>
      <c r="BD13" s="9">
        <v>1</v>
      </c>
      <c r="BE13" s="9" t="s">
        <v>161</v>
      </c>
      <c r="BF13" s="9" t="str">
        <f t="shared" si="0"/>
        <v>PhuongTT</v>
      </c>
      <c r="BG13" s="9" t="str">
        <f t="shared" si="1"/>
        <v>VST</v>
      </c>
      <c r="BH13" s="19" t="b">
        <v>0</v>
      </c>
      <c r="BI13" s="9" t="s">
        <v>162</v>
      </c>
      <c r="BJ13" s="9" t="s">
        <v>161</v>
      </c>
      <c r="BK13" s="9" t="s">
        <v>161</v>
      </c>
      <c r="BL13" s="9" t="s">
        <v>163</v>
      </c>
      <c r="BM13" s="19" t="b">
        <v>0</v>
      </c>
      <c r="BN13" s="28"/>
    </row>
    <row r="14" s="99" customFormat="1" ht="37" customHeight="1" spans="1:66">
      <c r="A14" s="30"/>
      <c r="B14" s="65" t="s">
        <v>281</v>
      </c>
      <c r="C14" s="65"/>
      <c r="D14" s="65"/>
      <c r="E14" s="65"/>
      <c r="F14" s="65"/>
      <c r="G14" s="4"/>
      <c r="H14" s="7"/>
      <c r="I14" s="7"/>
      <c r="J14" s="7"/>
      <c r="K14" s="7"/>
      <c r="L14" s="7"/>
      <c r="M14" s="94"/>
      <c r="N14" s="94"/>
      <c r="O14" s="7"/>
      <c r="P14" s="7"/>
      <c r="Q14" s="7"/>
      <c r="R14" s="7"/>
      <c r="S14" s="7"/>
      <c r="T14" s="94"/>
      <c r="U14" s="7"/>
      <c r="V14" s="94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103"/>
      <c r="AJ14" s="83"/>
      <c r="AK14" s="83"/>
      <c r="AL14" s="83"/>
      <c r="AM14" s="83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4"/>
      <c r="BB14" s="13"/>
      <c r="BC14" s="9"/>
      <c r="BD14" s="9"/>
      <c r="BE14" s="9"/>
      <c r="BF14" s="9"/>
      <c r="BG14" s="9"/>
      <c r="BH14" s="19"/>
      <c r="BI14" s="9"/>
      <c r="BJ14" s="9"/>
      <c r="BK14" s="9"/>
      <c r="BL14" s="9"/>
      <c r="BM14" s="19"/>
      <c r="BN14" s="28"/>
    </row>
    <row r="15" s="1" customFormat="1" ht="50" customHeight="1" spans="1:65">
      <c r="A15" s="4" t="s">
        <v>282</v>
      </c>
      <c r="B15" s="10" t="s">
        <v>283</v>
      </c>
      <c r="C15" s="6" t="s">
        <v>29</v>
      </c>
      <c r="D15" s="17" t="s">
        <v>268</v>
      </c>
      <c r="E15" s="9" t="s">
        <v>146</v>
      </c>
      <c r="F15" s="4" t="s">
        <v>31</v>
      </c>
      <c r="G15" s="4" t="s">
        <v>32</v>
      </c>
      <c r="H15" s="7" t="s">
        <v>147</v>
      </c>
      <c r="I15" s="7" t="s">
        <v>148</v>
      </c>
      <c r="J15" s="7"/>
      <c r="K15" s="7" t="s">
        <v>149</v>
      </c>
      <c r="L15" s="7"/>
      <c r="M15" s="94"/>
      <c r="N15" s="94"/>
      <c r="O15" s="7"/>
      <c r="P15" s="7"/>
      <c r="Q15" s="7"/>
      <c r="R15" s="7"/>
      <c r="S15" s="7"/>
      <c r="T15" s="94"/>
      <c r="U15" s="7"/>
      <c r="V15" s="94"/>
      <c r="W15" s="7" t="s">
        <v>150</v>
      </c>
      <c r="X15" s="7" t="s">
        <v>151</v>
      </c>
      <c r="Y15" s="7" t="s">
        <v>150</v>
      </c>
      <c r="Z15" s="7" t="s">
        <v>151</v>
      </c>
      <c r="AA15" s="7" t="s">
        <v>151</v>
      </c>
      <c r="AB15" s="7"/>
      <c r="AC15" s="7" t="s">
        <v>152</v>
      </c>
      <c r="AD15" s="7" t="s">
        <v>146</v>
      </c>
      <c r="AE15" s="7" t="s">
        <v>184</v>
      </c>
      <c r="AF15" s="7"/>
      <c r="AG15" s="7"/>
      <c r="AH15" s="7" t="s">
        <v>154</v>
      </c>
      <c r="AI15" s="103" t="s">
        <v>269</v>
      </c>
      <c r="AJ15" s="83" t="s">
        <v>156</v>
      </c>
      <c r="AK15" s="105">
        <v>0.761111111111111</v>
      </c>
      <c r="AL15" s="105">
        <v>0.861111111111111</v>
      </c>
      <c r="AM15" s="106">
        <v>2</v>
      </c>
      <c r="AN15" s="7"/>
      <c r="AO15" s="7" t="s">
        <v>158</v>
      </c>
      <c r="AP15" s="7" t="s">
        <v>159</v>
      </c>
      <c r="AQ15" s="7" t="s">
        <v>62</v>
      </c>
      <c r="AR15" s="7" t="s">
        <v>147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47">
        <v>35541</v>
      </c>
      <c r="BA15" s="48" t="s">
        <v>77</v>
      </c>
      <c r="BB15" s="13" t="s">
        <v>160</v>
      </c>
      <c r="BC15" s="9">
        <v>200</v>
      </c>
      <c r="BD15" s="9">
        <v>1</v>
      </c>
      <c r="BE15" s="9" t="s">
        <v>161</v>
      </c>
      <c r="BF15" s="9" t="str">
        <f t="shared" ref="BF15:BF19" si="2">I15</f>
        <v>PhuongTT</v>
      </c>
      <c r="BG15" s="9" t="str">
        <f t="shared" ref="BG15:BG19" si="3">AQ15</f>
        <v>VST</v>
      </c>
      <c r="BH15" s="19" t="b">
        <v>0</v>
      </c>
      <c r="BI15" s="9" t="s">
        <v>162</v>
      </c>
      <c r="BJ15" s="9" t="s">
        <v>161</v>
      </c>
      <c r="BK15" s="9" t="s">
        <v>161</v>
      </c>
      <c r="BL15" s="9" t="s">
        <v>163</v>
      </c>
      <c r="BM15" s="19" t="b">
        <v>0</v>
      </c>
    </row>
    <row r="16" s="1" customFormat="1" ht="50" customHeight="1" spans="1:65">
      <c r="A16" s="4" t="s">
        <v>284</v>
      </c>
      <c r="B16" s="10" t="s">
        <v>283</v>
      </c>
      <c r="C16" s="6" t="s">
        <v>29</v>
      </c>
      <c r="D16" s="17" t="s">
        <v>268</v>
      </c>
      <c r="E16" s="9" t="s">
        <v>146</v>
      </c>
      <c r="F16" s="4" t="s">
        <v>31</v>
      </c>
      <c r="G16" s="4" t="s">
        <v>32</v>
      </c>
      <c r="H16" s="7" t="s">
        <v>147</v>
      </c>
      <c r="I16" s="7" t="s">
        <v>148</v>
      </c>
      <c r="J16" s="7"/>
      <c r="K16" s="7" t="s">
        <v>149</v>
      </c>
      <c r="L16" s="7"/>
      <c r="M16" s="94"/>
      <c r="N16" s="94"/>
      <c r="O16" s="7"/>
      <c r="P16" s="7"/>
      <c r="Q16" s="7"/>
      <c r="R16" s="7"/>
      <c r="S16" s="7"/>
      <c r="T16" s="94"/>
      <c r="U16" s="7"/>
      <c r="V16" s="94"/>
      <c r="W16" s="7" t="s">
        <v>150</v>
      </c>
      <c r="X16" s="7" t="s">
        <v>151</v>
      </c>
      <c r="Y16" s="7" t="s">
        <v>150</v>
      </c>
      <c r="Z16" s="7" t="s">
        <v>151</v>
      </c>
      <c r="AA16" s="7" t="s">
        <v>151</v>
      </c>
      <c r="AB16" s="7"/>
      <c r="AC16" s="7" t="s">
        <v>152</v>
      </c>
      <c r="AD16" s="7" t="s">
        <v>146</v>
      </c>
      <c r="AE16" s="7" t="s">
        <v>186</v>
      </c>
      <c r="AF16" s="7"/>
      <c r="AG16" s="7"/>
      <c r="AH16" s="7" t="s">
        <v>154</v>
      </c>
      <c r="AI16" s="103" t="s">
        <v>269</v>
      </c>
      <c r="AJ16" s="83" t="s">
        <v>156</v>
      </c>
      <c r="AK16" s="105">
        <v>0.761111111111111</v>
      </c>
      <c r="AL16" s="105">
        <v>0.861111111111111</v>
      </c>
      <c r="AM16" s="106">
        <v>3</v>
      </c>
      <c r="AN16" s="7"/>
      <c r="AO16" s="7" t="s">
        <v>158</v>
      </c>
      <c r="AP16" s="7" t="s">
        <v>159</v>
      </c>
      <c r="AQ16" s="7" t="s">
        <v>62</v>
      </c>
      <c r="AR16" s="7" t="s">
        <v>147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47">
        <v>35541</v>
      </c>
      <c r="BA16" s="48" t="s">
        <v>77</v>
      </c>
      <c r="BB16" s="13" t="s">
        <v>160</v>
      </c>
      <c r="BC16" s="9">
        <v>200</v>
      </c>
      <c r="BD16" s="9">
        <v>1</v>
      </c>
      <c r="BE16" s="9" t="s">
        <v>161</v>
      </c>
      <c r="BF16" s="9" t="str">
        <f t="shared" si="2"/>
        <v>PhuongTT</v>
      </c>
      <c r="BG16" s="9" t="str">
        <f t="shared" si="3"/>
        <v>VST</v>
      </c>
      <c r="BH16" s="19" t="b">
        <v>0</v>
      </c>
      <c r="BI16" s="9" t="s">
        <v>162</v>
      </c>
      <c r="BJ16" s="9" t="s">
        <v>161</v>
      </c>
      <c r="BK16" s="9" t="s">
        <v>161</v>
      </c>
      <c r="BL16" s="9" t="s">
        <v>163</v>
      </c>
      <c r="BM16" s="19" t="b">
        <v>0</v>
      </c>
    </row>
    <row r="17" s="1" customFormat="1" ht="50" customHeight="1" spans="1:65">
      <c r="A17" s="4" t="s">
        <v>285</v>
      </c>
      <c r="B17" s="10" t="s">
        <v>283</v>
      </c>
      <c r="C17" s="6" t="s">
        <v>29</v>
      </c>
      <c r="D17" s="17" t="s">
        <v>268</v>
      </c>
      <c r="E17" s="9" t="s">
        <v>146</v>
      </c>
      <c r="F17" s="4" t="s">
        <v>31</v>
      </c>
      <c r="G17" s="4" t="s">
        <v>32</v>
      </c>
      <c r="H17" s="7" t="s">
        <v>147</v>
      </c>
      <c r="I17" s="7" t="s">
        <v>148</v>
      </c>
      <c r="J17" s="7"/>
      <c r="K17" s="7" t="s">
        <v>149</v>
      </c>
      <c r="L17" s="7"/>
      <c r="M17" s="94"/>
      <c r="N17" s="94"/>
      <c r="O17" s="7"/>
      <c r="P17" s="7"/>
      <c r="Q17" s="7"/>
      <c r="R17" s="7"/>
      <c r="S17" s="7"/>
      <c r="T17" s="94"/>
      <c r="U17" s="7"/>
      <c r="V17" s="94"/>
      <c r="W17" s="7" t="s">
        <v>150</v>
      </c>
      <c r="X17" s="7" t="s">
        <v>151</v>
      </c>
      <c r="Y17" s="7" t="s">
        <v>150</v>
      </c>
      <c r="Z17" s="7" t="s">
        <v>151</v>
      </c>
      <c r="AA17" s="7" t="s">
        <v>151</v>
      </c>
      <c r="AB17" s="7"/>
      <c r="AC17" s="7" t="s">
        <v>152</v>
      </c>
      <c r="AD17" s="7" t="s">
        <v>146</v>
      </c>
      <c r="AE17" s="7" t="s">
        <v>188</v>
      </c>
      <c r="AF17" s="7"/>
      <c r="AG17" s="7"/>
      <c r="AH17" s="7" t="s">
        <v>154</v>
      </c>
      <c r="AI17" s="103" t="s">
        <v>269</v>
      </c>
      <c r="AJ17" s="83" t="s">
        <v>156</v>
      </c>
      <c r="AK17" s="105">
        <v>0.766666666666667</v>
      </c>
      <c r="AL17" s="105">
        <v>0.866666666666667</v>
      </c>
      <c r="AM17" s="106">
        <v>0</v>
      </c>
      <c r="AN17" s="7"/>
      <c r="AO17" s="7" t="s">
        <v>158</v>
      </c>
      <c r="AP17" s="7" t="s">
        <v>159</v>
      </c>
      <c r="AQ17" s="7" t="s">
        <v>62</v>
      </c>
      <c r="AR17" s="7" t="s">
        <v>147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47">
        <v>35541</v>
      </c>
      <c r="BA17" s="48" t="s">
        <v>77</v>
      </c>
      <c r="BB17" s="13" t="s">
        <v>160</v>
      </c>
      <c r="BC17" s="9">
        <v>200</v>
      </c>
      <c r="BD17" s="9">
        <v>1</v>
      </c>
      <c r="BE17" s="9" t="s">
        <v>161</v>
      </c>
      <c r="BF17" s="9" t="str">
        <f t="shared" si="2"/>
        <v>PhuongTT</v>
      </c>
      <c r="BG17" s="9" t="str">
        <f t="shared" si="3"/>
        <v>VST</v>
      </c>
      <c r="BH17" s="19" t="b">
        <v>0</v>
      </c>
      <c r="BI17" s="9" t="s">
        <v>162</v>
      </c>
      <c r="BJ17" s="9" t="s">
        <v>161</v>
      </c>
      <c r="BK17" s="9" t="s">
        <v>161</v>
      </c>
      <c r="BL17" s="9" t="s">
        <v>163</v>
      </c>
      <c r="BM17" s="19" t="b">
        <v>0</v>
      </c>
    </row>
    <row r="18" s="99" customFormat="1" ht="50" customHeight="1" spans="1:66">
      <c r="A18" s="4" t="s">
        <v>286</v>
      </c>
      <c r="B18" s="10" t="s">
        <v>283</v>
      </c>
      <c r="C18" s="6" t="s">
        <v>29</v>
      </c>
      <c r="D18" s="17" t="s">
        <v>268</v>
      </c>
      <c r="E18" s="9" t="s">
        <v>146</v>
      </c>
      <c r="F18" s="4" t="s">
        <v>31</v>
      </c>
      <c r="G18" s="4" t="s">
        <v>32</v>
      </c>
      <c r="H18" s="7" t="s">
        <v>147</v>
      </c>
      <c r="I18" s="7" t="s">
        <v>148</v>
      </c>
      <c r="J18" s="7"/>
      <c r="K18" s="7" t="s">
        <v>149</v>
      </c>
      <c r="L18" s="7"/>
      <c r="M18" s="94"/>
      <c r="N18" s="94"/>
      <c r="O18" s="7"/>
      <c r="P18" s="7"/>
      <c r="Q18" s="7"/>
      <c r="R18" s="7"/>
      <c r="S18" s="7"/>
      <c r="T18" s="94"/>
      <c r="U18" s="7"/>
      <c r="V18" s="94"/>
      <c r="W18" s="7" t="s">
        <v>150</v>
      </c>
      <c r="X18" s="7" t="s">
        <v>151</v>
      </c>
      <c r="Y18" s="7" t="s">
        <v>150</v>
      </c>
      <c r="Z18" s="7" t="s">
        <v>151</v>
      </c>
      <c r="AA18" s="7" t="s">
        <v>151</v>
      </c>
      <c r="AB18" s="7"/>
      <c r="AC18" s="7" t="s">
        <v>152</v>
      </c>
      <c r="AD18" s="7" t="s">
        <v>146</v>
      </c>
      <c r="AE18" s="7" t="s">
        <v>190</v>
      </c>
      <c r="AF18" s="7"/>
      <c r="AG18" s="7"/>
      <c r="AH18" s="7" t="s">
        <v>154</v>
      </c>
      <c r="AI18" s="103" t="s">
        <v>269</v>
      </c>
      <c r="AJ18" s="83" t="s">
        <v>156</v>
      </c>
      <c r="AK18" s="105">
        <v>0.766666666666667</v>
      </c>
      <c r="AL18" s="105">
        <v>0.866666666666667</v>
      </c>
      <c r="AM18" s="106">
        <v>1</v>
      </c>
      <c r="AN18" s="7"/>
      <c r="AO18" s="7" t="s">
        <v>158</v>
      </c>
      <c r="AP18" s="7" t="s">
        <v>159</v>
      </c>
      <c r="AQ18" s="7" t="s">
        <v>62</v>
      </c>
      <c r="AR18" s="7" t="s">
        <v>147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47">
        <v>35541</v>
      </c>
      <c r="BA18" s="48" t="s">
        <v>77</v>
      </c>
      <c r="BB18" s="13" t="s">
        <v>160</v>
      </c>
      <c r="BC18" s="9">
        <v>200</v>
      </c>
      <c r="BD18" s="9">
        <v>1</v>
      </c>
      <c r="BE18" s="9" t="s">
        <v>161</v>
      </c>
      <c r="BF18" s="9" t="str">
        <f t="shared" si="2"/>
        <v>PhuongTT</v>
      </c>
      <c r="BG18" s="9" t="str">
        <f t="shared" si="3"/>
        <v>VST</v>
      </c>
      <c r="BH18" s="19" t="b">
        <v>0</v>
      </c>
      <c r="BI18" s="9" t="s">
        <v>162</v>
      </c>
      <c r="BJ18" s="9" t="s">
        <v>161</v>
      </c>
      <c r="BK18" s="9" t="s">
        <v>161</v>
      </c>
      <c r="BL18" s="9" t="s">
        <v>163</v>
      </c>
      <c r="BM18" s="19" t="b">
        <v>0</v>
      </c>
      <c r="BN18" s="28"/>
    </row>
    <row r="19" s="99" customFormat="1" ht="50" customHeight="1" spans="1:66">
      <c r="A19" s="4" t="s">
        <v>287</v>
      </c>
      <c r="B19" s="10" t="s">
        <v>283</v>
      </c>
      <c r="C19" s="6" t="s">
        <v>29</v>
      </c>
      <c r="D19" s="17" t="s">
        <v>268</v>
      </c>
      <c r="E19" s="9" t="s">
        <v>146</v>
      </c>
      <c r="F19" s="4" t="s">
        <v>31</v>
      </c>
      <c r="G19" s="4" t="s">
        <v>32</v>
      </c>
      <c r="H19" s="7" t="s">
        <v>147</v>
      </c>
      <c r="I19" s="7" t="s">
        <v>148</v>
      </c>
      <c r="J19" s="7"/>
      <c r="K19" s="7" t="s">
        <v>149</v>
      </c>
      <c r="L19" s="7"/>
      <c r="M19" s="94"/>
      <c r="N19" s="94"/>
      <c r="O19" s="7"/>
      <c r="P19" s="7"/>
      <c r="Q19" s="7"/>
      <c r="R19" s="7"/>
      <c r="S19" s="7"/>
      <c r="T19" s="94"/>
      <c r="U19" s="7"/>
      <c r="V19" s="94"/>
      <c r="W19" s="7" t="s">
        <v>150</v>
      </c>
      <c r="X19" s="7" t="s">
        <v>151</v>
      </c>
      <c r="Y19" s="7" t="s">
        <v>150</v>
      </c>
      <c r="Z19" s="7" t="s">
        <v>151</v>
      </c>
      <c r="AA19" s="7" t="s">
        <v>151</v>
      </c>
      <c r="AB19" s="7"/>
      <c r="AC19" s="7" t="s">
        <v>152</v>
      </c>
      <c r="AD19" s="7" t="s">
        <v>146</v>
      </c>
      <c r="AE19" s="7" t="s">
        <v>192</v>
      </c>
      <c r="AF19" s="7"/>
      <c r="AG19" s="7"/>
      <c r="AH19" s="7" t="s">
        <v>154</v>
      </c>
      <c r="AI19" s="103" t="s">
        <v>269</v>
      </c>
      <c r="AJ19" s="83" t="s">
        <v>156</v>
      </c>
      <c r="AK19" s="105">
        <v>0.766666666666667</v>
      </c>
      <c r="AL19" s="105">
        <v>0.866666666666667</v>
      </c>
      <c r="AM19" s="106">
        <v>2</v>
      </c>
      <c r="AN19" s="7"/>
      <c r="AO19" s="7" t="s">
        <v>158</v>
      </c>
      <c r="AP19" s="7" t="s">
        <v>159</v>
      </c>
      <c r="AQ19" s="7" t="s">
        <v>62</v>
      </c>
      <c r="AR19" s="7" t="s">
        <v>147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47">
        <v>35541</v>
      </c>
      <c r="BA19" s="48" t="s">
        <v>77</v>
      </c>
      <c r="BB19" s="13" t="s">
        <v>160</v>
      </c>
      <c r="BC19" s="9">
        <v>200</v>
      </c>
      <c r="BD19" s="9">
        <v>1</v>
      </c>
      <c r="BE19" s="9" t="s">
        <v>161</v>
      </c>
      <c r="BF19" s="9" t="str">
        <f t="shared" si="2"/>
        <v>PhuongTT</v>
      </c>
      <c r="BG19" s="9" t="str">
        <f t="shared" si="3"/>
        <v>VST</v>
      </c>
      <c r="BH19" s="19" t="b">
        <v>0</v>
      </c>
      <c r="BI19" s="9" t="s">
        <v>162</v>
      </c>
      <c r="BJ19" s="9" t="s">
        <v>161</v>
      </c>
      <c r="BK19" s="9" t="s">
        <v>161</v>
      </c>
      <c r="BL19" s="9" t="s">
        <v>163</v>
      </c>
      <c r="BM19" s="19" t="b">
        <v>0</v>
      </c>
      <c r="BN19" s="28"/>
    </row>
    <row r="20" s="99" customFormat="1" ht="37" customHeight="1" spans="1:66">
      <c r="A20" s="30"/>
      <c r="B20" s="65" t="s">
        <v>288</v>
      </c>
      <c r="C20" s="65"/>
      <c r="D20" s="65"/>
      <c r="E20" s="65"/>
      <c r="F20" s="65"/>
      <c r="G20" s="4"/>
      <c r="H20" s="7"/>
      <c r="I20" s="7"/>
      <c r="J20" s="7"/>
      <c r="K20" s="7"/>
      <c r="L20" s="7"/>
      <c r="M20" s="94"/>
      <c r="N20" s="94"/>
      <c r="O20" s="7"/>
      <c r="P20" s="7"/>
      <c r="Q20" s="7"/>
      <c r="R20" s="7"/>
      <c r="S20" s="7"/>
      <c r="T20" s="94"/>
      <c r="U20" s="7"/>
      <c r="V20" s="94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103"/>
      <c r="AJ20" s="83"/>
      <c r="AK20" s="83"/>
      <c r="AL20" s="83"/>
      <c r="AM20" s="83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4"/>
      <c r="BB20" s="13"/>
      <c r="BC20" s="9"/>
      <c r="BD20" s="9"/>
      <c r="BE20" s="9"/>
      <c r="BF20" s="9"/>
      <c r="BG20" s="9"/>
      <c r="BH20" s="19"/>
      <c r="BI20" s="9"/>
      <c r="BJ20" s="9"/>
      <c r="BK20" s="9"/>
      <c r="BL20" s="9"/>
      <c r="BM20" s="19"/>
      <c r="BN20" s="28"/>
    </row>
    <row r="21" s="1" customFormat="1" ht="50" customHeight="1" spans="1:65">
      <c r="A21" s="4" t="s">
        <v>289</v>
      </c>
      <c r="B21" s="10" t="s">
        <v>290</v>
      </c>
      <c r="C21" s="6" t="s">
        <v>29</v>
      </c>
      <c r="D21" s="17" t="s">
        <v>268</v>
      </c>
      <c r="E21" s="9" t="s">
        <v>146</v>
      </c>
      <c r="F21" s="4" t="s">
        <v>31</v>
      </c>
      <c r="G21" s="4" t="s">
        <v>32</v>
      </c>
      <c r="H21" s="7" t="s">
        <v>147</v>
      </c>
      <c r="I21" s="7" t="s">
        <v>148</v>
      </c>
      <c r="J21" s="7"/>
      <c r="K21" s="7" t="s">
        <v>149</v>
      </c>
      <c r="L21" s="7"/>
      <c r="M21" s="94"/>
      <c r="N21" s="94"/>
      <c r="O21" s="7"/>
      <c r="P21" s="7"/>
      <c r="Q21" s="7"/>
      <c r="R21" s="7"/>
      <c r="S21" s="7"/>
      <c r="T21" s="94"/>
      <c r="U21" s="7"/>
      <c r="V21" s="94"/>
      <c r="W21" s="7" t="s">
        <v>150</v>
      </c>
      <c r="X21" s="7" t="s">
        <v>151</v>
      </c>
      <c r="Y21" s="7" t="s">
        <v>150</v>
      </c>
      <c r="Z21" s="7" t="s">
        <v>151</v>
      </c>
      <c r="AA21" s="7" t="s">
        <v>151</v>
      </c>
      <c r="AB21" s="7"/>
      <c r="AC21" s="7" t="s">
        <v>152</v>
      </c>
      <c r="AD21" s="7" t="s">
        <v>146</v>
      </c>
      <c r="AE21" s="7" t="s">
        <v>194</v>
      </c>
      <c r="AF21" s="7"/>
      <c r="AG21" s="7"/>
      <c r="AH21" s="7" t="s">
        <v>154</v>
      </c>
      <c r="AI21" s="103" t="s">
        <v>269</v>
      </c>
      <c r="AJ21" s="83" t="s">
        <v>156</v>
      </c>
      <c r="AK21" s="105">
        <v>0.766666666666667</v>
      </c>
      <c r="AL21" s="105">
        <v>0.866666666666667</v>
      </c>
      <c r="AM21" s="106">
        <v>3</v>
      </c>
      <c r="AN21" s="7"/>
      <c r="AO21" s="7" t="s">
        <v>158</v>
      </c>
      <c r="AP21" s="7" t="s">
        <v>159</v>
      </c>
      <c r="AQ21" s="7" t="s">
        <v>62</v>
      </c>
      <c r="AR21" s="7" t="s">
        <v>147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47">
        <v>35540</v>
      </c>
      <c r="BA21" s="48" t="s">
        <v>81</v>
      </c>
      <c r="BB21" s="13" t="s">
        <v>160</v>
      </c>
      <c r="BC21" s="9">
        <v>200</v>
      </c>
      <c r="BD21" s="9">
        <v>1</v>
      </c>
      <c r="BE21" s="9" t="s">
        <v>161</v>
      </c>
      <c r="BF21" s="9" t="str">
        <f t="shared" ref="BF21:BF25" si="4">I21</f>
        <v>PhuongTT</v>
      </c>
      <c r="BG21" s="9" t="str">
        <f t="shared" ref="BG21:BG25" si="5">AQ21</f>
        <v>VST</v>
      </c>
      <c r="BH21" s="19" t="b">
        <v>0</v>
      </c>
      <c r="BI21" s="9" t="s">
        <v>162</v>
      </c>
      <c r="BJ21" s="9" t="s">
        <v>161</v>
      </c>
      <c r="BK21" s="9" t="s">
        <v>161</v>
      </c>
      <c r="BL21" s="9" t="s">
        <v>163</v>
      </c>
      <c r="BM21" s="19" t="b">
        <v>0</v>
      </c>
    </row>
    <row r="22" s="1" customFormat="1" ht="50" customHeight="1" spans="1:65">
      <c r="A22" s="4" t="s">
        <v>291</v>
      </c>
      <c r="B22" s="10" t="s">
        <v>290</v>
      </c>
      <c r="C22" s="6" t="s">
        <v>29</v>
      </c>
      <c r="D22" s="17" t="s">
        <v>268</v>
      </c>
      <c r="E22" s="9" t="s">
        <v>146</v>
      </c>
      <c r="F22" s="4" t="s">
        <v>31</v>
      </c>
      <c r="G22" s="4" t="s">
        <v>32</v>
      </c>
      <c r="H22" s="7" t="s">
        <v>147</v>
      </c>
      <c r="I22" s="7" t="s">
        <v>148</v>
      </c>
      <c r="J22" s="7"/>
      <c r="K22" s="7" t="s">
        <v>149</v>
      </c>
      <c r="L22" s="7"/>
      <c r="M22" s="94"/>
      <c r="N22" s="94"/>
      <c r="O22" s="7"/>
      <c r="P22" s="7"/>
      <c r="Q22" s="7"/>
      <c r="R22" s="7"/>
      <c r="S22" s="7"/>
      <c r="T22" s="94"/>
      <c r="U22" s="7"/>
      <c r="V22" s="94"/>
      <c r="W22" s="7" t="s">
        <v>150</v>
      </c>
      <c r="X22" s="7" t="s">
        <v>151</v>
      </c>
      <c r="Y22" s="7" t="s">
        <v>150</v>
      </c>
      <c r="Z22" s="7" t="s">
        <v>151</v>
      </c>
      <c r="AA22" s="7" t="s">
        <v>151</v>
      </c>
      <c r="AB22" s="7"/>
      <c r="AC22" s="7" t="s">
        <v>152</v>
      </c>
      <c r="AD22" s="7" t="s">
        <v>146</v>
      </c>
      <c r="AE22" s="7" t="s">
        <v>196</v>
      </c>
      <c r="AF22" s="7"/>
      <c r="AG22" s="7"/>
      <c r="AH22" s="7" t="s">
        <v>154</v>
      </c>
      <c r="AI22" s="103" t="s">
        <v>269</v>
      </c>
      <c r="AJ22" s="83" t="s">
        <v>156</v>
      </c>
      <c r="AK22" s="105">
        <v>0.772222222222222</v>
      </c>
      <c r="AL22" s="105">
        <v>0.872222222222222</v>
      </c>
      <c r="AM22" s="106">
        <v>0</v>
      </c>
      <c r="AN22" s="7"/>
      <c r="AO22" s="7" t="s">
        <v>158</v>
      </c>
      <c r="AP22" s="7" t="s">
        <v>159</v>
      </c>
      <c r="AQ22" s="7" t="s">
        <v>62</v>
      </c>
      <c r="AR22" s="7" t="s">
        <v>147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47">
        <v>35540</v>
      </c>
      <c r="BA22" s="48" t="s">
        <v>81</v>
      </c>
      <c r="BB22" s="13" t="s">
        <v>160</v>
      </c>
      <c r="BC22" s="9">
        <v>200</v>
      </c>
      <c r="BD22" s="9">
        <v>1</v>
      </c>
      <c r="BE22" s="9" t="s">
        <v>161</v>
      </c>
      <c r="BF22" s="9" t="str">
        <f t="shared" si="4"/>
        <v>PhuongTT</v>
      </c>
      <c r="BG22" s="9" t="str">
        <f t="shared" si="5"/>
        <v>VST</v>
      </c>
      <c r="BH22" s="19" t="b">
        <v>0</v>
      </c>
      <c r="BI22" s="9" t="s">
        <v>162</v>
      </c>
      <c r="BJ22" s="9" t="s">
        <v>161</v>
      </c>
      <c r="BK22" s="9" t="s">
        <v>161</v>
      </c>
      <c r="BL22" s="9" t="s">
        <v>163</v>
      </c>
      <c r="BM22" s="19" t="b">
        <v>0</v>
      </c>
    </row>
    <row r="23" s="1" customFormat="1" ht="50" customHeight="1" spans="1:65">
      <c r="A23" s="4" t="s">
        <v>292</v>
      </c>
      <c r="B23" s="10" t="s">
        <v>290</v>
      </c>
      <c r="C23" s="6" t="s">
        <v>29</v>
      </c>
      <c r="D23" s="17" t="s">
        <v>268</v>
      </c>
      <c r="E23" s="9" t="s">
        <v>146</v>
      </c>
      <c r="F23" s="4" t="s">
        <v>31</v>
      </c>
      <c r="G23" s="4" t="s">
        <v>32</v>
      </c>
      <c r="H23" s="7" t="s">
        <v>147</v>
      </c>
      <c r="I23" s="7" t="s">
        <v>148</v>
      </c>
      <c r="J23" s="7"/>
      <c r="K23" s="7" t="s">
        <v>149</v>
      </c>
      <c r="L23" s="7"/>
      <c r="M23" s="94"/>
      <c r="N23" s="94"/>
      <c r="O23" s="7"/>
      <c r="P23" s="7"/>
      <c r="Q23" s="7"/>
      <c r="R23" s="7"/>
      <c r="S23" s="7"/>
      <c r="T23" s="94"/>
      <c r="U23" s="7"/>
      <c r="V23" s="94"/>
      <c r="W23" s="7" t="s">
        <v>150</v>
      </c>
      <c r="X23" s="7" t="s">
        <v>151</v>
      </c>
      <c r="Y23" s="7" t="s">
        <v>150</v>
      </c>
      <c r="Z23" s="7" t="s">
        <v>151</v>
      </c>
      <c r="AA23" s="7" t="s">
        <v>151</v>
      </c>
      <c r="AB23" s="7"/>
      <c r="AC23" s="7" t="s">
        <v>152</v>
      </c>
      <c r="AD23" s="7" t="s">
        <v>146</v>
      </c>
      <c r="AE23" s="7" t="s">
        <v>198</v>
      </c>
      <c r="AF23" s="7"/>
      <c r="AG23" s="7"/>
      <c r="AH23" s="7" t="s">
        <v>154</v>
      </c>
      <c r="AI23" s="103" t="s">
        <v>269</v>
      </c>
      <c r="AJ23" s="83" t="s">
        <v>156</v>
      </c>
      <c r="AK23" s="105">
        <v>0.772222222222222</v>
      </c>
      <c r="AL23" s="105">
        <v>0.872222222222222</v>
      </c>
      <c r="AM23" s="106">
        <v>1</v>
      </c>
      <c r="AN23" s="7"/>
      <c r="AO23" s="7" t="s">
        <v>158</v>
      </c>
      <c r="AP23" s="7" t="s">
        <v>159</v>
      </c>
      <c r="AQ23" s="7" t="s">
        <v>62</v>
      </c>
      <c r="AR23" s="7" t="s">
        <v>147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47">
        <v>35540</v>
      </c>
      <c r="BA23" s="48" t="s">
        <v>81</v>
      </c>
      <c r="BB23" s="13" t="s">
        <v>160</v>
      </c>
      <c r="BC23" s="9">
        <v>200</v>
      </c>
      <c r="BD23" s="9">
        <v>1</v>
      </c>
      <c r="BE23" s="9" t="s">
        <v>161</v>
      </c>
      <c r="BF23" s="9" t="str">
        <f t="shared" si="4"/>
        <v>PhuongTT</v>
      </c>
      <c r="BG23" s="9" t="str">
        <f t="shared" si="5"/>
        <v>VST</v>
      </c>
      <c r="BH23" s="19" t="b">
        <v>0</v>
      </c>
      <c r="BI23" s="9" t="s">
        <v>162</v>
      </c>
      <c r="BJ23" s="9" t="s">
        <v>161</v>
      </c>
      <c r="BK23" s="9" t="s">
        <v>161</v>
      </c>
      <c r="BL23" s="9" t="s">
        <v>163</v>
      </c>
      <c r="BM23" s="19" t="b">
        <v>0</v>
      </c>
    </row>
    <row r="24" s="99" customFormat="1" ht="50" customHeight="1" spans="1:66">
      <c r="A24" s="4" t="s">
        <v>293</v>
      </c>
      <c r="B24" s="10" t="s">
        <v>290</v>
      </c>
      <c r="C24" s="6" t="s">
        <v>29</v>
      </c>
      <c r="D24" s="17" t="s">
        <v>268</v>
      </c>
      <c r="E24" s="9" t="s">
        <v>146</v>
      </c>
      <c r="F24" s="4" t="s">
        <v>31</v>
      </c>
      <c r="G24" s="4" t="s">
        <v>32</v>
      </c>
      <c r="H24" s="7" t="s">
        <v>147</v>
      </c>
      <c r="I24" s="7" t="s">
        <v>148</v>
      </c>
      <c r="J24" s="7"/>
      <c r="K24" s="7" t="s">
        <v>149</v>
      </c>
      <c r="L24" s="7"/>
      <c r="M24" s="94"/>
      <c r="N24" s="94"/>
      <c r="O24" s="7"/>
      <c r="P24" s="7"/>
      <c r="Q24" s="7"/>
      <c r="R24" s="7"/>
      <c r="S24" s="7"/>
      <c r="T24" s="94"/>
      <c r="U24" s="7"/>
      <c r="V24" s="94"/>
      <c r="W24" s="7" t="s">
        <v>150</v>
      </c>
      <c r="X24" s="7" t="s">
        <v>151</v>
      </c>
      <c r="Y24" s="7" t="s">
        <v>150</v>
      </c>
      <c r="Z24" s="7" t="s">
        <v>151</v>
      </c>
      <c r="AA24" s="7" t="s">
        <v>151</v>
      </c>
      <c r="AB24" s="7"/>
      <c r="AC24" s="7" t="s">
        <v>152</v>
      </c>
      <c r="AD24" s="7" t="s">
        <v>146</v>
      </c>
      <c r="AE24" s="7" t="s">
        <v>200</v>
      </c>
      <c r="AF24" s="7"/>
      <c r="AG24" s="7"/>
      <c r="AH24" s="7" t="s">
        <v>154</v>
      </c>
      <c r="AI24" s="103" t="s">
        <v>269</v>
      </c>
      <c r="AJ24" s="83" t="s">
        <v>156</v>
      </c>
      <c r="AK24" s="105">
        <v>0.772222222222222</v>
      </c>
      <c r="AL24" s="105">
        <v>0.872222222222222</v>
      </c>
      <c r="AM24" s="106">
        <v>2</v>
      </c>
      <c r="AN24" s="7"/>
      <c r="AO24" s="7" t="s">
        <v>158</v>
      </c>
      <c r="AP24" s="7" t="s">
        <v>159</v>
      </c>
      <c r="AQ24" s="7" t="s">
        <v>62</v>
      </c>
      <c r="AR24" s="7" t="s">
        <v>147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47">
        <v>35540</v>
      </c>
      <c r="BA24" s="48" t="s">
        <v>81</v>
      </c>
      <c r="BB24" s="13" t="s">
        <v>160</v>
      </c>
      <c r="BC24" s="9">
        <v>200</v>
      </c>
      <c r="BD24" s="9">
        <v>1</v>
      </c>
      <c r="BE24" s="9" t="s">
        <v>161</v>
      </c>
      <c r="BF24" s="9" t="str">
        <f t="shared" si="4"/>
        <v>PhuongTT</v>
      </c>
      <c r="BG24" s="9" t="str">
        <f t="shared" si="5"/>
        <v>VST</v>
      </c>
      <c r="BH24" s="19" t="b">
        <v>0</v>
      </c>
      <c r="BI24" s="9" t="s">
        <v>162</v>
      </c>
      <c r="BJ24" s="9" t="s">
        <v>161</v>
      </c>
      <c r="BK24" s="9" t="s">
        <v>161</v>
      </c>
      <c r="BL24" s="9" t="s">
        <v>163</v>
      </c>
      <c r="BM24" s="19" t="b">
        <v>0</v>
      </c>
      <c r="BN24" s="28"/>
    </row>
    <row r="25" s="99" customFormat="1" ht="50" customHeight="1" spans="1:66">
      <c r="A25" s="4" t="s">
        <v>294</v>
      </c>
      <c r="B25" s="10" t="s">
        <v>290</v>
      </c>
      <c r="C25" s="6" t="s">
        <v>29</v>
      </c>
      <c r="D25" s="17" t="s">
        <v>268</v>
      </c>
      <c r="E25" s="9" t="s">
        <v>146</v>
      </c>
      <c r="F25" s="4" t="s">
        <v>31</v>
      </c>
      <c r="G25" s="4" t="s">
        <v>32</v>
      </c>
      <c r="H25" s="7" t="s">
        <v>147</v>
      </c>
      <c r="I25" s="7" t="s">
        <v>148</v>
      </c>
      <c r="J25" s="7"/>
      <c r="K25" s="7" t="s">
        <v>149</v>
      </c>
      <c r="L25" s="7"/>
      <c r="M25" s="94"/>
      <c r="N25" s="94"/>
      <c r="O25" s="7"/>
      <c r="P25" s="7"/>
      <c r="Q25" s="7"/>
      <c r="R25" s="7"/>
      <c r="S25" s="7"/>
      <c r="T25" s="94"/>
      <c r="U25" s="7"/>
      <c r="V25" s="94"/>
      <c r="W25" s="7" t="s">
        <v>150</v>
      </c>
      <c r="X25" s="7" t="s">
        <v>151</v>
      </c>
      <c r="Y25" s="7" t="s">
        <v>150</v>
      </c>
      <c r="Z25" s="7" t="s">
        <v>151</v>
      </c>
      <c r="AA25" s="7" t="s">
        <v>151</v>
      </c>
      <c r="AB25" s="7"/>
      <c r="AC25" s="7" t="s">
        <v>152</v>
      </c>
      <c r="AD25" s="7" t="s">
        <v>146</v>
      </c>
      <c r="AE25" s="7" t="s">
        <v>202</v>
      </c>
      <c r="AF25" s="7"/>
      <c r="AG25" s="7"/>
      <c r="AH25" s="7" t="s">
        <v>154</v>
      </c>
      <c r="AI25" s="103" t="s">
        <v>269</v>
      </c>
      <c r="AJ25" s="83" t="s">
        <v>156</v>
      </c>
      <c r="AK25" s="105">
        <v>0.772222222222222</v>
      </c>
      <c r="AL25" s="105">
        <v>0.872222222222222</v>
      </c>
      <c r="AM25" s="106">
        <v>3</v>
      </c>
      <c r="AN25" s="7"/>
      <c r="AO25" s="7" t="s">
        <v>158</v>
      </c>
      <c r="AP25" s="7" t="s">
        <v>159</v>
      </c>
      <c r="AQ25" s="7" t="s">
        <v>62</v>
      </c>
      <c r="AR25" s="7" t="s">
        <v>147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47">
        <v>35540</v>
      </c>
      <c r="BA25" s="48" t="s">
        <v>81</v>
      </c>
      <c r="BB25" s="13" t="s">
        <v>160</v>
      </c>
      <c r="BC25" s="9">
        <v>200</v>
      </c>
      <c r="BD25" s="9">
        <v>1</v>
      </c>
      <c r="BE25" s="9" t="s">
        <v>161</v>
      </c>
      <c r="BF25" s="9" t="str">
        <f t="shared" si="4"/>
        <v>PhuongTT</v>
      </c>
      <c r="BG25" s="9" t="str">
        <f t="shared" si="5"/>
        <v>VST</v>
      </c>
      <c r="BH25" s="19" t="b">
        <v>0</v>
      </c>
      <c r="BI25" s="9" t="s">
        <v>162</v>
      </c>
      <c r="BJ25" s="9" t="s">
        <v>161</v>
      </c>
      <c r="BK25" s="9" t="s">
        <v>161</v>
      </c>
      <c r="BL25" s="9" t="s">
        <v>163</v>
      </c>
      <c r="BM25" s="19" t="b">
        <v>0</v>
      </c>
      <c r="BN25" s="28"/>
    </row>
    <row r="26" s="99" customFormat="1" ht="37" customHeight="1" spans="1:66">
      <c r="A26" s="30"/>
      <c r="B26" s="65" t="s">
        <v>295</v>
      </c>
      <c r="C26" s="65"/>
      <c r="D26" s="65"/>
      <c r="E26" s="65"/>
      <c r="F26" s="65"/>
      <c r="G26" s="4"/>
      <c r="H26" s="7"/>
      <c r="I26" s="7"/>
      <c r="J26" s="7"/>
      <c r="K26" s="7"/>
      <c r="L26" s="7"/>
      <c r="M26" s="94"/>
      <c r="N26" s="94"/>
      <c r="O26" s="7"/>
      <c r="P26" s="7"/>
      <c r="Q26" s="7"/>
      <c r="R26" s="7"/>
      <c r="S26" s="7"/>
      <c r="T26" s="94"/>
      <c r="U26" s="7"/>
      <c r="V26" s="94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103"/>
      <c r="AJ26" s="83"/>
      <c r="AK26" s="83"/>
      <c r="AL26" s="83"/>
      <c r="AM26" s="83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4"/>
      <c r="BB26" s="13"/>
      <c r="BC26" s="9"/>
      <c r="BD26" s="9"/>
      <c r="BE26" s="9"/>
      <c r="BF26" s="9"/>
      <c r="BG26" s="9"/>
      <c r="BH26" s="19"/>
      <c r="BI26" s="9"/>
      <c r="BJ26" s="9"/>
      <c r="BK26" s="9"/>
      <c r="BL26" s="9"/>
      <c r="BM26" s="19"/>
      <c r="BN26" s="28"/>
    </row>
    <row r="27" s="1" customFormat="1" ht="50" customHeight="1" spans="1:65">
      <c r="A27" s="4" t="s">
        <v>296</v>
      </c>
      <c r="B27" s="10" t="s">
        <v>297</v>
      </c>
      <c r="C27" s="6" t="s">
        <v>29</v>
      </c>
      <c r="D27" s="17" t="s">
        <v>268</v>
      </c>
      <c r="E27" s="9" t="s">
        <v>146</v>
      </c>
      <c r="F27" s="4" t="s">
        <v>31</v>
      </c>
      <c r="G27" s="4" t="s">
        <v>32</v>
      </c>
      <c r="H27" s="7" t="s">
        <v>147</v>
      </c>
      <c r="I27" s="7" t="s">
        <v>148</v>
      </c>
      <c r="J27" s="7"/>
      <c r="K27" s="7" t="s">
        <v>149</v>
      </c>
      <c r="L27" s="7"/>
      <c r="M27" s="94"/>
      <c r="N27" s="94"/>
      <c r="O27" s="7"/>
      <c r="P27" s="7"/>
      <c r="Q27" s="7"/>
      <c r="R27" s="7"/>
      <c r="S27" s="7"/>
      <c r="T27" s="94"/>
      <c r="U27" s="7"/>
      <c r="V27" s="94"/>
      <c r="W27" s="7" t="s">
        <v>150</v>
      </c>
      <c r="X27" s="7" t="s">
        <v>151</v>
      </c>
      <c r="Y27" s="7" t="s">
        <v>150</v>
      </c>
      <c r="Z27" s="7" t="s">
        <v>151</v>
      </c>
      <c r="AA27" s="7" t="s">
        <v>151</v>
      </c>
      <c r="AB27" s="7"/>
      <c r="AC27" s="7" t="s">
        <v>152</v>
      </c>
      <c r="AD27" s="7" t="s">
        <v>146</v>
      </c>
      <c r="AE27" s="7" t="s">
        <v>204</v>
      </c>
      <c r="AF27" s="7"/>
      <c r="AG27" s="7"/>
      <c r="AH27" s="7" t="s">
        <v>154</v>
      </c>
      <c r="AI27" s="103" t="s">
        <v>269</v>
      </c>
      <c r="AJ27" s="83" t="s">
        <v>156</v>
      </c>
      <c r="AK27" s="105">
        <v>0.777777777777778</v>
      </c>
      <c r="AL27" s="105">
        <v>0.877777777777778</v>
      </c>
      <c r="AM27" s="106">
        <v>0</v>
      </c>
      <c r="AN27" s="7"/>
      <c r="AO27" s="7" t="s">
        <v>158</v>
      </c>
      <c r="AP27" s="7" t="s">
        <v>159</v>
      </c>
      <c r="AQ27" s="7" t="s">
        <v>62</v>
      </c>
      <c r="AR27" s="7" t="s">
        <v>147</v>
      </c>
      <c r="AS27" s="7" t="s">
        <v>33</v>
      </c>
      <c r="AT27" s="7" t="s">
        <v>36</v>
      </c>
      <c r="AU27" s="7"/>
      <c r="AV27" s="7"/>
      <c r="AW27" s="7"/>
      <c r="AX27" s="7"/>
      <c r="AY27" s="7"/>
      <c r="AZ27" s="47">
        <v>61353</v>
      </c>
      <c r="BA27" s="48" t="s">
        <v>85</v>
      </c>
      <c r="BB27" s="13" t="s">
        <v>160</v>
      </c>
      <c r="BC27" s="9">
        <v>200</v>
      </c>
      <c r="BD27" s="9">
        <v>1</v>
      </c>
      <c r="BE27" s="9" t="s">
        <v>161</v>
      </c>
      <c r="BF27" s="9" t="str">
        <f t="shared" ref="BF27:BF31" si="6">I27</f>
        <v>PhuongTT</v>
      </c>
      <c r="BG27" s="9" t="str">
        <f t="shared" ref="BG27:BG31" si="7">AQ27</f>
        <v>VST</v>
      </c>
      <c r="BH27" s="19" t="b">
        <v>0</v>
      </c>
      <c r="BI27" s="9" t="s">
        <v>162</v>
      </c>
      <c r="BJ27" s="9" t="s">
        <v>161</v>
      </c>
      <c r="BK27" s="9" t="s">
        <v>161</v>
      </c>
      <c r="BL27" s="9" t="s">
        <v>163</v>
      </c>
      <c r="BM27" s="19" t="b">
        <v>0</v>
      </c>
    </row>
    <row r="28" s="1" customFormat="1" ht="50" customHeight="1" spans="1:65">
      <c r="A28" s="4" t="s">
        <v>298</v>
      </c>
      <c r="B28" s="10" t="s">
        <v>297</v>
      </c>
      <c r="C28" s="6" t="s">
        <v>29</v>
      </c>
      <c r="D28" s="17" t="s">
        <v>268</v>
      </c>
      <c r="E28" s="9" t="s">
        <v>146</v>
      </c>
      <c r="F28" s="4" t="s">
        <v>31</v>
      </c>
      <c r="G28" s="4" t="s">
        <v>32</v>
      </c>
      <c r="H28" s="7" t="s">
        <v>147</v>
      </c>
      <c r="I28" s="7" t="s">
        <v>148</v>
      </c>
      <c r="J28" s="7"/>
      <c r="K28" s="7" t="s">
        <v>149</v>
      </c>
      <c r="L28" s="7"/>
      <c r="M28" s="94"/>
      <c r="N28" s="94"/>
      <c r="O28" s="7"/>
      <c r="P28" s="7"/>
      <c r="Q28" s="7"/>
      <c r="R28" s="7"/>
      <c r="S28" s="7"/>
      <c r="T28" s="94"/>
      <c r="U28" s="7"/>
      <c r="V28" s="94"/>
      <c r="W28" s="7" t="s">
        <v>150</v>
      </c>
      <c r="X28" s="7" t="s">
        <v>151</v>
      </c>
      <c r="Y28" s="7" t="s">
        <v>150</v>
      </c>
      <c r="Z28" s="7" t="s">
        <v>151</v>
      </c>
      <c r="AA28" s="7" t="s">
        <v>151</v>
      </c>
      <c r="AB28" s="7"/>
      <c r="AC28" s="7" t="s">
        <v>152</v>
      </c>
      <c r="AD28" s="7" t="s">
        <v>146</v>
      </c>
      <c r="AE28" s="7" t="s">
        <v>206</v>
      </c>
      <c r="AF28" s="7"/>
      <c r="AG28" s="7"/>
      <c r="AH28" s="7" t="s">
        <v>154</v>
      </c>
      <c r="AI28" s="103" t="s">
        <v>269</v>
      </c>
      <c r="AJ28" s="83" t="s">
        <v>156</v>
      </c>
      <c r="AK28" s="105">
        <v>0.777777777777778</v>
      </c>
      <c r="AL28" s="105">
        <v>0.877777777777778</v>
      </c>
      <c r="AM28" s="106">
        <v>1</v>
      </c>
      <c r="AN28" s="7"/>
      <c r="AO28" s="7" t="s">
        <v>158</v>
      </c>
      <c r="AP28" s="7" t="s">
        <v>159</v>
      </c>
      <c r="AQ28" s="7" t="s">
        <v>62</v>
      </c>
      <c r="AR28" s="7" t="s">
        <v>147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47">
        <v>61353</v>
      </c>
      <c r="BA28" s="48" t="s">
        <v>85</v>
      </c>
      <c r="BB28" s="13" t="s">
        <v>160</v>
      </c>
      <c r="BC28" s="9">
        <v>200</v>
      </c>
      <c r="BD28" s="9">
        <v>1</v>
      </c>
      <c r="BE28" s="9" t="s">
        <v>161</v>
      </c>
      <c r="BF28" s="9" t="str">
        <f t="shared" si="6"/>
        <v>PhuongTT</v>
      </c>
      <c r="BG28" s="9" t="str">
        <f t="shared" si="7"/>
        <v>VST</v>
      </c>
      <c r="BH28" s="19" t="b">
        <v>0</v>
      </c>
      <c r="BI28" s="9" t="s">
        <v>162</v>
      </c>
      <c r="BJ28" s="9" t="s">
        <v>161</v>
      </c>
      <c r="BK28" s="9" t="s">
        <v>161</v>
      </c>
      <c r="BL28" s="9" t="s">
        <v>163</v>
      </c>
      <c r="BM28" s="19" t="b">
        <v>0</v>
      </c>
    </row>
    <row r="29" s="1" customFormat="1" ht="50" customHeight="1" spans="1:65">
      <c r="A29" s="4" t="s">
        <v>299</v>
      </c>
      <c r="B29" s="10" t="s">
        <v>297</v>
      </c>
      <c r="C29" s="6" t="s">
        <v>29</v>
      </c>
      <c r="D29" s="17" t="s">
        <v>268</v>
      </c>
      <c r="E29" s="9" t="s">
        <v>146</v>
      </c>
      <c r="F29" s="4" t="s">
        <v>31</v>
      </c>
      <c r="G29" s="4" t="s">
        <v>32</v>
      </c>
      <c r="H29" s="7" t="s">
        <v>147</v>
      </c>
      <c r="I29" s="7" t="s">
        <v>148</v>
      </c>
      <c r="J29" s="7"/>
      <c r="K29" s="7" t="s">
        <v>149</v>
      </c>
      <c r="L29" s="7"/>
      <c r="M29" s="94"/>
      <c r="N29" s="94"/>
      <c r="O29" s="7"/>
      <c r="P29" s="7"/>
      <c r="Q29" s="7"/>
      <c r="R29" s="7"/>
      <c r="S29" s="7"/>
      <c r="T29" s="94"/>
      <c r="U29" s="7"/>
      <c r="V29" s="94"/>
      <c r="W29" s="7" t="s">
        <v>150</v>
      </c>
      <c r="X29" s="7" t="s">
        <v>151</v>
      </c>
      <c r="Y29" s="7" t="s">
        <v>150</v>
      </c>
      <c r="Z29" s="7" t="s">
        <v>151</v>
      </c>
      <c r="AA29" s="7" t="s">
        <v>151</v>
      </c>
      <c r="AB29" s="7"/>
      <c r="AC29" s="7" t="s">
        <v>152</v>
      </c>
      <c r="AD29" s="7" t="s">
        <v>146</v>
      </c>
      <c r="AE29" s="7" t="s">
        <v>208</v>
      </c>
      <c r="AF29" s="7"/>
      <c r="AG29" s="7"/>
      <c r="AH29" s="7" t="s">
        <v>154</v>
      </c>
      <c r="AI29" s="103" t="s">
        <v>269</v>
      </c>
      <c r="AJ29" s="83" t="s">
        <v>156</v>
      </c>
      <c r="AK29" s="105">
        <v>0.777777777777778</v>
      </c>
      <c r="AL29" s="105">
        <v>0.877777777777778</v>
      </c>
      <c r="AM29" s="106">
        <v>2</v>
      </c>
      <c r="AN29" s="7"/>
      <c r="AO29" s="7" t="s">
        <v>158</v>
      </c>
      <c r="AP29" s="7" t="s">
        <v>159</v>
      </c>
      <c r="AQ29" s="7" t="s">
        <v>62</v>
      </c>
      <c r="AR29" s="7" t="s">
        <v>147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47">
        <v>61353</v>
      </c>
      <c r="BA29" s="48" t="s">
        <v>85</v>
      </c>
      <c r="BB29" s="13" t="s">
        <v>160</v>
      </c>
      <c r="BC29" s="9">
        <v>200</v>
      </c>
      <c r="BD29" s="9">
        <v>1</v>
      </c>
      <c r="BE29" s="9" t="s">
        <v>161</v>
      </c>
      <c r="BF29" s="9" t="str">
        <f t="shared" si="6"/>
        <v>PhuongTT</v>
      </c>
      <c r="BG29" s="9" t="str">
        <f t="shared" si="7"/>
        <v>VST</v>
      </c>
      <c r="BH29" s="19" t="b">
        <v>0</v>
      </c>
      <c r="BI29" s="9" t="s">
        <v>162</v>
      </c>
      <c r="BJ29" s="9" t="s">
        <v>161</v>
      </c>
      <c r="BK29" s="9" t="s">
        <v>161</v>
      </c>
      <c r="BL29" s="9" t="s">
        <v>163</v>
      </c>
      <c r="BM29" s="19" t="b">
        <v>0</v>
      </c>
    </row>
    <row r="30" s="99" customFormat="1" ht="50" customHeight="1" spans="1:66">
      <c r="A30" s="4" t="s">
        <v>300</v>
      </c>
      <c r="B30" s="10" t="s">
        <v>297</v>
      </c>
      <c r="C30" s="6" t="s">
        <v>29</v>
      </c>
      <c r="D30" s="17" t="s">
        <v>268</v>
      </c>
      <c r="E30" s="9" t="s">
        <v>146</v>
      </c>
      <c r="F30" s="4" t="s">
        <v>31</v>
      </c>
      <c r="G30" s="4" t="s">
        <v>32</v>
      </c>
      <c r="H30" s="7" t="s">
        <v>147</v>
      </c>
      <c r="I30" s="7" t="s">
        <v>148</v>
      </c>
      <c r="J30" s="7"/>
      <c r="K30" s="7" t="s">
        <v>149</v>
      </c>
      <c r="L30" s="7"/>
      <c r="M30" s="94"/>
      <c r="N30" s="94"/>
      <c r="O30" s="7"/>
      <c r="P30" s="7"/>
      <c r="Q30" s="7"/>
      <c r="R30" s="7"/>
      <c r="S30" s="7"/>
      <c r="T30" s="94"/>
      <c r="U30" s="7"/>
      <c r="V30" s="94"/>
      <c r="W30" s="7" t="s">
        <v>150</v>
      </c>
      <c r="X30" s="7" t="s">
        <v>151</v>
      </c>
      <c r="Y30" s="7" t="s">
        <v>150</v>
      </c>
      <c r="Z30" s="7" t="s">
        <v>151</v>
      </c>
      <c r="AA30" s="7" t="s">
        <v>151</v>
      </c>
      <c r="AB30" s="7"/>
      <c r="AC30" s="7" t="s">
        <v>152</v>
      </c>
      <c r="AD30" s="7" t="s">
        <v>146</v>
      </c>
      <c r="AE30" s="7" t="s">
        <v>210</v>
      </c>
      <c r="AF30" s="7"/>
      <c r="AG30" s="7"/>
      <c r="AH30" s="7" t="s">
        <v>154</v>
      </c>
      <c r="AI30" s="103" t="s">
        <v>269</v>
      </c>
      <c r="AJ30" s="83" t="s">
        <v>156</v>
      </c>
      <c r="AK30" s="105">
        <v>0.777777777777778</v>
      </c>
      <c r="AL30" s="105">
        <v>0.877777777777778</v>
      </c>
      <c r="AM30" s="106">
        <v>3</v>
      </c>
      <c r="AN30" s="7"/>
      <c r="AO30" s="7" t="s">
        <v>158</v>
      </c>
      <c r="AP30" s="7" t="s">
        <v>159</v>
      </c>
      <c r="AQ30" s="7" t="s">
        <v>62</v>
      </c>
      <c r="AR30" s="7" t="s">
        <v>147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47">
        <v>61353</v>
      </c>
      <c r="BA30" s="48" t="s">
        <v>85</v>
      </c>
      <c r="BB30" s="13" t="s">
        <v>160</v>
      </c>
      <c r="BC30" s="9">
        <v>200</v>
      </c>
      <c r="BD30" s="9">
        <v>1</v>
      </c>
      <c r="BE30" s="9" t="s">
        <v>161</v>
      </c>
      <c r="BF30" s="9" t="str">
        <f t="shared" si="6"/>
        <v>PhuongTT</v>
      </c>
      <c r="BG30" s="9" t="str">
        <f t="shared" si="7"/>
        <v>VST</v>
      </c>
      <c r="BH30" s="19" t="b">
        <v>0</v>
      </c>
      <c r="BI30" s="9" t="s">
        <v>162</v>
      </c>
      <c r="BJ30" s="9" t="s">
        <v>161</v>
      </c>
      <c r="BK30" s="9" t="s">
        <v>161</v>
      </c>
      <c r="BL30" s="9" t="s">
        <v>163</v>
      </c>
      <c r="BM30" s="19" t="b">
        <v>0</v>
      </c>
      <c r="BN30" s="28"/>
    </row>
    <row r="31" s="99" customFormat="1" ht="50" customHeight="1" spans="1:66">
      <c r="A31" s="4" t="s">
        <v>301</v>
      </c>
      <c r="B31" s="10" t="s">
        <v>297</v>
      </c>
      <c r="C31" s="6" t="s">
        <v>29</v>
      </c>
      <c r="D31" s="17" t="s">
        <v>268</v>
      </c>
      <c r="E31" s="9" t="s">
        <v>146</v>
      </c>
      <c r="F31" s="4" t="s">
        <v>31</v>
      </c>
      <c r="G31" s="4" t="s">
        <v>32</v>
      </c>
      <c r="H31" s="7" t="s">
        <v>147</v>
      </c>
      <c r="I31" s="7" t="s">
        <v>148</v>
      </c>
      <c r="J31" s="7"/>
      <c r="K31" s="7" t="s">
        <v>149</v>
      </c>
      <c r="L31" s="7"/>
      <c r="M31" s="94"/>
      <c r="N31" s="94"/>
      <c r="O31" s="7"/>
      <c r="P31" s="7"/>
      <c r="Q31" s="7"/>
      <c r="R31" s="7"/>
      <c r="S31" s="7"/>
      <c r="T31" s="94"/>
      <c r="U31" s="7"/>
      <c r="V31" s="94"/>
      <c r="W31" s="7" t="s">
        <v>150</v>
      </c>
      <c r="X31" s="7" t="s">
        <v>151</v>
      </c>
      <c r="Y31" s="7" t="s">
        <v>150</v>
      </c>
      <c r="Z31" s="7" t="s">
        <v>151</v>
      </c>
      <c r="AA31" s="7" t="s">
        <v>151</v>
      </c>
      <c r="AB31" s="7"/>
      <c r="AC31" s="7" t="s">
        <v>152</v>
      </c>
      <c r="AD31" s="7" t="s">
        <v>146</v>
      </c>
      <c r="AE31" s="7" t="s">
        <v>212</v>
      </c>
      <c r="AF31" s="7"/>
      <c r="AG31" s="7"/>
      <c r="AH31" s="7" t="s">
        <v>154</v>
      </c>
      <c r="AI31" s="103" t="s">
        <v>269</v>
      </c>
      <c r="AJ31" s="83" t="s">
        <v>156</v>
      </c>
      <c r="AK31" s="105">
        <v>0.783333333333333</v>
      </c>
      <c r="AL31" s="105">
        <v>0.883333333333333</v>
      </c>
      <c r="AM31" s="106">
        <v>0</v>
      </c>
      <c r="AN31" s="7"/>
      <c r="AO31" s="7" t="s">
        <v>158</v>
      </c>
      <c r="AP31" s="7" t="s">
        <v>159</v>
      </c>
      <c r="AQ31" s="7" t="s">
        <v>62</v>
      </c>
      <c r="AR31" s="7" t="s">
        <v>147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47">
        <v>61353</v>
      </c>
      <c r="BA31" s="48" t="s">
        <v>85</v>
      </c>
      <c r="BB31" s="13" t="s">
        <v>160</v>
      </c>
      <c r="BC31" s="9">
        <v>200</v>
      </c>
      <c r="BD31" s="9">
        <v>1</v>
      </c>
      <c r="BE31" s="9" t="s">
        <v>161</v>
      </c>
      <c r="BF31" s="9" t="str">
        <f t="shared" si="6"/>
        <v>PhuongTT</v>
      </c>
      <c r="BG31" s="9" t="str">
        <f t="shared" si="7"/>
        <v>VST</v>
      </c>
      <c r="BH31" s="19" t="b">
        <v>0</v>
      </c>
      <c r="BI31" s="9" t="s">
        <v>162</v>
      </c>
      <c r="BJ31" s="9" t="s">
        <v>161</v>
      </c>
      <c r="BK31" s="9" t="s">
        <v>161</v>
      </c>
      <c r="BL31" s="9" t="s">
        <v>163</v>
      </c>
      <c r="BM31" s="19" t="b">
        <v>0</v>
      </c>
      <c r="BN31" s="28"/>
    </row>
    <row r="32" s="28" customFormat="1" ht="34" customHeight="1" spans="1:65">
      <c r="A32" s="7"/>
      <c r="B32" s="21"/>
      <c r="C32" s="82"/>
      <c r="D32" s="17"/>
      <c r="E32" s="21"/>
      <c r="F32" s="7"/>
      <c r="G32" s="7"/>
      <c r="H32" s="7"/>
      <c r="I32" s="7"/>
      <c r="J32" s="7"/>
      <c r="K32" s="7"/>
      <c r="L32" s="7"/>
      <c r="M32" s="94"/>
      <c r="N32" s="94"/>
      <c r="O32" s="7"/>
      <c r="P32" s="7"/>
      <c r="Q32" s="7"/>
      <c r="R32" s="7"/>
      <c r="S32" s="7"/>
      <c r="T32" s="94"/>
      <c r="U32" s="7"/>
      <c r="V32" s="94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103"/>
      <c r="AJ32" s="107"/>
      <c r="AK32" s="107"/>
      <c r="AL32" s="107"/>
      <c r="AM32" s="10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89"/>
      <c r="BC32" s="21"/>
      <c r="BD32" s="21"/>
      <c r="BE32" s="21"/>
      <c r="BF32" s="21"/>
      <c r="BG32" s="21"/>
      <c r="BH32" s="51"/>
      <c r="BI32" s="21"/>
      <c r="BJ32" s="21"/>
      <c r="BK32" s="21"/>
      <c r="BL32" s="21"/>
      <c r="BM32" s="51"/>
    </row>
    <row r="33" s="99" customFormat="1" ht="106" customHeight="1" spans="1:66">
      <c r="A33" s="4" t="s">
        <v>302</v>
      </c>
      <c r="B33" s="10" t="s">
        <v>303</v>
      </c>
      <c r="C33" s="6" t="s">
        <v>29</v>
      </c>
      <c r="D33" s="17" t="s">
        <v>268</v>
      </c>
      <c r="E33" s="9" t="s">
        <v>146</v>
      </c>
      <c r="F33" s="4" t="s">
        <v>31</v>
      </c>
      <c r="G33" s="4" t="s">
        <v>32</v>
      </c>
      <c r="H33" s="7" t="s">
        <v>147</v>
      </c>
      <c r="I33" s="7" t="s">
        <v>148</v>
      </c>
      <c r="J33" s="7"/>
      <c r="K33" s="7" t="s">
        <v>149</v>
      </c>
      <c r="L33" s="7"/>
      <c r="M33" s="94"/>
      <c r="N33" s="94"/>
      <c r="O33" s="7"/>
      <c r="P33" s="7"/>
      <c r="Q33" s="7"/>
      <c r="R33" s="7"/>
      <c r="S33" s="7"/>
      <c r="T33" s="94"/>
      <c r="U33" s="7"/>
      <c r="V33" s="94"/>
      <c r="W33" s="7" t="s">
        <v>150</v>
      </c>
      <c r="X33" s="7" t="s">
        <v>151</v>
      </c>
      <c r="Y33" s="7" t="s">
        <v>150</v>
      </c>
      <c r="Z33" s="7" t="s">
        <v>151</v>
      </c>
      <c r="AA33" s="7" t="s">
        <v>151</v>
      </c>
      <c r="AB33" s="7"/>
      <c r="AC33" s="7" t="s">
        <v>152</v>
      </c>
      <c r="AD33" s="7" t="s">
        <v>146</v>
      </c>
      <c r="AE33" s="7" t="s">
        <v>169</v>
      </c>
      <c r="AF33" s="7"/>
      <c r="AG33" s="7"/>
      <c r="AH33" s="7" t="s">
        <v>154</v>
      </c>
      <c r="AI33" s="103" t="s">
        <v>269</v>
      </c>
      <c r="AJ33" s="83" t="s">
        <v>156</v>
      </c>
      <c r="AK33" s="83" t="s">
        <v>42</v>
      </c>
      <c r="AL33" s="83" t="s">
        <v>172</v>
      </c>
      <c r="AM33" s="83">
        <v>1</v>
      </c>
      <c r="AN33" s="7"/>
      <c r="AO33" s="7" t="s">
        <v>158</v>
      </c>
      <c r="AP33" s="7" t="s">
        <v>159</v>
      </c>
      <c r="AQ33" s="7" t="s">
        <v>34</v>
      </c>
      <c r="AR33" s="7" t="s">
        <v>147</v>
      </c>
      <c r="AS33" s="7" t="s">
        <v>33</v>
      </c>
      <c r="AT33" s="7" t="s">
        <v>36</v>
      </c>
      <c r="AU33" s="7"/>
      <c r="AV33" s="7"/>
      <c r="AW33" s="7"/>
      <c r="AX33" s="7"/>
      <c r="AY33" s="7"/>
      <c r="AZ33" s="7">
        <v>35540</v>
      </c>
      <c r="BA33" s="13" t="s">
        <v>81</v>
      </c>
      <c r="BB33" s="13" t="s">
        <v>160</v>
      </c>
      <c r="BC33" s="9">
        <v>200</v>
      </c>
      <c r="BD33" s="9">
        <v>1</v>
      </c>
      <c r="BE33" s="9" t="s">
        <v>161</v>
      </c>
      <c r="BF33" s="9" t="str">
        <f>I33</f>
        <v>PhuongTT</v>
      </c>
      <c r="BG33" s="9" t="str">
        <f>AQ33</f>
        <v>4D</v>
      </c>
      <c r="BH33" s="19" t="b">
        <v>0</v>
      </c>
      <c r="BI33" s="9" t="s">
        <v>162</v>
      </c>
      <c r="BJ33" s="9" t="s">
        <v>161</v>
      </c>
      <c r="BK33" s="9" t="s">
        <v>161</v>
      </c>
      <c r="BL33" s="9" t="s">
        <v>163</v>
      </c>
      <c r="BM33" s="19" t="b">
        <v>0</v>
      </c>
      <c r="BN33" s="28"/>
    </row>
    <row r="34" s="1" customFormat="1" ht="106" customHeight="1" spans="1:66">
      <c r="A34" s="4" t="s">
        <v>304</v>
      </c>
      <c r="B34" s="10" t="s">
        <v>305</v>
      </c>
      <c r="C34" s="6" t="s">
        <v>29</v>
      </c>
      <c r="D34" s="17" t="s">
        <v>268</v>
      </c>
      <c r="E34" s="9" t="s">
        <v>146</v>
      </c>
      <c r="F34" s="4" t="s">
        <v>31</v>
      </c>
      <c r="G34" s="4" t="s">
        <v>32</v>
      </c>
      <c r="H34" s="7" t="s">
        <v>147</v>
      </c>
      <c r="I34" s="7" t="s">
        <v>148</v>
      </c>
      <c r="J34" s="7"/>
      <c r="K34" s="7" t="s">
        <v>149</v>
      </c>
      <c r="L34" s="7"/>
      <c r="M34" s="94"/>
      <c r="N34" s="94"/>
      <c r="O34" s="7"/>
      <c r="P34" s="7"/>
      <c r="Q34" s="7"/>
      <c r="R34" s="7"/>
      <c r="S34" s="7"/>
      <c r="T34" s="94"/>
      <c r="U34" s="7"/>
      <c r="V34" s="94"/>
      <c r="W34" s="7" t="s">
        <v>150</v>
      </c>
      <c r="X34" s="7" t="s">
        <v>151</v>
      </c>
      <c r="Y34" s="7" t="s">
        <v>150</v>
      </c>
      <c r="Z34" s="7" t="s">
        <v>151</v>
      </c>
      <c r="AA34" s="7" t="s">
        <v>151</v>
      </c>
      <c r="AB34" s="7"/>
      <c r="AC34" s="7" t="s">
        <v>152</v>
      </c>
      <c r="AD34" s="7" t="s">
        <v>146</v>
      </c>
      <c r="AE34" s="7" t="s">
        <v>171</v>
      </c>
      <c r="AF34" s="7"/>
      <c r="AG34" s="7"/>
      <c r="AH34" s="7" t="s">
        <v>154</v>
      </c>
      <c r="AI34" s="103" t="s">
        <v>269</v>
      </c>
      <c r="AJ34" s="83" t="s">
        <v>156</v>
      </c>
      <c r="AK34" s="83" t="s">
        <v>42</v>
      </c>
      <c r="AL34" s="83" t="s">
        <v>172</v>
      </c>
      <c r="AM34" s="83">
        <v>2</v>
      </c>
      <c r="AN34" s="7"/>
      <c r="AO34" s="7" t="s">
        <v>158</v>
      </c>
      <c r="AP34" s="7" t="s">
        <v>159</v>
      </c>
      <c r="AQ34" s="7" t="s">
        <v>34</v>
      </c>
      <c r="AR34" s="7" t="s">
        <v>147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7">
        <v>35541</v>
      </c>
      <c r="BA34" s="13" t="s">
        <v>77</v>
      </c>
      <c r="BB34" s="13" t="s">
        <v>160</v>
      </c>
      <c r="BC34" s="9">
        <v>200</v>
      </c>
      <c r="BD34" s="9">
        <v>1</v>
      </c>
      <c r="BE34" s="9" t="s">
        <v>161</v>
      </c>
      <c r="BF34" s="9" t="str">
        <f>I34</f>
        <v>PhuongTT</v>
      </c>
      <c r="BG34" s="9" t="str">
        <f>AQ34</f>
        <v>4D</v>
      </c>
      <c r="BH34" s="19" t="b">
        <v>0</v>
      </c>
      <c r="BI34" s="9" t="s">
        <v>162</v>
      </c>
      <c r="BJ34" s="9" t="s">
        <v>161</v>
      </c>
      <c r="BK34" s="9" t="s">
        <v>161</v>
      </c>
      <c r="BL34" s="9" t="s">
        <v>163</v>
      </c>
      <c r="BM34" s="19" t="b">
        <v>0</v>
      </c>
      <c r="BN34" s="28"/>
    </row>
    <row r="35" s="1" customFormat="1" ht="106" customHeight="1" spans="1:66">
      <c r="A35" s="4" t="s">
        <v>306</v>
      </c>
      <c r="B35" s="10" t="s">
        <v>307</v>
      </c>
      <c r="C35" s="6" t="s">
        <v>29</v>
      </c>
      <c r="D35" s="17" t="s">
        <v>268</v>
      </c>
      <c r="E35" s="9" t="s">
        <v>146</v>
      </c>
      <c r="F35" s="4" t="s">
        <v>31</v>
      </c>
      <c r="G35" s="4" t="s">
        <v>32</v>
      </c>
      <c r="H35" s="7" t="s">
        <v>147</v>
      </c>
      <c r="I35" s="7" t="s">
        <v>148</v>
      </c>
      <c r="J35" s="7"/>
      <c r="K35" s="7" t="s">
        <v>149</v>
      </c>
      <c r="L35" s="7"/>
      <c r="M35" s="94"/>
      <c r="N35" s="94"/>
      <c r="O35" s="7"/>
      <c r="P35" s="7"/>
      <c r="Q35" s="7"/>
      <c r="R35" s="7"/>
      <c r="S35" s="7"/>
      <c r="T35" s="94"/>
      <c r="U35" s="7"/>
      <c r="V35" s="94"/>
      <c r="W35" s="7" t="s">
        <v>150</v>
      </c>
      <c r="X35" s="7" t="s">
        <v>151</v>
      </c>
      <c r="Y35" s="7" t="s">
        <v>150</v>
      </c>
      <c r="Z35" s="7" t="s">
        <v>151</v>
      </c>
      <c r="AA35" s="7" t="s">
        <v>151</v>
      </c>
      <c r="AB35" s="7"/>
      <c r="AC35" s="7" t="s">
        <v>152</v>
      </c>
      <c r="AD35" s="7" t="s">
        <v>146</v>
      </c>
      <c r="AE35" s="7" t="s">
        <v>174</v>
      </c>
      <c r="AF35" s="7"/>
      <c r="AG35" s="7"/>
      <c r="AH35" s="7" t="s">
        <v>154</v>
      </c>
      <c r="AI35" s="103" t="s">
        <v>269</v>
      </c>
      <c r="AJ35" s="83" t="s">
        <v>156</v>
      </c>
      <c r="AK35" s="83" t="s">
        <v>42</v>
      </c>
      <c r="AL35" s="83" t="s">
        <v>172</v>
      </c>
      <c r="AM35" s="83">
        <v>3</v>
      </c>
      <c r="AN35" s="7"/>
      <c r="AO35" s="7" t="s">
        <v>158</v>
      </c>
      <c r="AP35" s="7" t="s">
        <v>159</v>
      </c>
      <c r="AQ35" s="7" t="s">
        <v>34</v>
      </c>
      <c r="AR35" s="7" t="s">
        <v>147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7">
        <v>35542</v>
      </c>
      <c r="BA35" s="13" t="s">
        <v>308</v>
      </c>
      <c r="BB35" s="13" t="s">
        <v>160</v>
      </c>
      <c r="BC35" s="9">
        <v>200</v>
      </c>
      <c r="BD35" s="9">
        <v>1</v>
      </c>
      <c r="BE35" s="9" t="s">
        <v>161</v>
      </c>
      <c r="BF35" s="9" t="str">
        <f>I35</f>
        <v>PhuongTT</v>
      </c>
      <c r="BG35" s="9" t="str">
        <f>AQ35</f>
        <v>4D</v>
      </c>
      <c r="BH35" s="19" t="b">
        <v>0</v>
      </c>
      <c r="BI35" s="9" t="s">
        <v>162</v>
      </c>
      <c r="BJ35" s="9" t="s">
        <v>161</v>
      </c>
      <c r="BK35" s="9" t="s">
        <v>161</v>
      </c>
      <c r="BL35" s="9" t="s">
        <v>163</v>
      </c>
      <c r="BM35" s="19" t="b">
        <v>0</v>
      </c>
      <c r="BN35" s="28"/>
    </row>
    <row r="36" s="99" customFormat="1" ht="106" customHeight="1" spans="1:66">
      <c r="A36" s="4" t="s">
        <v>309</v>
      </c>
      <c r="B36" s="10" t="s">
        <v>310</v>
      </c>
      <c r="C36" s="6" t="s">
        <v>29</v>
      </c>
      <c r="D36" s="17" t="s">
        <v>268</v>
      </c>
      <c r="E36" s="9" t="s">
        <v>146</v>
      </c>
      <c r="F36" s="4" t="s">
        <v>31</v>
      </c>
      <c r="G36" s="4" t="s">
        <v>32</v>
      </c>
      <c r="H36" s="7" t="s">
        <v>147</v>
      </c>
      <c r="I36" s="7" t="s">
        <v>148</v>
      </c>
      <c r="J36" s="7"/>
      <c r="K36" s="7" t="s">
        <v>149</v>
      </c>
      <c r="L36" s="7"/>
      <c r="M36" s="94"/>
      <c r="N36" s="94"/>
      <c r="O36" s="7"/>
      <c r="P36" s="7"/>
      <c r="Q36" s="7"/>
      <c r="R36" s="7"/>
      <c r="S36" s="7"/>
      <c r="T36" s="94"/>
      <c r="U36" s="7"/>
      <c r="V36" s="94"/>
      <c r="W36" s="7" t="s">
        <v>150</v>
      </c>
      <c r="X36" s="7" t="s">
        <v>151</v>
      </c>
      <c r="Y36" s="7" t="s">
        <v>150</v>
      </c>
      <c r="Z36" s="7" t="s">
        <v>151</v>
      </c>
      <c r="AA36" s="7" t="s">
        <v>151</v>
      </c>
      <c r="AB36" s="7"/>
      <c r="AC36" s="7" t="s">
        <v>152</v>
      </c>
      <c r="AD36" s="7" t="s">
        <v>146</v>
      </c>
      <c r="AE36" s="7" t="s">
        <v>174</v>
      </c>
      <c r="AF36" s="7"/>
      <c r="AG36" s="7"/>
      <c r="AH36" s="7" t="s">
        <v>154</v>
      </c>
      <c r="AI36" s="103" t="s">
        <v>269</v>
      </c>
      <c r="AJ36" s="83" t="s">
        <v>156</v>
      </c>
      <c r="AK36" s="83" t="s">
        <v>42</v>
      </c>
      <c r="AL36" s="83" t="s">
        <v>172</v>
      </c>
      <c r="AM36" s="83">
        <v>3</v>
      </c>
      <c r="AN36" s="7"/>
      <c r="AO36" s="7" t="s">
        <v>158</v>
      </c>
      <c r="AP36" s="7" t="s">
        <v>159</v>
      </c>
      <c r="AQ36" s="7" t="s">
        <v>34</v>
      </c>
      <c r="AR36" s="7" t="s">
        <v>147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7">
        <v>35543</v>
      </c>
      <c r="BA36" s="13" t="s">
        <v>311</v>
      </c>
      <c r="BB36" s="13" t="s">
        <v>160</v>
      </c>
      <c r="BC36" s="9">
        <v>200</v>
      </c>
      <c r="BD36" s="9">
        <v>1</v>
      </c>
      <c r="BE36" s="9" t="s">
        <v>161</v>
      </c>
      <c r="BF36" s="9" t="str">
        <f>I36</f>
        <v>PhuongTT</v>
      </c>
      <c r="BG36" s="9" t="str">
        <f>AQ36</f>
        <v>4D</v>
      </c>
      <c r="BH36" s="19" t="b">
        <v>0</v>
      </c>
      <c r="BI36" s="9" t="s">
        <v>162</v>
      </c>
      <c r="BJ36" s="9" t="s">
        <v>161</v>
      </c>
      <c r="BK36" s="9" t="s">
        <v>161</v>
      </c>
      <c r="BL36" s="9" t="s">
        <v>163</v>
      </c>
      <c r="BM36" s="19" t="b">
        <v>0</v>
      </c>
      <c r="BN36" s="28"/>
    </row>
    <row r="37" s="99" customFormat="1" ht="106" customHeight="1" spans="1:66">
      <c r="A37" s="4" t="s">
        <v>309</v>
      </c>
      <c r="B37" s="9" t="s">
        <v>312</v>
      </c>
      <c r="C37" s="6" t="s">
        <v>29</v>
      </c>
      <c r="D37" s="17" t="s">
        <v>268</v>
      </c>
      <c r="E37" s="9" t="s">
        <v>146</v>
      </c>
      <c r="F37" s="4" t="s">
        <v>31</v>
      </c>
      <c r="G37" s="4" t="s">
        <v>32</v>
      </c>
      <c r="H37" s="7" t="s">
        <v>147</v>
      </c>
      <c r="I37" s="7" t="s">
        <v>148</v>
      </c>
      <c r="J37" s="7"/>
      <c r="K37" s="7" t="s">
        <v>149</v>
      </c>
      <c r="L37" s="7"/>
      <c r="M37" s="94"/>
      <c r="N37" s="94"/>
      <c r="O37" s="7"/>
      <c r="P37" s="7"/>
      <c r="Q37" s="7"/>
      <c r="R37" s="7"/>
      <c r="S37" s="7"/>
      <c r="T37" s="94"/>
      <c r="U37" s="7"/>
      <c r="V37" s="94"/>
      <c r="W37" s="7" t="s">
        <v>150</v>
      </c>
      <c r="X37" s="7" t="s">
        <v>151</v>
      </c>
      <c r="Y37" s="7" t="s">
        <v>150</v>
      </c>
      <c r="Z37" s="7" t="s">
        <v>151</v>
      </c>
      <c r="AA37" s="7" t="s">
        <v>151</v>
      </c>
      <c r="AB37" s="7"/>
      <c r="AC37" s="7" t="s">
        <v>152</v>
      </c>
      <c r="AD37" s="7" t="s">
        <v>146</v>
      </c>
      <c r="AE37" s="7" t="s">
        <v>176</v>
      </c>
      <c r="AF37" s="7"/>
      <c r="AG37" s="7"/>
      <c r="AH37" s="7" t="s">
        <v>154</v>
      </c>
      <c r="AI37" s="103" t="s">
        <v>269</v>
      </c>
      <c r="AJ37" s="83" t="s">
        <v>156</v>
      </c>
      <c r="AK37" s="83" t="s">
        <v>45</v>
      </c>
      <c r="AL37" s="83" t="s">
        <v>257</v>
      </c>
      <c r="AM37" s="83">
        <v>0</v>
      </c>
      <c r="AN37" s="7"/>
      <c r="AO37" s="7" t="s">
        <v>158</v>
      </c>
      <c r="AP37" s="7" t="s">
        <v>159</v>
      </c>
      <c r="AQ37" s="7" t="s">
        <v>34</v>
      </c>
      <c r="AR37" s="7" t="s">
        <v>147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7">
        <v>35544</v>
      </c>
      <c r="BA37" s="13" t="s">
        <v>313</v>
      </c>
      <c r="BB37" s="13" t="s">
        <v>160</v>
      </c>
      <c r="BC37" s="9">
        <v>200</v>
      </c>
      <c r="BD37" s="9">
        <v>1</v>
      </c>
      <c r="BE37" s="9" t="s">
        <v>161</v>
      </c>
      <c r="BF37" s="9" t="str">
        <f t="shared" ref="BF37:BF46" si="8">I37</f>
        <v>PhuongTT</v>
      </c>
      <c r="BG37" s="9" t="str">
        <f t="shared" ref="BG37:BG46" si="9">AQ37</f>
        <v>4D</v>
      </c>
      <c r="BH37" s="19" t="b">
        <v>0</v>
      </c>
      <c r="BI37" s="9" t="s">
        <v>162</v>
      </c>
      <c r="BJ37" s="9" t="s">
        <v>161</v>
      </c>
      <c r="BK37" s="9" t="s">
        <v>161</v>
      </c>
      <c r="BL37" s="9" t="s">
        <v>163</v>
      </c>
      <c r="BM37" s="19" t="b">
        <v>0</v>
      </c>
      <c r="BN37" s="28"/>
    </row>
    <row r="38" s="28" customFormat="1" ht="106" customHeight="1" spans="1:65">
      <c r="A38" s="4" t="s">
        <v>314</v>
      </c>
      <c r="B38" s="9" t="s">
        <v>315</v>
      </c>
      <c r="C38" s="6" t="s">
        <v>29</v>
      </c>
      <c r="D38" s="17" t="s">
        <v>268</v>
      </c>
      <c r="E38" s="9" t="s">
        <v>146</v>
      </c>
      <c r="F38" s="4" t="s">
        <v>31</v>
      </c>
      <c r="G38" s="4" t="s">
        <v>32</v>
      </c>
      <c r="H38" s="7" t="s">
        <v>147</v>
      </c>
      <c r="I38" s="7" t="s">
        <v>148</v>
      </c>
      <c r="J38" s="7"/>
      <c r="K38" s="7" t="s">
        <v>149</v>
      </c>
      <c r="L38" s="7"/>
      <c r="M38" s="94"/>
      <c r="N38" s="94"/>
      <c r="O38" s="7"/>
      <c r="P38" s="7"/>
      <c r="Q38" s="7"/>
      <c r="R38" s="7"/>
      <c r="S38" s="7"/>
      <c r="T38" s="94"/>
      <c r="U38" s="7"/>
      <c r="V38" s="94"/>
      <c r="W38" s="7" t="s">
        <v>150</v>
      </c>
      <c r="X38" s="7" t="s">
        <v>151</v>
      </c>
      <c r="Y38" s="7" t="s">
        <v>150</v>
      </c>
      <c r="Z38" s="7" t="s">
        <v>151</v>
      </c>
      <c r="AA38" s="7" t="s">
        <v>151</v>
      </c>
      <c r="AB38" s="7"/>
      <c r="AC38" s="7" t="s">
        <v>152</v>
      </c>
      <c r="AD38" s="7" t="s">
        <v>146</v>
      </c>
      <c r="AE38" s="7" t="s">
        <v>178</v>
      </c>
      <c r="AF38" s="7"/>
      <c r="AG38" s="7"/>
      <c r="AH38" s="7" t="s">
        <v>154</v>
      </c>
      <c r="AI38" s="103" t="s">
        <v>269</v>
      </c>
      <c r="AJ38" s="83" t="s">
        <v>156</v>
      </c>
      <c r="AK38" s="83" t="s">
        <v>45</v>
      </c>
      <c r="AL38" s="83" t="s">
        <v>257</v>
      </c>
      <c r="AM38" s="83">
        <v>1</v>
      </c>
      <c r="AN38" s="7"/>
      <c r="AO38" s="7" t="s">
        <v>158</v>
      </c>
      <c r="AP38" s="7" t="s">
        <v>159</v>
      </c>
      <c r="AQ38" s="7" t="s">
        <v>34</v>
      </c>
      <c r="AR38" s="7" t="s">
        <v>147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7">
        <v>35545</v>
      </c>
      <c r="BA38" s="13" t="s">
        <v>316</v>
      </c>
      <c r="BB38" s="13" t="s">
        <v>160</v>
      </c>
      <c r="BC38" s="9">
        <v>200</v>
      </c>
      <c r="BD38" s="9">
        <v>1</v>
      </c>
      <c r="BE38" s="9" t="s">
        <v>161</v>
      </c>
      <c r="BF38" s="9" t="str">
        <f t="shared" si="8"/>
        <v>PhuongTT</v>
      </c>
      <c r="BG38" s="9" t="str">
        <f t="shared" si="9"/>
        <v>4D</v>
      </c>
      <c r="BH38" s="19" t="b">
        <v>0</v>
      </c>
      <c r="BI38" s="9" t="s">
        <v>162</v>
      </c>
      <c r="BJ38" s="9" t="s">
        <v>161</v>
      </c>
      <c r="BK38" s="9" t="s">
        <v>161</v>
      </c>
      <c r="BL38" s="9" t="s">
        <v>163</v>
      </c>
      <c r="BM38" s="19" t="b">
        <v>0</v>
      </c>
    </row>
    <row r="39" s="28" customFormat="1" ht="106" customHeight="1" spans="1:65">
      <c r="A39" s="4" t="s">
        <v>317</v>
      </c>
      <c r="B39" s="9" t="s">
        <v>318</v>
      </c>
      <c r="C39" s="6" t="s">
        <v>29</v>
      </c>
      <c r="D39" s="17" t="s">
        <v>268</v>
      </c>
      <c r="E39" s="9" t="s">
        <v>146</v>
      </c>
      <c r="F39" s="4" t="s">
        <v>31</v>
      </c>
      <c r="G39" s="4" t="s">
        <v>32</v>
      </c>
      <c r="H39" s="7" t="s">
        <v>147</v>
      </c>
      <c r="I39" s="7" t="s">
        <v>148</v>
      </c>
      <c r="J39" s="7"/>
      <c r="K39" s="7" t="s">
        <v>149</v>
      </c>
      <c r="L39" s="7"/>
      <c r="M39" s="94"/>
      <c r="N39" s="94"/>
      <c r="O39" s="7"/>
      <c r="P39" s="7"/>
      <c r="Q39" s="7"/>
      <c r="R39" s="7"/>
      <c r="S39" s="7"/>
      <c r="T39" s="94"/>
      <c r="U39" s="7"/>
      <c r="V39" s="94"/>
      <c r="W39" s="7" t="s">
        <v>150</v>
      </c>
      <c r="X39" s="7" t="s">
        <v>151</v>
      </c>
      <c r="Y39" s="7" t="s">
        <v>150</v>
      </c>
      <c r="Z39" s="7" t="s">
        <v>151</v>
      </c>
      <c r="AA39" s="7" t="s">
        <v>151</v>
      </c>
      <c r="AB39" s="7"/>
      <c r="AC39" s="7" t="s">
        <v>152</v>
      </c>
      <c r="AD39" s="7" t="s">
        <v>146</v>
      </c>
      <c r="AE39" s="7" t="s">
        <v>180</v>
      </c>
      <c r="AF39" s="7"/>
      <c r="AG39" s="7"/>
      <c r="AH39" s="7" t="s">
        <v>154</v>
      </c>
      <c r="AI39" s="103" t="s">
        <v>269</v>
      </c>
      <c r="AJ39" s="83" t="s">
        <v>156</v>
      </c>
      <c r="AK39" s="83" t="s">
        <v>45</v>
      </c>
      <c r="AL39" s="83" t="s">
        <v>257</v>
      </c>
      <c r="AM39" s="83">
        <v>2</v>
      </c>
      <c r="AN39" s="7"/>
      <c r="AO39" s="7" t="s">
        <v>158</v>
      </c>
      <c r="AP39" s="7" t="s">
        <v>159</v>
      </c>
      <c r="AQ39" s="7" t="s">
        <v>34</v>
      </c>
      <c r="AR39" s="7" t="s">
        <v>147</v>
      </c>
      <c r="AS39" s="7" t="s">
        <v>33</v>
      </c>
      <c r="AT39" s="7" t="s">
        <v>36</v>
      </c>
      <c r="AU39" s="7"/>
      <c r="AV39" s="7"/>
      <c r="AW39" s="7"/>
      <c r="AX39" s="7"/>
      <c r="AY39" s="7"/>
      <c r="AZ39" s="7">
        <v>35546</v>
      </c>
      <c r="BA39" s="13" t="s">
        <v>319</v>
      </c>
      <c r="BB39" s="13" t="s">
        <v>160</v>
      </c>
      <c r="BC39" s="9">
        <v>200</v>
      </c>
      <c r="BD39" s="9">
        <v>1</v>
      </c>
      <c r="BE39" s="9" t="s">
        <v>161</v>
      </c>
      <c r="BF39" s="9" t="str">
        <f t="shared" si="8"/>
        <v>PhuongTT</v>
      </c>
      <c r="BG39" s="9" t="str">
        <f t="shared" si="9"/>
        <v>4D</v>
      </c>
      <c r="BH39" s="19" t="b">
        <v>0</v>
      </c>
      <c r="BI39" s="9" t="s">
        <v>162</v>
      </c>
      <c r="BJ39" s="9" t="s">
        <v>161</v>
      </c>
      <c r="BK39" s="9" t="s">
        <v>161</v>
      </c>
      <c r="BL39" s="9" t="s">
        <v>163</v>
      </c>
      <c r="BM39" s="19" t="b">
        <v>0</v>
      </c>
    </row>
    <row r="40" s="28" customFormat="1" ht="106" customHeight="1" spans="1:65">
      <c r="A40" s="4" t="s">
        <v>320</v>
      </c>
      <c r="B40" s="9" t="s">
        <v>321</v>
      </c>
      <c r="C40" s="6" t="s">
        <v>29</v>
      </c>
      <c r="D40" s="17" t="s">
        <v>268</v>
      </c>
      <c r="E40" s="9" t="s">
        <v>146</v>
      </c>
      <c r="F40" s="4" t="s">
        <v>31</v>
      </c>
      <c r="G40" s="4" t="s">
        <v>32</v>
      </c>
      <c r="H40" s="7" t="s">
        <v>147</v>
      </c>
      <c r="I40" s="7" t="s">
        <v>148</v>
      </c>
      <c r="J40" s="7"/>
      <c r="K40" s="7" t="s">
        <v>149</v>
      </c>
      <c r="L40" s="7"/>
      <c r="M40" s="94"/>
      <c r="N40" s="94"/>
      <c r="O40" s="7"/>
      <c r="P40" s="7"/>
      <c r="Q40" s="7"/>
      <c r="R40" s="7"/>
      <c r="S40" s="7"/>
      <c r="T40" s="94"/>
      <c r="U40" s="7"/>
      <c r="V40" s="94"/>
      <c r="W40" s="7" t="s">
        <v>150</v>
      </c>
      <c r="X40" s="7" t="s">
        <v>151</v>
      </c>
      <c r="Y40" s="7" t="s">
        <v>150</v>
      </c>
      <c r="Z40" s="7" t="s">
        <v>151</v>
      </c>
      <c r="AA40" s="7" t="s">
        <v>151</v>
      </c>
      <c r="AB40" s="7"/>
      <c r="AC40" s="7" t="s">
        <v>152</v>
      </c>
      <c r="AD40" s="7" t="s">
        <v>146</v>
      </c>
      <c r="AE40" s="7" t="s">
        <v>182</v>
      </c>
      <c r="AF40" s="7"/>
      <c r="AG40" s="7"/>
      <c r="AH40" s="7" t="s">
        <v>154</v>
      </c>
      <c r="AI40" s="103" t="s">
        <v>269</v>
      </c>
      <c r="AJ40" s="83" t="s">
        <v>156</v>
      </c>
      <c r="AK40" s="83" t="s">
        <v>45</v>
      </c>
      <c r="AL40" s="83" t="s">
        <v>257</v>
      </c>
      <c r="AM40" s="83">
        <v>3</v>
      </c>
      <c r="AN40" s="7"/>
      <c r="AO40" s="7" t="s">
        <v>158</v>
      </c>
      <c r="AP40" s="7" t="s">
        <v>159</v>
      </c>
      <c r="AQ40" s="7" t="s">
        <v>34</v>
      </c>
      <c r="AR40" s="7" t="s">
        <v>147</v>
      </c>
      <c r="AS40" s="7" t="s">
        <v>33</v>
      </c>
      <c r="AT40" s="7" t="s">
        <v>36</v>
      </c>
      <c r="AU40" s="7"/>
      <c r="AV40" s="7"/>
      <c r="AW40" s="7"/>
      <c r="AX40" s="7"/>
      <c r="AY40" s="7"/>
      <c r="AZ40" s="7">
        <v>35547</v>
      </c>
      <c r="BA40" s="13" t="s">
        <v>322</v>
      </c>
      <c r="BB40" s="13" t="s">
        <v>160</v>
      </c>
      <c r="BC40" s="9">
        <v>200</v>
      </c>
      <c r="BD40" s="9">
        <v>1</v>
      </c>
      <c r="BE40" s="9" t="s">
        <v>161</v>
      </c>
      <c r="BF40" s="9" t="str">
        <f t="shared" si="8"/>
        <v>PhuongTT</v>
      </c>
      <c r="BG40" s="9" t="str">
        <f t="shared" si="9"/>
        <v>4D</v>
      </c>
      <c r="BH40" s="19" t="b">
        <v>0</v>
      </c>
      <c r="BI40" s="9" t="s">
        <v>162</v>
      </c>
      <c r="BJ40" s="9" t="s">
        <v>161</v>
      </c>
      <c r="BK40" s="9" t="s">
        <v>161</v>
      </c>
      <c r="BL40" s="9" t="s">
        <v>163</v>
      </c>
      <c r="BM40" s="19" t="b">
        <v>0</v>
      </c>
    </row>
    <row r="41" s="28" customFormat="1" ht="106" customHeight="1" spans="1:65">
      <c r="A41" s="4" t="s">
        <v>323</v>
      </c>
      <c r="B41" s="9" t="s">
        <v>324</v>
      </c>
      <c r="C41" s="6" t="s">
        <v>29</v>
      </c>
      <c r="D41" s="17" t="s">
        <v>268</v>
      </c>
      <c r="E41" s="9" t="s">
        <v>146</v>
      </c>
      <c r="F41" s="4" t="s">
        <v>31</v>
      </c>
      <c r="G41" s="4" t="s">
        <v>32</v>
      </c>
      <c r="H41" s="7" t="s">
        <v>147</v>
      </c>
      <c r="I41" s="7" t="s">
        <v>148</v>
      </c>
      <c r="J41" s="7"/>
      <c r="K41" s="7" t="s">
        <v>149</v>
      </c>
      <c r="L41" s="7"/>
      <c r="M41" s="94"/>
      <c r="N41" s="94"/>
      <c r="O41" s="7"/>
      <c r="P41" s="7"/>
      <c r="Q41" s="7"/>
      <c r="R41" s="7"/>
      <c r="S41" s="7"/>
      <c r="T41" s="94"/>
      <c r="U41" s="7"/>
      <c r="V41" s="94"/>
      <c r="W41" s="7" t="s">
        <v>150</v>
      </c>
      <c r="X41" s="7" t="s">
        <v>151</v>
      </c>
      <c r="Y41" s="7" t="s">
        <v>150</v>
      </c>
      <c r="Z41" s="7" t="s">
        <v>151</v>
      </c>
      <c r="AA41" s="7" t="s">
        <v>151</v>
      </c>
      <c r="AB41" s="7"/>
      <c r="AC41" s="7" t="s">
        <v>152</v>
      </c>
      <c r="AD41" s="7" t="s">
        <v>146</v>
      </c>
      <c r="AE41" s="7" t="s">
        <v>184</v>
      </c>
      <c r="AF41" s="7"/>
      <c r="AG41" s="7"/>
      <c r="AH41" s="7" t="s">
        <v>154</v>
      </c>
      <c r="AI41" s="103" t="s">
        <v>269</v>
      </c>
      <c r="AJ41" s="83" t="s">
        <v>156</v>
      </c>
      <c r="AK41" s="83" t="s">
        <v>325</v>
      </c>
      <c r="AL41" s="83" t="s">
        <v>326</v>
      </c>
      <c r="AM41" s="83">
        <v>0</v>
      </c>
      <c r="AN41" s="7"/>
      <c r="AO41" s="7" t="s">
        <v>158</v>
      </c>
      <c r="AP41" s="7" t="s">
        <v>159</v>
      </c>
      <c r="AQ41" s="7" t="s">
        <v>34</v>
      </c>
      <c r="AR41" s="7" t="s">
        <v>147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7" t="s">
        <v>36</v>
      </c>
      <c r="BA41" s="13"/>
      <c r="BB41" s="13" t="s">
        <v>160</v>
      </c>
      <c r="BC41" s="9">
        <v>200</v>
      </c>
      <c r="BD41" s="9">
        <v>1</v>
      </c>
      <c r="BE41" s="9" t="s">
        <v>161</v>
      </c>
      <c r="BF41" s="9" t="str">
        <f t="shared" si="8"/>
        <v>PhuongTT</v>
      </c>
      <c r="BG41" s="9" t="str">
        <f t="shared" si="9"/>
        <v>4D</v>
      </c>
      <c r="BH41" s="19" t="b">
        <v>0</v>
      </c>
      <c r="BI41" s="9" t="s">
        <v>162</v>
      </c>
      <c r="BJ41" s="9" t="s">
        <v>161</v>
      </c>
      <c r="BK41" s="9" t="s">
        <v>161</v>
      </c>
      <c r="BL41" s="9" t="s">
        <v>163</v>
      </c>
      <c r="BM41" s="19" t="b">
        <v>0</v>
      </c>
    </row>
    <row r="42" s="28" customFormat="1" ht="106" customHeight="1" spans="1:65">
      <c r="A42" s="4" t="s">
        <v>327</v>
      </c>
      <c r="B42" s="10" t="s">
        <v>328</v>
      </c>
      <c r="C42" s="6" t="s">
        <v>29</v>
      </c>
      <c r="D42" s="17" t="s">
        <v>268</v>
      </c>
      <c r="E42" s="9" t="s">
        <v>146</v>
      </c>
      <c r="F42" s="4" t="s">
        <v>31</v>
      </c>
      <c r="G42" s="4" t="s">
        <v>32</v>
      </c>
      <c r="H42" s="7" t="s">
        <v>147</v>
      </c>
      <c r="I42" s="7" t="s">
        <v>148</v>
      </c>
      <c r="J42" s="7"/>
      <c r="K42" s="7" t="s">
        <v>149</v>
      </c>
      <c r="L42" s="7"/>
      <c r="M42" s="94"/>
      <c r="N42" s="94"/>
      <c r="O42" s="7"/>
      <c r="P42" s="7"/>
      <c r="Q42" s="7"/>
      <c r="R42" s="7"/>
      <c r="S42" s="7"/>
      <c r="T42" s="94"/>
      <c r="U42" s="7"/>
      <c r="V42" s="94"/>
      <c r="W42" s="7" t="s">
        <v>150</v>
      </c>
      <c r="X42" s="7" t="s">
        <v>151</v>
      </c>
      <c r="Y42" s="7" t="s">
        <v>150</v>
      </c>
      <c r="Z42" s="7" t="s">
        <v>151</v>
      </c>
      <c r="AA42" s="7" t="s">
        <v>151</v>
      </c>
      <c r="AB42" s="7"/>
      <c r="AC42" s="7" t="s">
        <v>152</v>
      </c>
      <c r="AD42" s="7" t="s">
        <v>146</v>
      </c>
      <c r="AE42" s="7" t="s">
        <v>186</v>
      </c>
      <c r="AF42" s="7"/>
      <c r="AG42" s="7"/>
      <c r="AH42" s="7" t="s">
        <v>154</v>
      </c>
      <c r="AI42" s="103" t="s">
        <v>269</v>
      </c>
      <c r="AJ42" s="83" t="s">
        <v>156</v>
      </c>
      <c r="AK42" s="83" t="s">
        <v>325</v>
      </c>
      <c r="AL42" s="83" t="s">
        <v>326</v>
      </c>
      <c r="AM42" s="83">
        <v>1</v>
      </c>
      <c r="AN42" s="7"/>
      <c r="AO42" s="7" t="s">
        <v>158</v>
      </c>
      <c r="AP42" s="7" t="s">
        <v>159</v>
      </c>
      <c r="AQ42" s="7" t="s">
        <v>34</v>
      </c>
      <c r="AR42" s="7" t="s">
        <v>147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7" t="s">
        <v>36</v>
      </c>
      <c r="BA42" s="13"/>
      <c r="BB42" s="13" t="s">
        <v>160</v>
      </c>
      <c r="BC42" s="9">
        <v>200</v>
      </c>
      <c r="BD42" s="9">
        <v>1</v>
      </c>
      <c r="BE42" s="9" t="s">
        <v>161</v>
      </c>
      <c r="BF42" s="9" t="str">
        <f t="shared" si="8"/>
        <v>PhuongTT</v>
      </c>
      <c r="BG42" s="9" t="str">
        <f t="shared" si="9"/>
        <v>4D</v>
      </c>
      <c r="BH42" s="19" t="b">
        <v>0</v>
      </c>
      <c r="BI42" s="9" t="s">
        <v>162</v>
      </c>
      <c r="BJ42" s="9" t="s">
        <v>161</v>
      </c>
      <c r="BK42" s="9" t="s">
        <v>161</v>
      </c>
      <c r="BL42" s="9" t="s">
        <v>163</v>
      </c>
      <c r="BM42" s="19" t="b">
        <v>0</v>
      </c>
    </row>
    <row r="43" ht="106" customHeight="1" spans="1:65">
      <c r="A43" s="4" t="s">
        <v>329</v>
      </c>
      <c r="B43" s="10" t="s">
        <v>330</v>
      </c>
      <c r="C43" s="100" t="s">
        <v>29</v>
      </c>
      <c r="D43" s="17" t="s">
        <v>268</v>
      </c>
      <c r="E43" s="9" t="s">
        <v>146</v>
      </c>
      <c r="F43" s="4" t="s">
        <v>31</v>
      </c>
      <c r="G43" s="4" t="s">
        <v>32</v>
      </c>
      <c r="H43" s="7" t="s">
        <v>147</v>
      </c>
      <c r="I43" s="7" t="s">
        <v>148</v>
      </c>
      <c r="J43" s="7"/>
      <c r="K43" s="7" t="s">
        <v>149</v>
      </c>
      <c r="L43" s="7"/>
      <c r="M43" s="94"/>
      <c r="N43" s="94"/>
      <c r="O43" s="7"/>
      <c r="P43" s="7"/>
      <c r="Q43" s="7"/>
      <c r="R43" s="7"/>
      <c r="S43" s="7"/>
      <c r="T43" s="94"/>
      <c r="U43" s="7"/>
      <c r="V43" s="94"/>
      <c r="W43" s="7" t="s">
        <v>150</v>
      </c>
      <c r="X43" s="7" t="s">
        <v>151</v>
      </c>
      <c r="Y43" s="7" t="s">
        <v>150</v>
      </c>
      <c r="Z43" s="7" t="s">
        <v>151</v>
      </c>
      <c r="AA43" s="7" t="s">
        <v>151</v>
      </c>
      <c r="AB43" s="7"/>
      <c r="AC43" s="7" t="s">
        <v>152</v>
      </c>
      <c r="AD43" s="7" t="s">
        <v>146</v>
      </c>
      <c r="AE43" s="7" t="s">
        <v>188</v>
      </c>
      <c r="AF43" s="9"/>
      <c r="AG43" s="9"/>
      <c r="AH43" s="7" t="s">
        <v>154</v>
      </c>
      <c r="AI43" s="103" t="s">
        <v>269</v>
      </c>
      <c r="AJ43" s="83" t="s">
        <v>156</v>
      </c>
      <c r="AK43" s="83" t="s">
        <v>325</v>
      </c>
      <c r="AL43" s="83" t="s">
        <v>326</v>
      </c>
      <c r="AM43" s="83">
        <v>2</v>
      </c>
      <c r="AN43" s="7"/>
      <c r="AO43" s="7" t="s">
        <v>158</v>
      </c>
      <c r="AP43" s="7" t="s">
        <v>159</v>
      </c>
      <c r="AQ43" s="7" t="s">
        <v>34</v>
      </c>
      <c r="AR43" s="7" t="s">
        <v>147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7" t="s">
        <v>36</v>
      </c>
      <c r="BA43" s="13"/>
      <c r="BB43" s="13" t="s">
        <v>160</v>
      </c>
      <c r="BC43" s="9">
        <v>200</v>
      </c>
      <c r="BD43" s="9">
        <v>1</v>
      </c>
      <c r="BE43" s="9" t="s">
        <v>161</v>
      </c>
      <c r="BF43" s="9" t="str">
        <f t="shared" si="8"/>
        <v>PhuongTT</v>
      </c>
      <c r="BG43" s="9" t="str">
        <f t="shared" si="9"/>
        <v>4D</v>
      </c>
      <c r="BH43" s="19" t="b">
        <v>0</v>
      </c>
      <c r="BI43" s="9" t="s">
        <v>162</v>
      </c>
      <c r="BJ43" s="9" t="s">
        <v>161</v>
      </c>
      <c r="BK43" s="9" t="s">
        <v>161</v>
      </c>
      <c r="BL43" s="9" t="s">
        <v>163</v>
      </c>
      <c r="BM43" s="19" t="b">
        <v>0</v>
      </c>
    </row>
    <row r="44" ht="106" customHeight="1" spans="1:65">
      <c r="A44" s="4" t="s">
        <v>331</v>
      </c>
      <c r="B44" s="10" t="s">
        <v>332</v>
      </c>
      <c r="C44" s="100" t="s">
        <v>29</v>
      </c>
      <c r="D44" s="17" t="s">
        <v>268</v>
      </c>
      <c r="E44" s="9" t="s">
        <v>146</v>
      </c>
      <c r="F44" s="4" t="s">
        <v>31</v>
      </c>
      <c r="G44" s="4" t="s">
        <v>32</v>
      </c>
      <c r="H44" s="7" t="s">
        <v>147</v>
      </c>
      <c r="I44" s="7" t="s">
        <v>148</v>
      </c>
      <c r="J44" s="7"/>
      <c r="K44" s="7" t="s">
        <v>149</v>
      </c>
      <c r="L44" s="7"/>
      <c r="M44" s="94"/>
      <c r="N44" s="94"/>
      <c r="O44" s="7"/>
      <c r="P44" s="7"/>
      <c r="Q44" s="7"/>
      <c r="R44" s="7"/>
      <c r="S44" s="7"/>
      <c r="T44" s="94"/>
      <c r="U44" s="7"/>
      <c r="V44" s="94"/>
      <c r="W44" s="7" t="s">
        <v>150</v>
      </c>
      <c r="X44" s="7" t="s">
        <v>151</v>
      </c>
      <c r="Y44" s="7" t="s">
        <v>150</v>
      </c>
      <c r="Z44" s="7" t="s">
        <v>151</v>
      </c>
      <c r="AA44" s="7" t="s">
        <v>151</v>
      </c>
      <c r="AB44" s="7"/>
      <c r="AC44" s="7" t="s">
        <v>152</v>
      </c>
      <c r="AD44" s="7" t="s">
        <v>146</v>
      </c>
      <c r="AE44" s="7" t="s">
        <v>190</v>
      </c>
      <c r="AF44" s="9"/>
      <c r="AG44" s="9"/>
      <c r="AH44" s="7" t="s">
        <v>154</v>
      </c>
      <c r="AI44" s="103" t="s">
        <v>269</v>
      </c>
      <c r="AJ44" s="83" t="s">
        <v>156</v>
      </c>
      <c r="AK44" s="83" t="s">
        <v>325</v>
      </c>
      <c r="AL44" s="83" t="s">
        <v>326</v>
      </c>
      <c r="AM44" s="83">
        <v>3</v>
      </c>
      <c r="AN44" s="7"/>
      <c r="AO44" s="7" t="s">
        <v>158</v>
      </c>
      <c r="AP44" s="7" t="s">
        <v>159</v>
      </c>
      <c r="AQ44" s="7" t="s">
        <v>34</v>
      </c>
      <c r="AR44" s="7" t="s">
        <v>147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7" t="s">
        <v>36</v>
      </c>
      <c r="BA44" s="13"/>
      <c r="BB44" s="13" t="s">
        <v>160</v>
      </c>
      <c r="BC44" s="9">
        <v>200</v>
      </c>
      <c r="BD44" s="9">
        <v>1</v>
      </c>
      <c r="BE44" s="9" t="s">
        <v>161</v>
      </c>
      <c r="BF44" s="9" t="str">
        <f t="shared" si="8"/>
        <v>PhuongTT</v>
      </c>
      <c r="BG44" s="9" t="str">
        <f t="shared" si="9"/>
        <v>4D</v>
      </c>
      <c r="BH44" s="19" t="b">
        <v>0</v>
      </c>
      <c r="BI44" s="9" t="s">
        <v>162</v>
      </c>
      <c r="BJ44" s="9" t="s">
        <v>161</v>
      </c>
      <c r="BK44" s="9" t="s">
        <v>161</v>
      </c>
      <c r="BL44" s="9" t="s">
        <v>163</v>
      </c>
      <c r="BM44" s="19" t="b">
        <v>0</v>
      </c>
    </row>
    <row r="45" ht="106" customHeight="1" spans="1:65">
      <c r="A45" s="4" t="s">
        <v>331</v>
      </c>
      <c r="B45" s="10" t="s">
        <v>333</v>
      </c>
      <c r="C45" s="100" t="s">
        <v>29</v>
      </c>
      <c r="D45" s="17" t="s">
        <v>268</v>
      </c>
      <c r="E45" s="9" t="s">
        <v>146</v>
      </c>
      <c r="F45" s="4" t="s">
        <v>31</v>
      </c>
      <c r="G45" s="4" t="s">
        <v>32</v>
      </c>
      <c r="H45" s="7" t="s">
        <v>147</v>
      </c>
      <c r="I45" s="7" t="s">
        <v>148</v>
      </c>
      <c r="J45" s="7"/>
      <c r="K45" s="7" t="s">
        <v>149</v>
      </c>
      <c r="L45" s="7"/>
      <c r="M45" s="94"/>
      <c r="N45" s="94"/>
      <c r="O45" s="7"/>
      <c r="P45" s="7"/>
      <c r="Q45" s="7"/>
      <c r="R45" s="7"/>
      <c r="S45" s="7"/>
      <c r="T45" s="94"/>
      <c r="U45" s="7"/>
      <c r="V45" s="94"/>
      <c r="W45" s="7" t="s">
        <v>150</v>
      </c>
      <c r="X45" s="7" t="s">
        <v>151</v>
      </c>
      <c r="Y45" s="7" t="s">
        <v>150</v>
      </c>
      <c r="Z45" s="7" t="s">
        <v>151</v>
      </c>
      <c r="AA45" s="7" t="s">
        <v>151</v>
      </c>
      <c r="AB45" s="7"/>
      <c r="AC45" s="7" t="s">
        <v>152</v>
      </c>
      <c r="AD45" s="7" t="s">
        <v>146</v>
      </c>
      <c r="AE45" s="7" t="s">
        <v>192</v>
      </c>
      <c r="AF45" s="9"/>
      <c r="AG45" s="9"/>
      <c r="AH45" s="7" t="s">
        <v>154</v>
      </c>
      <c r="AI45" s="103" t="s">
        <v>269</v>
      </c>
      <c r="AJ45" s="83" t="s">
        <v>156</v>
      </c>
      <c r="AK45" s="83" t="s">
        <v>334</v>
      </c>
      <c r="AL45" s="83" t="s">
        <v>335</v>
      </c>
      <c r="AM45" s="83">
        <v>0</v>
      </c>
      <c r="AN45" s="7"/>
      <c r="AO45" s="7" t="s">
        <v>158</v>
      </c>
      <c r="AP45" s="7" t="s">
        <v>159</v>
      </c>
      <c r="AQ45" s="7" t="s">
        <v>34</v>
      </c>
      <c r="AR45" s="7" t="s">
        <v>147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7" t="s">
        <v>36</v>
      </c>
      <c r="BA45" s="13"/>
      <c r="BB45" s="13" t="s">
        <v>160</v>
      </c>
      <c r="BC45" s="9">
        <v>200</v>
      </c>
      <c r="BD45" s="9">
        <v>1</v>
      </c>
      <c r="BE45" s="9" t="s">
        <v>161</v>
      </c>
      <c r="BF45" s="9" t="str">
        <f t="shared" si="8"/>
        <v>PhuongTT</v>
      </c>
      <c r="BG45" s="9" t="str">
        <f t="shared" si="9"/>
        <v>4D</v>
      </c>
      <c r="BH45" s="19" t="b">
        <v>0</v>
      </c>
      <c r="BI45" s="9" t="s">
        <v>162</v>
      </c>
      <c r="BJ45" s="9" t="s">
        <v>161</v>
      </c>
      <c r="BK45" s="9" t="s">
        <v>161</v>
      </c>
      <c r="BL45" s="9" t="s">
        <v>163</v>
      </c>
      <c r="BM45" s="19" t="b">
        <v>0</v>
      </c>
    </row>
    <row r="46" ht="106" customHeight="1" spans="1:65">
      <c r="A46" s="4" t="s">
        <v>336</v>
      </c>
      <c r="B46" s="10" t="s">
        <v>337</v>
      </c>
      <c r="C46" s="100" t="s">
        <v>29</v>
      </c>
      <c r="D46" s="17" t="s">
        <v>268</v>
      </c>
      <c r="E46" s="9" t="s">
        <v>146</v>
      </c>
      <c r="F46" s="4" t="s">
        <v>31</v>
      </c>
      <c r="G46" s="4" t="s">
        <v>32</v>
      </c>
      <c r="H46" s="7" t="s">
        <v>147</v>
      </c>
      <c r="I46" s="7" t="s">
        <v>148</v>
      </c>
      <c r="J46" s="7"/>
      <c r="K46" s="7" t="s">
        <v>149</v>
      </c>
      <c r="L46" s="7"/>
      <c r="M46" s="94"/>
      <c r="N46" s="94"/>
      <c r="O46" s="7"/>
      <c r="P46" s="7"/>
      <c r="Q46" s="7"/>
      <c r="R46" s="7"/>
      <c r="S46" s="7"/>
      <c r="T46" s="94"/>
      <c r="U46" s="7"/>
      <c r="V46" s="94"/>
      <c r="W46" s="7" t="s">
        <v>150</v>
      </c>
      <c r="X46" s="7" t="s">
        <v>151</v>
      </c>
      <c r="Y46" s="7" t="s">
        <v>150</v>
      </c>
      <c r="Z46" s="7" t="s">
        <v>151</v>
      </c>
      <c r="AA46" s="7" t="s">
        <v>151</v>
      </c>
      <c r="AB46" s="7"/>
      <c r="AC46" s="7" t="s">
        <v>152</v>
      </c>
      <c r="AD46" s="7" t="s">
        <v>146</v>
      </c>
      <c r="AE46" s="7" t="s">
        <v>194</v>
      </c>
      <c r="AF46" s="9"/>
      <c r="AG46" s="9"/>
      <c r="AH46" s="7" t="s">
        <v>154</v>
      </c>
      <c r="AI46" s="103" t="s">
        <v>269</v>
      </c>
      <c r="AJ46" s="83" t="s">
        <v>156</v>
      </c>
      <c r="AK46" s="83" t="s">
        <v>334</v>
      </c>
      <c r="AL46" s="83" t="s">
        <v>335</v>
      </c>
      <c r="AM46" s="83">
        <v>1</v>
      </c>
      <c r="AN46" s="7"/>
      <c r="AO46" s="7" t="s">
        <v>158</v>
      </c>
      <c r="AP46" s="7" t="s">
        <v>159</v>
      </c>
      <c r="AQ46" s="7" t="s">
        <v>34</v>
      </c>
      <c r="AR46" s="7" t="s">
        <v>147</v>
      </c>
      <c r="AS46" s="7" t="s">
        <v>33</v>
      </c>
      <c r="AT46" s="7" t="s">
        <v>36</v>
      </c>
      <c r="AU46" s="7"/>
      <c r="AV46" s="7"/>
      <c r="AW46" s="7"/>
      <c r="AX46" s="7"/>
      <c r="AY46" s="7"/>
      <c r="AZ46" s="7" t="s">
        <v>36</v>
      </c>
      <c r="BA46" s="13"/>
      <c r="BB46" s="13" t="s">
        <v>160</v>
      </c>
      <c r="BC46" s="9">
        <v>200</v>
      </c>
      <c r="BD46" s="9">
        <v>1</v>
      </c>
      <c r="BE46" s="9" t="s">
        <v>161</v>
      </c>
      <c r="BF46" s="9" t="str">
        <f t="shared" si="8"/>
        <v>PhuongTT</v>
      </c>
      <c r="BG46" s="9" t="str">
        <f t="shared" si="9"/>
        <v>4D</v>
      </c>
      <c r="BH46" s="19" t="b">
        <v>0</v>
      </c>
      <c r="BI46" s="9" t="s">
        <v>162</v>
      </c>
      <c r="BJ46" s="9" t="s">
        <v>161</v>
      </c>
      <c r="BK46" s="9" t="s">
        <v>161</v>
      </c>
      <c r="BL46" s="9" t="s">
        <v>163</v>
      </c>
      <c r="BM46" s="19" t="b">
        <v>0</v>
      </c>
    </row>
  </sheetData>
  <mergeCells count="5">
    <mergeCell ref="B2:D2"/>
    <mergeCell ref="B8:F8"/>
    <mergeCell ref="B14:F14"/>
    <mergeCell ref="B20:F20"/>
    <mergeCell ref="B26:F26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2" sqref="$A2:$XFD2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36" width="17.8380952380952" style="1" customWidth="1"/>
    <col min="37" max="38" width="17.8380952380952" style="90" customWidth="1"/>
    <col min="39" max="52" width="17.8380952380952" style="1" customWidth="1"/>
    <col min="53" max="60" width="17.8380952380952" style="28" customWidth="1"/>
    <col min="61" max="62" width="17.8380952380952" style="91" customWidth="1"/>
    <col min="63" max="69" width="17.8380952380952" style="28" customWidth="1"/>
    <col min="70" max="70" width="17.8380952380952" style="91" customWidth="1"/>
    <col min="71" max="100" width="17.8380952380952" style="28" customWidth="1"/>
    <col min="101" max="108" width="17.8380952380952" style="1" customWidth="1"/>
    <col min="109" max="110" width="17.8380952380952" style="23" customWidth="1"/>
    <col min="111" max="117" width="17.8380952380952" style="1" customWidth="1"/>
    <col min="118" max="118" width="17.8380952380952" style="23" customWidth="1"/>
    <col min="119" max="148" width="17.8380952380952" style="1" customWidth="1"/>
    <col min="149" max="156" width="17.8380952380952" style="28" customWidth="1"/>
    <col min="157" max="158" width="17.8380952380952" style="91" customWidth="1"/>
    <col min="159" max="165" width="17.8380952380952" style="28" customWidth="1"/>
    <col min="166" max="166" width="17.8380952380952" style="91" customWidth="1"/>
    <col min="167" max="196" width="17.8380952380952" style="28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86</v>
      </c>
      <c r="F1" s="3" t="s">
        <v>87</v>
      </c>
      <c r="G1" s="3" t="s">
        <v>88</v>
      </c>
      <c r="H1" s="3" t="s">
        <v>89</v>
      </c>
      <c r="I1" s="3" t="s">
        <v>90</v>
      </c>
      <c r="J1" s="3" t="s">
        <v>91</v>
      </c>
      <c r="K1" s="3" t="s">
        <v>92</v>
      </c>
      <c r="L1" s="3" t="s">
        <v>93</v>
      </c>
      <c r="M1" s="93" t="s">
        <v>94</v>
      </c>
      <c r="N1" s="93" t="s">
        <v>95</v>
      </c>
      <c r="O1" s="3" t="s">
        <v>96</v>
      </c>
      <c r="P1" s="3" t="s">
        <v>97</v>
      </c>
      <c r="Q1" s="3" t="s">
        <v>98</v>
      </c>
      <c r="R1" s="3" t="s">
        <v>99</v>
      </c>
      <c r="S1" s="3" t="s">
        <v>100</v>
      </c>
      <c r="T1" s="93" t="s">
        <v>101</v>
      </c>
      <c r="U1" s="3" t="s">
        <v>102</v>
      </c>
      <c r="V1" s="93" t="s">
        <v>103</v>
      </c>
      <c r="W1" s="3" t="s">
        <v>104</v>
      </c>
      <c r="X1" s="3" t="s">
        <v>105</v>
      </c>
      <c r="Y1" s="3" t="s">
        <v>106</v>
      </c>
      <c r="Z1" s="3" t="s">
        <v>107</v>
      </c>
      <c r="AA1" s="3" t="s">
        <v>108</v>
      </c>
      <c r="AB1" s="3" t="s">
        <v>109</v>
      </c>
      <c r="AC1" s="3" t="s">
        <v>110</v>
      </c>
      <c r="AD1" s="3" t="s">
        <v>111</v>
      </c>
      <c r="AE1" s="3" t="s">
        <v>112</v>
      </c>
      <c r="AF1" s="3" t="s">
        <v>113</v>
      </c>
      <c r="AG1" s="3" t="s">
        <v>114</v>
      </c>
      <c r="AH1" s="3" t="s">
        <v>115</v>
      </c>
      <c r="AI1" s="3" t="s">
        <v>116</v>
      </c>
      <c r="AJ1" s="38" t="s">
        <v>117</v>
      </c>
      <c r="AK1" s="96" t="s">
        <v>118</v>
      </c>
      <c r="AL1" s="96" t="s">
        <v>119</v>
      </c>
      <c r="AM1" s="38" t="s">
        <v>120</v>
      </c>
      <c r="AN1" s="3" t="s">
        <v>121</v>
      </c>
      <c r="AO1" s="3" t="s">
        <v>122</v>
      </c>
      <c r="AP1" s="3" t="s">
        <v>123</v>
      </c>
      <c r="AQ1" s="3" t="s">
        <v>124</v>
      </c>
      <c r="AR1" s="3" t="s">
        <v>125</v>
      </c>
      <c r="AS1" s="3" t="s">
        <v>126</v>
      </c>
      <c r="AT1" s="3" t="s">
        <v>127</v>
      </c>
      <c r="AU1" s="3" t="s">
        <v>128</v>
      </c>
      <c r="AV1" s="3" t="s">
        <v>129</v>
      </c>
      <c r="AW1" s="3" t="s">
        <v>130</v>
      </c>
      <c r="AX1" s="3" t="s">
        <v>131</v>
      </c>
      <c r="AY1" s="3" t="s">
        <v>132</v>
      </c>
      <c r="AZ1" s="3" t="s">
        <v>133</v>
      </c>
      <c r="BA1" s="33" t="s">
        <v>338</v>
      </c>
      <c r="BB1" s="33" t="s">
        <v>339</v>
      </c>
      <c r="BC1" s="33" t="s">
        <v>340</v>
      </c>
      <c r="BD1" s="33" t="s">
        <v>341</v>
      </c>
      <c r="BE1" s="33" t="s">
        <v>342</v>
      </c>
      <c r="BF1" s="33" t="s">
        <v>343</v>
      </c>
      <c r="BG1" s="33" t="s">
        <v>344</v>
      </c>
      <c r="BH1" s="33" t="s">
        <v>345</v>
      </c>
      <c r="BI1" s="40" t="s">
        <v>346</v>
      </c>
      <c r="BJ1" s="40" t="s">
        <v>347</v>
      </c>
      <c r="BK1" s="33" t="s">
        <v>348</v>
      </c>
      <c r="BL1" s="33" t="s">
        <v>349</v>
      </c>
      <c r="BM1" s="33" t="s">
        <v>350</v>
      </c>
      <c r="BN1" s="33" t="s">
        <v>351</v>
      </c>
      <c r="BO1" s="33" t="s">
        <v>352</v>
      </c>
      <c r="BP1" s="40" t="s">
        <v>353</v>
      </c>
      <c r="BQ1" s="33" t="s">
        <v>354</v>
      </c>
      <c r="BR1" s="40" t="s">
        <v>355</v>
      </c>
      <c r="BS1" s="33" t="s">
        <v>356</v>
      </c>
      <c r="BT1" s="33" t="s">
        <v>357</v>
      </c>
      <c r="BU1" s="33" t="s">
        <v>358</v>
      </c>
      <c r="BV1" s="33" t="s">
        <v>359</v>
      </c>
      <c r="BW1" s="33" t="s">
        <v>360</v>
      </c>
      <c r="BX1" s="33" t="s">
        <v>361</v>
      </c>
      <c r="BY1" s="33" t="s">
        <v>362</v>
      </c>
      <c r="BZ1" s="33" t="s">
        <v>363</v>
      </c>
      <c r="CA1" s="33" t="s">
        <v>364</v>
      </c>
      <c r="CB1" s="33" t="s">
        <v>365</v>
      </c>
      <c r="CC1" s="33" t="s">
        <v>366</v>
      </c>
      <c r="CD1" s="33" t="s">
        <v>367</v>
      </c>
      <c r="CE1" s="33" t="s">
        <v>368</v>
      </c>
      <c r="CF1" s="43" t="s">
        <v>369</v>
      </c>
      <c r="CG1" s="43" t="s">
        <v>370</v>
      </c>
      <c r="CH1" s="43" t="s">
        <v>371</v>
      </c>
      <c r="CI1" s="43" t="s">
        <v>372</v>
      </c>
      <c r="CJ1" s="33" t="s">
        <v>373</v>
      </c>
      <c r="CK1" s="33" t="s">
        <v>374</v>
      </c>
      <c r="CL1" s="33" t="s">
        <v>375</v>
      </c>
      <c r="CM1" s="33" t="s">
        <v>376</v>
      </c>
      <c r="CN1" s="33" t="s">
        <v>377</v>
      </c>
      <c r="CO1" s="33" t="s">
        <v>378</v>
      </c>
      <c r="CP1" s="33" t="s">
        <v>379</v>
      </c>
      <c r="CQ1" s="33" t="s">
        <v>380</v>
      </c>
      <c r="CR1" s="33" t="s">
        <v>381</v>
      </c>
      <c r="CS1" s="33" t="s">
        <v>382</v>
      </c>
      <c r="CT1" s="33" t="s">
        <v>383</v>
      </c>
      <c r="CU1" s="33" t="s">
        <v>384</v>
      </c>
      <c r="CV1" s="33" t="s">
        <v>385</v>
      </c>
      <c r="CW1" s="3" t="s">
        <v>386</v>
      </c>
      <c r="CX1" s="3" t="s">
        <v>387</v>
      </c>
      <c r="CY1" s="3" t="s">
        <v>388</v>
      </c>
      <c r="CZ1" s="3" t="s">
        <v>389</v>
      </c>
      <c r="DA1" s="3" t="s">
        <v>390</v>
      </c>
      <c r="DB1" s="3" t="s">
        <v>391</v>
      </c>
      <c r="DC1" s="3" t="s">
        <v>392</v>
      </c>
      <c r="DD1" s="3" t="s">
        <v>393</v>
      </c>
      <c r="DE1" s="93" t="s">
        <v>394</v>
      </c>
      <c r="DF1" s="93" t="s">
        <v>395</v>
      </c>
      <c r="DG1" s="3" t="s">
        <v>396</v>
      </c>
      <c r="DH1" s="3" t="s">
        <v>397</v>
      </c>
      <c r="DI1" s="3" t="s">
        <v>398</v>
      </c>
      <c r="DJ1" s="3" t="s">
        <v>399</v>
      </c>
      <c r="DK1" s="3" t="s">
        <v>400</v>
      </c>
      <c r="DL1" s="93" t="s">
        <v>401</v>
      </c>
      <c r="DM1" s="3" t="s">
        <v>402</v>
      </c>
      <c r="DN1" s="93" t="s">
        <v>403</v>
      </c>
      <c r="DO1" s="3" t="s">
        <v>404</v>
      </c>
      <c r="DP1" s="3" t="s">
        <v>405</v>
      </c>
      <c r="DQ1" s="3" t="s">
        <v>406</v>
      </c>
      <c r="DR1" s="3" t="s">
        <v>407</v>
      </c>
      <c r="DS1" s="3" t="s">
        <v>408</v>
      </c>
      <c r="DT1" s="3" t="s">
        <v>409</v>
      </c>
      <c r="DU1" s="3" t="s">
        <v>410</v>
      </c>
      <c r="DV1" s="3" t="s">
        <v>411</v>
      </c>
      <c r="DW1" s="3" t="s">
        <v>412</v>
      </c>
      <c r="DX1" s="3" t="s">
        <v>413</v>
      </c>
      <c r="DY1" s="3" t="s">
        <v>414</v>
      </c>
      <c r="DZ1" s="3" t="s">
        <v>415</v>
      </c>
      <c r="EA1" s="3" t="s">
        <v>416</v>
      </c>
      <c r="EB1" s="38" t="s">
        <v>417</v>
      </c>
      <c r="EC1" s="38" t="s">
        <v>418</v>
      </c>
      <c r="ED1" s="38" t="s">
        <v>419</v>
      </c>
      <c r="EE1" s="38" t="s">
        <v>420</v>
      </c>
      <c r="EF1" s="3" t="s">
        <v>421</v>
      </c>
      <c r="EG1" s="3" t="s">
        <v>422</v>
      </c>
      <c r="EH1" s="3" t="s">
        <v>423</v>
      </c>
      <c r="EI1" s="3" t="s">
        <v>424</v>
      </c>
      <c r="EJ1" s="3" t="s">
        <v>425</v>
      </c>
      <c r="EK1" s="3" t="s">
        <v>426</v>
      </c>
      <c r="EL1" s="3" t="s">
        <v>427</v>
      </c>
      <c r="EM1" s="3" t="s">
        <v>428</v>
      </c>
      <c r="EN1" s="3" t="s">
        <v>429</v>
      </c>
      <c r="EO1" s="3" t="s">
        <v>430</v>
      </c>
      <c r="EP1" s="3" t="s">
        <v>431</v>
      </c>
      <c r="EQ1" s="3" t="s">
        <v>432</v>
      </c>
      <c r="ER1" s="3" t="s">
        <v>433</v>
      </c>
      <c r="ES1" s="33" t="s">
        <v>434</v>
      </c>
      <c r="ET1" s="33" t="s">
        <v>435</v>
      </c>
      <c r="EU1" s="33" t="s">
        <v>436</v>
      </c>
      <c r="EV1" s="33" t="s">
        <v>437</v>
      </c>
      <c r="EW1" s="33" t="s">
        <v>438</v>
      </c>
      <c r="EX1" s="33" t="s">
        <v>439</v>
      </c>
      <c r="EY1" s="33" t="s">
        <v>440</v>
      </c>
      <c r="EZ1" s="33" t="s">
        <v>441</v>
      </c>
      <c r="FA1" s="40" t="s">
        <v>442</v>
      </c>
      <c r="FB1" s="40" t="s">
        <v>443</v>
      </c>
      <c r="FC1" s="33" t="s">
        <v>444</v>
      </c>
      <c r="FD1" s="33" t="s">
        <v>445</v>
      </c>
      <c r="FE1" s="33" t="s">
        <v>446</v>
      </c>
      <c r="FF1" s="33" t="s">
        <v>447</v>
      </c>
      <c r="FG1" s="33" t="s">
        <v>448</v>
      </c>
      <c r="FH1" s="40" t="s">
        <v>449</v>
      </c>
      <c r="FI1" s="33" t="s">
        <v>450</v>
      </c>
      <c r="FJ1" s="40" t="s">
        <v>451</v>
      </c>
      <c r="FK1" s="33" t="s">
        <v>452</v>
      </c>
      <c r="FL1" s="33" t="s">
        <v>453</v>
      </c>
      <c r="FM1" s="33" t="s">
        <v>454</v>
      </c>
      <c r="FN1" s="33" t="s">
        <v>455</v>
      </c>
      <c r="FO1" s="33" t="s">
        <v>456</v>
      </c>
      <c r="FP1" s="33" t="s">
        <v>457</v>
      </c>
      <c r="FQ1" s="33" t="s">
        <v>458</v>
      </c>
      <c r="FR1" s="33" t="s">
        <v>459</v>
      </c>
      <c r="FS1" s="33" t="s">
        <v>460</v>
      </c>
      <c r="FT1" s="33" t="s">
        <v>461</v>
      </c>
      <c r="FU1" s="33" t="s">
        <v>462</v>
      </c>
      <c r="FV1" s="33" t="s">
        <v>463</v>
      </c>
      <c r="FW1" s="33" t="s">
        <v>464</v>
      </c>
      <c r="FX1" s="43" t="s">
        <v>465</v>
      </c>
      <c r="FY1" s="43" t="s">
        <v>466</v>
      </c>
      <c r="FZ1" s="43" t="s">
        <v>467</v>
      </c>
      <c r="GA1" s="43" t="s">
        <v>468</v>
      </c>
      <c r="GB1" s="33" t="s">
        <v>469</v>
      </c>
      <c r="GC1" s="33" t="s">
        <v>470</v>
      </c>
      <c r="GD1" s="33" t="s">
        <v>471</v>
      </c>
      <c r="GE1" s="33" t="s">
        <v>472</v>
      </c>
      <c r="GF1" s="33" t="s">
        <v>473</v>
      </c>
      <c r="GG1" s="33" t="s">
        <v>474</v>
      </c>
      <c r="GH1" s="33" t="s">
        <v>475</v>
      </c>
      <c r="GI1" s="33" t="s">
        <v>476</v>
      </c>
      <c r="GJ1" s="33" t="s">
        <v>477</v>
      </c>
      <c r="GK1" s="33" t="s">
        <v>478</v>
      </c>
      <c r="GL1" s="33" t="s">
        <v>479</v>
      </c>
      <c r="GM1" s="33" t="s">
        <v>480</v>
      </c>
      <c r="GN1" s="33" t="s">
        <v>481</v>
      </c>
      <c r="GO1" s="12" t="s">
        <v>15</v>
      </c>
      <c r="GP1" s="10" t="s">
        <v>16</v>
      </c>
      <c r="GQ1" s="10" t="s">
        <v>17</v>
      </c>
      <c r="GR1" s="10" t="s">
        <v>134</v>
      </c>
      <c r="GS1" s="10" t="s">
        <v>135</v>
      </c>
      <c r="GT1" s="10" t="s">
        <v>136</v>
      </c>
      <c r="GU1" s="18" t="s">
        <v>137</v>
      </c>
      <c r="GV1" s="10" t="s">
        <v>138</v>
      </c>
      <c r="GW1" s="10" t="s">
        <v>139</v>
      </c>
      <c r="GX1" s="10" t="s">
        <v>140</v>
      </c>
      <c r="GY1" s="10" t="s">
        <v>141</v>
      </c>
      <c r="GZ1" s="18" t="s">
        <v>142</v>
      </c>
      <c r="HA1" s="21" t="s">
        <v>482</v>
      </c>
      <c r="HB1" s="21" t="s">
        <v>483</v>
      </c>
      <c r="HC1" s="21" t="s">
        <v>484</v>
      </c>
      <c r="HD1" s="51" t="s">
        <v>485</v>
      </c>
      <c r="HE1" s="21" t="s">
        <v>486</v>
      </c>
      <c r="HF1" s="21" t="s">
        <v>487</v>
      </c>
      <c r="HG1" s="21" t="s">
        <v>488</v>
      </c>
      <c r="HH1" s="21" t="s">
        <v>489</v>
      </c>
      <c r="HI1" s="51" t="s">
        <v>490</v>
      </c>
      <c r="HJ1" s="10" t="s">
        <v>491</v>
      </c>
      <c r="HK1" s="10" t="s">
        <v>492</v>
      </c>
      <c r="HL1" s="10" t="s">
        <v>493</v>
      </c>
      <c r="HM1" s="18" t="s">
        <v>494</v>
      </c>
      <c r="HN1" s="10" t="s">
        <v>495</v>
      </c>
      <c r="HO1" s="10" t="s">
        <v>496</v>
      </c>
      <c r="HP1" s="10" t="s">
        <v>497</v>
      </c>
      <c r="HQ1" s="10" t="s">
        <v>498</v>
      </c>
      <c r="HR1" s="18" t="s">
        <v>499</v>
      </c>
      <c r="HS1" s="21" t="s">
        <v>500</v>
      </c>
      <c r="HT1" s="21" t="s">
        <v>501</v>
      </c>
      <c r="HU1" s="21" t="s">
        <v>502</v>
      </c>
      <c r="HV1" s="51" t="s">
        <v>503</v>
      </c>
      <c r="HW1" s="21" t="s">
        <v>504</v>
      </c>
      <c r="HX1" s="21" t="s">
        <v>505</v>
      </c>
      <c r="HY1" s="21" t="s">
        <v>506</v>
      </c>
      <c r="HZ1" s="21" t="s">
        <v>507</v>
      </c>
      <c r="IA1" s="51" t="s">
        <v>508</v>
      </c>
    </row>
    <row r="2" s="28" customFormat="1" ht="50" customHeight="1" spans="1:235">
      <c r="A2" s="7" t="s">
        <v>509</v>
      </c>
      <c r="B2" s="81" t="s">
        <v>510</v>
      </c>
      <c r="C2" s="82" t="s">
        <v>29</v>
      </c>
      <c r="D2" s="17" t="s">
        <v>511</v>
      </c>
      <c r="E2" s="7" t="s">
        <v>146</v>
      </c>
      <c r="F2" s="4" t="s">
        <v>31</v>
      </c>
      <c r="G2" s="4" t="s">
        <v>32</v>
      </c>
      <c r="H2" s="7" t="s">
        <v>147</v>
      </c>
      <c r="I2" s="7" t="s">
        <v>148</v>
      </c>
      <c r="J2" s="7"/>
      <c r="K2" s="7" t="s">
        <v>149</v>
      </c>
      <c r="L2" s="7"/>
      <c r="M2" s="94"/>
      <c r="N2" s="94"/>
      <c r="O2" s="7"/>
      <c r="P2" s="7"/>
      <c r="Q2" s="7"/>
      <c r="R2" s="7"/>
      <c r="S2" s="7"/>
      <c r="T2" s="94"/>
      <c r="U2" s="7"/>
      <c r="V2" s="94"/>
      <c r="W2" s="7" t="s">
        <v>150</v>
      </c>
      <c r="X2" s="7" t="s">
        <v>151</v>
      </c>
      <c r="Y2" s="7" t="s">
        <v>150</v>
      </c>
      <c r="Z2" s="7" t="s">
        <v>151</v>
      </c>
      <c r="AA2" s="7" t="s">
        <v>151</v>
      </c>
      <c r="AB2" s="7"/>
      <c r="AC2" s="7" t="s">
        <v>512</v>
      </c>
      <c r="AD2" s="7" t="s">
        <v>146</v>
      </c>
      <c r="AE2" s="7" t="s">
        <v>153</v>
      </c>
      <c r="AF2" s="7"/>
      <c r="AG2" s="7"/>
      <c r="AH2" s="7" t="s">
        <v>154</v>
      </c>
      <c r="AI2" s="7" t="s">
        <v>513</v>
      </c>
      <c r="AJ2" s="83" t="s">
        <v>156</v>
      </c>
      <c r="AK2" s="97" t="s">
        <v>35</v>
      </c>
      <c r="AL2" s="97" t="s">
        <v>157</v>
      </c>
      <c r="AM2" s="83">
        <v>0</v>
      </c>
      <c r="AN2" s="7"/>
      <c r="AO2" s="7" t="s">
        <v>158</v>
      </c>
      <c r="AP2" s="7" t="s">
        <v>159</v>
      </c>
      <c r="AQ2" s="7" t="s">
        <v>34</v>
      </c>
      <c r="AR2" s="7" t="s">
        <v>147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{{CTX:USER_NAME}}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{{CTX:USER_NAME}}</v>
      </c>
      <c r="CA2" s="7" t="str">
        <f>AE2</f>
        <v>VST 1</v>
      </c>
      <c r="CB2" s="7"/>
      <c r="CC2" s="7"/>
      <c r="CD2" s="7" t="s">
        <v>154</v>
      </c>
      <c r="CE2" s="7" t="s">
        <v>513</v>
      </c>
      <c r="CF2" s="7" t="str">
        <f>AJ2</f>
        <v>NIGHT</v>
      </c>
      <c r="CG2" s="97" t="s">
        <v>35</v>
      </c>
      <c r="CH2" s="97" t="s">
        <v>157</v>
      </c>
      <c r="CI2" s="83">
        <v>1</v>
      </c>
      <c r="CJ2" s="7"/>
      <c r="CK2" s="7" t="s">
        <v>158</v>
      </c>
      <c r="CL2" s="7" t="s">
        <v>159</v>
      </c>
      <c r="CM2" s="7" t="s">
        <v>34</v>
      </c>
      <c r="CN2" s="7" t="s">
        <v>147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146</v>
      </c>
      <c r="CX2" s="7" t="s">
        <v>514</v>
      </c>
      <c r="CY2" s="7" t="s">
        <v>515</v>
      </c>
      <c r="CZ2" s="7" t="s">
        <v>147</v>
      </c>
      <c r="DA2" s="7" t="s">
        <v>148</v>
      </c>
      <c r="DB2" s="7"/>
      <c r="DC2" s="7" t="s">
        <v>149</v>
      </c>
      <c r="DD2" s="7"/>
      <c r="DE2" s="94"/>
      <c r="DF2" s="94"/>
      <c r="DG2" s="7"/>
      <c r="DH2" s="7"/>
      <c r="DI2" s="7"/>
      <c r="DJ2" s="7"/>
      <c r="DK2" s="7"/>
      <c r="DL2" s="94"/>
      <c r="DM2" s="7"/>
      <c r="DN2" s="94"/>
      <c r="DO2" s="7" t="s">
        <v>150</v>
      </c>
      <c r="DP2" s="7" t="s">
        <v>151</v>
      </c>
      <c r="DQ2" s="7" t="s">
        <v>150</v>
      </c>
      <c r="DR2" s="7" t="s">
        <v>151</v>
      </c>
      <c r="DS2" s="7" t="s">
        <v>151</v>
      </c>
      <c r="DT2" s="7"/>
      <c r="DU2" s="7" t="s">
        <v>512</v>
      </c>
      <c r="DV2" s="7" t="s">
        <v>146</v>
      </c>
      <c r="DW2" s="7" t="s">
        <v>153</v>
      </c>
      <c r="DX2" s="7"/>
      <c r="DY2" s="7"/>
      <c r="DZ2" s="7" t="s">
        <v>154</v>
      </c>
      <c r="EA2" s="7" t="s">
        <v>513</v>
      </c>
      <c r="EB2" s="83" t="s">
        <v>156</v>
      </c>
      <c r="EC2" s="97" t="s">
        <v>35</v>
      </c>
      <c r="ED2" s="97" t="s">
        <v>157</v>
      </c>
      <c r="EE2" s="83">
        <v>2</v>
      </c>
      <c r="EF2" s="7"/>
      <c r="EG2" s="7" t="s">
        <v>158</v>
      </c>
      <c r="EH2" s="7" t="s">
        <v>159</v>
      </c>
      <c r="EI2" s="7" t="s">
        <v>34</v>
      </c>
      <c r="EJ2" s="7" t="s">
        <v>147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146</v>
      </c>
      <c r="ET2" s="7" t="s">
        <v>514</v>
      </c>
      <c r="EU2" s="7" t="s">
        <v>515</v>
      </c>
      <c r="EV2" s="7" t="s">
        <v>147</v>
      </c>
      <c r="EW2" s="7" t="s">
        <v>148</v>
      </c>
      <c r="EX2" s="7"/>
      <c r="EY2" s="7" t="s">
        <v>149</v>
      </c>
      <c r="EZ2" s="7"/>
      <c r="FA2" s="94"/>
      <c r="FB2" s="94"/>
      <c r="FC2" s="7"/>
      <c r="FD2" s="7"/>
      <c r="FE2" s="7"/>
      <c r="FF2" s="7"/>
      <c r="FG2" s="7"/>
      <c r="FH2" s="94"/>
      <c r="FI2" s="7"/>
      <c r="FJ2" s="94"/>
      <c r="FK2" s="7" t="s">
        <v>150</v>
      </c>
      <c r="FL2" s="7" t="s">
        <v>151</v>
      </c>
      <c r="FM2" s="7" t="s">
        <v>150</v>
      </c>
      <c r="FN2" s="7" t="s">
        <v>151</v>
      </c>
      <c r="FO2" s="7" t="s">
        <v>151</v>
      </c>
      <c r="FP2" s="7"/>
      <c r="FQ2" s="7" t="s">
        <v>512</v>
      </c>
      <c r="FR2" s="7" t="s">
        <v>146</v>
      </c>
      <c r="FS2" s="7" t="s">
        <v>153</v>
      </c>
      <c r="FT2" s="7"/>
      <c r="FU2" s="7"/>
      <c r="FV2" s="7" t="s">
        <v>154</v>
      </c>
      <c r="FW2" s="7" t="s">
        <v>513</v>
      </c>
      <c r="FX2" s="83" t="s">
        <v>156</v>
      </c>
      <c r="FY2" s="97" t="s">
        <v>35</v>
      </c>
      <c r="FZ2" s="97" t="s">
        <v>157</v>
      </c>
      <c r="GA2" s="83">
        <v>3</v>
      </c>
      <c r="GB2" s="7"/>
      <c r="GC2" s="7" t="s">
        <v>158</v>
      </c>
      <c r="GD2" s="7" t="s">
        <v>159</v>
      </c>
      <c r="GE2" s="7" t="s">
        <v>34</v>
      </c>
      <c r="GF2" s="7" t="s">
        <v>147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89" t="s">
        <v>516</v>
      </c>
      <c r="GP2" s="21">
        <v>200</v>
      </c>
      <c r="GQ2" s="21">
        <v>4</v>
      </c>
      <c r="GR2" s="21" t="s">
        <v>161</v>
      </c>
      <c r="GS2" s="21" t="str">
        <f t="shared" ref="GS2:GS13" si="11">I2</f>
        <v>PhuongTT</v>
      </c>
      <c r="GT2" s="21" t="str">
        <f t="shared" ref="GT2:GT13" si="12">AQ2</f>
        <v>4D</v>
      </c>
      <c r="GU2" s="51" t="b">
        <v>0</v>
      </c>
      <c r="GV2" s="21" t="s">
        <v>162</v>
      </c>
      <c r="GW2" s="21" t="s">
        <v>161</v>
      </c>
      <c r="GX2" s="21" t="s">
        <v>161</v>
      </c>
      <c r="GY2" s="21" t="s">
        <v>163</v>
      </c>
      <c r="GZ2" s="51" t="b">
        <v>0</v>
      </c>
      <c r="HA2" s="21" t="s">
        <v>161</v>
      </c>
      <c r="HB2" s="21" t="str">
        <f t="shared" ref="HB2:HB13" si="13">I2</f>
        <v>PhuongTT</v>
      </c>
      <c r="HC2" s="21" t="str">
        <f t="shared" ref="HC2:HC13" si="14">AQ2</f>
        <v>4D</v>
      </c>
      <c r="HD2" s="51" t="b">
        <v>0</v>
      </c>
      <c r="HE2" s="21" t="s">
        <v>162</v>
      </c>
      <c r="HF2" s="21" t="s">
        <v>161</v>
      </c>
      <c r="HG2" s="21" t="s">
        <v>161</v>
      </c>
      <c r="HH2" s="21" t="s">
        <v>163</v>
      </c>
      <c r="HI2" s="51" t="b">
        <v>0</v>
      </c>
      <c r="HJ2" s="21" t="s">
        <v>161</v>
      </c>
      <c r="HK2" s="21" t="str">
        <f t="shared" ref="HK2:HK13" si="15">I2</f>
        <v>PhuongTT</v>
      </c>
      <c r="HL2" s="21" t="str">
        <f t="shared" ref="HL2:HL13" si="16">AQ2</f>
        <v>4D</v>
      </c>
      <c r="HM2" s="51" t="b">
        <v>0</v>
      </c>
      <c r="HN2" s="21" t="s">
        <v>162</v>
      </c>
      <c r="HO2" s="21" t="s">
        <v>161</v>
      </c>
      <c r="HP2" s="21" t="s">
        <v>161</v>
      </c>
      <c r="HQ2" s="21" t="s">
        <v>163</v>
      </c>
      <c r="HR2" s="51" t="b">
        <v>0</v>
      </c>
      <c r="HS2" s="21" t="s">
        <v>161</v>
      </c>
      <c r="HT2" s="21" t="str">
        <f t="shared" ref="HT2:HT13" si="17">I2</f>
        <v>PhuongTT</v>
      </c>
      <c r="HU2" s="21" t="str">
        <f t="shared" ref="HU2:HU13" si="18">AQ2</f>
        <v>4D</v>
      </c>
      <c r="HV2" s="51" t="b">
        <v>0</v>
      </c>
      <c r="HW2" s="21" t="s">
        <v>162</v>
      </c>
      <c r="HX2" s="21" t="s">
        <v>161</v>
      </c>
      <c r="HY2" s="21" t="s">
        <v>161</v>
      </c>
      <c r="HZ2" s="21" t="s">
        <v>163</v>
      </c>
      <c r="IA2" s="51" t="b">
        <v>0</v>
      </c>
    </row>
    <row r="3" s="28" customFormat="1" ht="69" customHeight="1" spans="1:235">
      <c r="A3" s="7" t="s">
        <v>517</v>
      </c>
      <c r="B3" s="81" t="s">
        <v>518</v>
      </c>
      <c r="C3" s="82" t="s">
        <v>29</v>
      </c>
      <c r="D3" s="17" t="s">
        <v>511</v>
      </c>
      <c r="E3" s="7" t="s">
        <v>146</v>
      </c>
      <c r="F3" s="4" t="s">
        <v>31</v>
      </c>
      <c r="G3" s="4" t="s">
        <v>32</v>
      </c>
      <c r="H3" s="7" t="s">
        <v>147</v>
      </c>
      <c r="I3" s="7" t="s">
        <v>225</v>
      </c>
      <c r="J3" s="7"/>
      <c r="K3" s="7" t="s">
        <v>149</v>
      </c>
      <c r="L3" s="7"/>
      <c r="M3" s="94"/>
      <c r="N3" s="94"/>
      <c r="O3" s="7"/>
      <c r="P3" s="7"/>
      <c r="Q3" s="7"/>
      <c r="R3" s="7"/>
      <c r="S3" s="7"/>
      <c r="T3" s="94"/>
      <c r="U3" s="7"/>
      <c r="V3" s="94"/>
      <c r="W3" s="7" t="s">
        <v>150</v>
      </c>
      <c r="X3" s="7" t="s">
        <v>151</v>
      </c>
      <c r="Y3" s="7" t="s">
        <v>150</v>
      </c>
      <c r="Z3" s="7" t="s">
        <v>151</v>
      </c>
      <c r="AA3" s="7" t="s">
        <v>151</v>
      </c>
      <c r="AB3" s="7"/>
      <c r="AC3" s="7" t="s">
        <v>512</v>
      </c>
      <c r="AD3" s="7" t="s">
        <v>146</v>
      </c>
      <c r="AE3" s="7" t="s">
        <v>225</v>
      </c>
      <c r="AF3" s="7"/>
      <c r="AG3" s="7"/>
      <c r="AH3" s="7" t="s">
        <v>154</v>
      </c>
      <c r="AI3" s="7" t="s">
        <v>513</v>
      </c>
      <c r="AJ3" s="83" t="s">
        <v>156</v>
      </c>
      <c r="AK3" s="98">
        <f>AK2+TIME(0,8,0)</f>
        <v>0.755555555555556</v>
      </c>
      <c r="AL3" s="97">
        <f>AL2+TIME(0,8,0)</f>
        <v>0.855555555555556</v>
      </c>
      <c r="AM3" s="83">
        <v>0</v>
      </c>
      <c r="AN3" s="7"/>
      <c r="AO3" s="7" t="s">
        <v>158</v>
      </c>
      <c r="AP3" s="7" t="s">
        <v>159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226</v>
      </c>
      <c r="AW3" s="7" t="s">
        <v>227</v>
      </c>
      <c r="AX3" s="7" t="s">
        <v>226</v>
      </c>
      <c r="AY3" s="7" t="s">
        <v>226</v>
      </c>
      <c r="AZ3" s="7" t="s">
        <v>36</v>
      </c>
      <c r="BA3" s="7" t="str">
        <f t="shared" si="0"/>
        <v>{{CTX:USER_NAME}}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94"/>
      <c r="BK3" s="7"/>
      <c r="BL3" s="7"/>
      <c r="BM3" s="7"/>
      <c r="BN3" s="7"/>
      <c r="BO3" s="7"/>
      <c r="BP3" s="94"/>
      <c r="BQ3" s="7"/>
      <c r="BR3" s="94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512</v>
      </c>
      <c r="BZ3" s="7" t="s">
        <v>146</v>
      </c>
      <c r="CA3" s="7" t="s">
        <v>225</v>
      </c>
      <c r="CB3" s="7"/>
      <c r="CC3" s="7"/>
      <c r="CD3" s="7" t="s">
        <v>154</v>
      </c>
      <c r="CE3" s="7" t="s">
        <v>513</v>
      </c>
      <c r="CF3" s="83" t="s">
        <v>156</v>
      </c>
      <c r="CG3" s="98">
        <f t="shared" ref="CG3:CG13" si="20">CG2+TIME(0,8,0)</f>
        <v>0.755555555555556</v>
      </c>
      <c r="CH3" s="97">
        <f t="shared" ref="CH3:CH13" si="21">CH2+TIME(0,8,0)</f>
        <v>0.855555555555556</v>
      </c>
      <c r="CI3" s="83">
        <v>1</v>
      </c>
      <c r="CJ3" s="7"/>
      <c r="CK3" s="7" t="s">
        <v>158</v>
      </c>
      <c r="CL3" s="7" t="s">
        <v>159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226</v>
      </c>
      <c r="CS3" s="7" t="s">
        <v>227</v>
      </c>
      <c r="CT3" s="7" t="s">
        <v>226</v>
      </c>
      <c r="CU3" s="7" t="s">
        <v>226</v>
      </c>
      <c r="CV3" s="7" t="s">
        <v>36</v>
      </c>
      <c r="CW3" s="7" t="s">
        <v>146</v>
      </c>
      <c r="CX3" s="7" t="s">
        <v>514</v>
      </c>
      <c r="CY3" s="7" t="s">
        <v>515</v>
      </c>
      <c r="CZ3" s="7" t="s">
        <v>147</v>
      </c>
      <c r="DA3" s="7" t="s">
        <v>225</v>
      </c>
      <c r="DB3" s="7"/>
      <c r="DC3" s="7" t="s">
        <v>149</v>
      </c>
      <c r="DD3" s="7"/>
      <c r="DE3" s="94"/>
      <c r="DF3" s="94"/>
      <c r="DG3" s="7"/>
      <c r="DH3" s="7"/>
      <c r="DI3" s="7"/>
      <c r="DJ3" s="7"/>
      <c r="DK3" s="7"/>
      <c r="DL3" s="94"/>
      <c r="DM3" s="7"/>
      <c r="DN3" s="94"/>
      <c r="DO3" s="7" t="s">
        <v>150</v>
      </c>
      <c r="DP3" s="7" t="s">
        <v>151</v>
      </c>
      <c r="DQ3" s="7" t="s">
        <v>150</v>
      </c>
      <c r="DR3" s="7" t="s">
        <v>151</v>
      </c>
      <c r="DS3" s="7" t="s">
        <v>151</v>
      </c>
      <c r="DT3" s="7"/>
      <c r="DU3" s="7" t="s">
        <v>512</v>
      </c>
      <c r="DV3" s="7" t="s">
        <v>146</v>
      </c>
      <c r="DW3" s="7" t="s">
        <v>225</v>
      </c>
      <c r="DX3" s="7"/>
      <c r="DY3" s="7"/>
      <c r="DZ3" s="7" t="s">
        <v>154</v>
      </c>
      <c r="EA3" s="7" t="s">
        <v>513</v>
      </c>
      <c r="EB3" s="83" t="s">
        <v>156</v>
      </c>
      <c r="EC3" s="98">
        <f t="shared" ref="EC3:EC13" si="22">EC2+TIME(0,8,0)</f>
        <v>0.755555555555556</v>
      </c>
      <c r="ED3" s="97">
        <f t="shared" ref="ED3:ED13" si="23">ED2+TIME(0,8,0)</f>
        <v>0.855555555555556</v>
      </c>
      <c r="EE3" s="83">
        <v>2</v>
      </c>
      <c r="EF3" s="7"/>
      <c r="EG3" s="7" t="s">
        <v>158</v>
      </c>
      <c r="EH3" s="7" t="s">
        <v>159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226</v>
      </c>
      <c r="EO3" s="7" t="s">
        <v>227</v>
      </c>
      <c r="EP3" s="7" t="s">
        <v>226</v>
      </c>
      <c r="EQ3" s="7" t="s">
        <v>226</v>
      </c>
      <c r="ER3" s="7" t="s">
        <v>36</v>
      </c>
      <c r="ES3" s="7" t="s">
        <v>146</v>
      </c>
      <c r="ET3" s="7" t="s">
        <v>514</v>
      </c>
      <c r="EU3" s="7" t="s">
        <v>515</v>
      </c>
      <c r="EV3" s="7" t="s">
        <v>147</v>
      </c>
      <c r="EW3" s="7" t="s">
        <v>225</v>
      </c>
      <c r="EX3" s="7"/>
      <c r="EY3" s="7" t="s">
        <v>149</v>
      </c>
      <c r="EZ3" s="7"/>
      <c r="FA3" s="94"/>
      <c r="FB3" s="94"/>
      <c r="FC3" s="7"/>
      <c r="FD3" s="7"/>
      <c r="FE3" s="7"/>
      <c r="FF3" s="7"/>
      <c r="FG3" s="7"/>
      <c r="FH3" s="94"/>
      <c r="FI3" s="7"/>
      <c r="FJ3" s="94"/>
      <c r="FK3" s="7" t="s">
        <v>150</v>
      </c>
      <c r="FL3" s="7" t="s">
        <v>151</v>
      </c>
      <c r="FM3" s="7" t="s">
        <v>150</v>
      </c>
      <c r="FN3" s="7" t="s">
        <v>151</v>
      </c>
      <c r="FO3" s="7" t="s">
        <v>151</v>
      </c>
      <c r="FP3" s="7"/>
      <c r="FQ3" s="7" t="s">
        <v>512</v>
      </c>
      <c r="FR3" s="7" t="s">
        <v>146</v>
      </c>
      <c r="FS3" s="7" t="s">
        <v>225</v>
      </c>
      <c r="FT3" s="7"/>
      <c r="FU3" s="7"/>
      <c r="FV3" s="7" t="s">
        <v>154</v>
      </c>
      <c r="FW3" s="7" t="s">
        <v>513</v>
      </c>
      <c r="FX3" s="83" t="s">
        <v>156</v>
      </c>
      <c r="FY3" s="98">
        <f t="shared" ref="FY3:FY13" si="24">FY2+TIME(0,8,0)</f>
        <v>0.755555555555556</v>
      </c>
      <c r="FZ3" s="97">
        <f t="shared" ref="FZ3:FZ13" si="25">FZ2+TIME(0,8,0)</f>
        <v>0.855555555555556</v>
      </c>
      <c r="GA3" s="83">
        <v>3</v>
      </c>
      <c r="GB3" s="7"/>
      <c r="GC3" s="7" t="s">
        <v>158</v>
      </c>
      <c r="GD3" s="7" t="s">
        <v>159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226</v>
      </c>
      <c r="GK3" s="7" t="s">
        <v>227</v>
      </c>
      <c r="GL3" s="7" t="s">
        <v>226</v>
      </c>
      <c r="GM3" s="7" t="s">
        <v>226</v>
      </c>
      <c r="GN3" s="7" t="s">
        <v>36</v>
      </c>
      <c r="GO3" s="89" t="s">
        <v>516</v>
      </c>
      <c r="GP3" s="21">
        <v>200</v>
      </c>
      <c r="GQ3" s="21">
        <v>4</v>
      </c>
      <c r="GR3" s="21" t="s">
        <v>161</v>
      </c>
      <c r="GS3" s="21" t="str">
        <f t="shared" si="11"/>
        <v>Trần Phương MB</v>
      </c>
      <c r="GT3" s="21">
        <f t="shared" si="12"/>
        <v>1</v>
      </c>
      <c r="GU3" s="51" t="b">
        <v>0</v>
      </c>
      <c r="GV3" s="21" t="s">
        <v>162</v>
      </c>
      <c r="GW3" s="21" t="s">
        <v>161</v>
      </c>
      <c r="GX3" s="21" t="s">
        <v>161</v>
      </c>
      <c r="GY3" s="21" t="s">
        <v>228</v>
      </c>
      <c r="GZ3" s="51" t="b">
        <v>0</v>
      </c>
      <c r="HA3" s="21" t="s">
        <v>161</v>
      </c>
      <c r="HB3" s="21" t="str">
        <f t="shared" si="13"/>
        <v>Trần Phương MB</v>
      </c>
      <c r="HC3" s="21">
        <f t="shared" si="14"/>
        <v>1</v>
      </c>
      <c r="HD3" s="51" t="b">
        <v>0</v>
      </c>
      <c r="HE3" s="21" t="s">
        <v>162</v>
      </c>
      <c r="HF3" s="21" t="s">
        <v>161</v>
      </c>
      <c r="HG3" s="21" t="s">
        <v>161</v>
      </c>
      <c r="HH3" s="21" t="s">
        <v>228</v>
      </c>
      <c r="HI3" s="51" t="b">
        <v>0</v>
      </c>
      <c r="HJ3" s="21" t="s">
        <v>161</v>
      </c>
      <c r="HK3" s="21" t="str">
        <f t="shared" si="15"/>
        <v>Trần Phương MB</v>
      </c>
      <c r="HL3" s="21">
        <f t="shared" si="16"/>
        <v>1</v>
      </c>
      <c r="HM3" s="51" t="b">
        <v>0</v>
      </c>
      <c r="HN3" s="21" t="s">
        <v>162</v>
      </c>
      <c r="HO3" s="21" t="s">
        <v>161</v>
      </c>
      <c r="HP3" s="21" t="s">
        <v>161</v>
      </c>
      <c r="HQ3" s="21" t="s">
        <v>228</v>
      </c>
      <c r="HR3" s="51" t="b">
        <v>0</v>
      </c>
      <c r="HS3" s="21" t="s">
        <v>161</v>
      </c>
      <c r="HT3" s="21" t="str">
        <f t="shared" si="17"/>
        <v>Trần Phương MB</v>
      </c>
      <c r="HU3" s="21">
        <f t="shared" si="18"/>
        <v>1</v>
      </c>
      <c r="HV3" s="51" t="b">
        <v>0</v>
      </c>
      <c r="HW3" s="21" t="s">
        <v>162</v>
      </c>
      <c r="HX3" s="21" t="s">
        <v>161</v>
      </c>
      <c r="HY3" s="21" t="s">
        <v>161</v>
      </c>
      <c r="HZ3" s="21" t="s">
        <v>228</v>
      </c>
      <c r="IA3" s="51" t="b">
        <v>0</v>
      </c>
    </row>
    <row r="4" s="28" customFormat="1" ht="69" customHeight="1" spans="1:235">
      <c r="A4" s="7" t="s">
        <v>519</v>
      </c>
      <c r="B4" s="81" t="s">
        <v>520</v>
      </c>
      <c r="C4" s="82" t="s">
        <v>29</v>
      </c>
      <c r="D4" s="17" t="s">
        <v>511</v>
      </c>
      <c r="E4" s="7" t="s">
        <v>146</v>
      </c>
      <c r="F4" s="4" t="s">
        <v>31</v>
      </c>
      <c r="G4" s="4" t="s">
        <v>32</v>
      </c>
      <c r="H4" s="7" t="s">
        <v>147</v>
      </c>
      <c r="I4" s="7" t="s">
        <v>225</v>
      </c>
      <c r="J4" s="7"/>
      <c r="K4" s="7" t="s">
        <v>149</v>
      </c>
      <c r="L4" s="7"/>
      <c r="M4" s="94"/>
      <c r="N4" s="94"/>
      <c r="O4" s="7"/>
      <c r="P4" s="7"/>
      <c r="Q4" s="7"/>
      <c r="R4" s="7"/>
      <c r="S4" s="7"/>
      <c r="T4" s="7"/>
      <c r="U4" s="7"/>
      <c r="V4" s="7"/>
      <c r="W4" s="7" t="s">
        <v>150</v>
      </c>
      <c r="X4" s="7" t="s">
        <v>151</v>
      </c>
      <c r="Y4" s="7" t="s">
        <v>150</v>
      </c>
      <c r="Z4" s="7" t="s">
        <v>151</v>
      </c>
      <c r="AA4" s="7" t="s">
        <v>151</v>
      </c>
      <c r="AB4" s="7"/>
      <c r="AC4" s="7" t="s">
        <v>512</v>
      </c>
      <c r="AD4" s="7" t="s">
        <v>146</v>
      </c>
      <c r="AE4" s="7" t="s">
        <v>231</v>
      </c>
      <c r="AF4" s="7"/>
      <c r="AG4" s="7"/>
      <c r="AH4" s="7" t="s">
        <v>154</v>
      </c>
      <c r="AI4" s="7" t="s">
        <v>513</v>
      </c>
      <c r="AJ4" s="83" t="s">
        <v>156</v>
      </c>
      <c r="AK4" s="98">
        <f t="shared" ref="AK4:AK13" si="26">AK3+TIME(0,8,0)</f>
        <v>0.761111111111111</v>
      </c>
      <c r="AL4" s="97">
        <f t="shared" ref="AL4:AL13" si="27">AL3+TIME(0,8,0)</f>
        <v>0.861111111111111</v>
      </c>
      <c r="AM4" s="83">
        <v>0</v>
      </c>
      <c r="AN4" s="7"/>
      <c r="AO4" s="7" t="s">
        <v>158</v>
      </c>
      <c r="AP4" s="7" t="s">
        <v>159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226</v>
      </c>
      <c r="AW4" s="7" t="s">
        <v>227</v>
      </c>
      <c r="AX4" s="7" t="s">
        <v>226</v>
      </c>
      <c r="AY4" s="7"/>
      <c r="AZ4" s="7" t="s">
        <v>36</v>
      </c>
      <c r="BA4" s="7" t="str">
        <f t="shared" si="0"/>
        <v>{{CTX:USER_NAME}}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94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512</v>
      </c>
      <c r="BZ4" s="7" t="s">
        <v>146</v>
      </c>
      <c r="CA4" s="7" t="s">
        <v>231</v>
      </c>
      <c r="CB4" s="7"/>
      <c r="CC4" s="7"/>
      <c r="CD4" s="7" t="s">
        <v>154</v>
      </c>
      <c r="CE4" s="7" t="s">
        <v>513</v>
      </c>
      <c r="CF4" s="83" t="s">
        <v>156</v>
      </c>
      <c r="CG4" s="98">
        <f t="shared" si="20"/>
        <v>0.761111111111111</v>
      </c>
      <c r="CH4" s="97">
        <f t="shared" si="21"/>
        <v>0.861111111111111</v>
      </c>
      <c r="CI4" s="83">
        <v>1</v>
      </c>
      <c r="CJ4" s="7"/>
      <c r="CK4" s="7" t="s">
        <v>158</v>
      </c>
      <c r="CL4" s="7" t="s">
        <v>159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226</v>
      </c>
      <c r="CS4" s="7" t="s">
        <v>227</v>
      </c>
      <c r="CT4" s="7" t="s">
        <v>226</v>
      </c>
      <c r="CU4" s="7"/>
      <c r="CV4" s="7" t="s">
        <v>36</v>
      </c>
      <c r="CW4" s="7" t="s">
        <v>146</v>
      </c>
      <c r="CX4" s="7" t="s">
        <v>514</v>
      </c>
      <c r="CY4" s="7" t="s">
        <v>515</v>
      </c>
      <c r="CZ4" s="7" t="s">
        <v>147</v>
      </c>
      <c r="DA4" s="7" t="s">
        <v>225</v>
      </c>
      <c r="DB4" s="7"/>
      <c r="DC4" s="7" t="s">
        <v>149</v>
      </c>
      <c r="DD4" s="7"/>
      <c r="DE4" s="94"/>
      <c r="DF4" s="94"/>
      <c r="DG4" s="7"/>
      <c r="DH4" s="7"/>
      <c r="DI4" s="7"/>
      <c r="DJ4" s="7"/>
      <c r="DK4" s="7"/>
      <c r="DL4" s="7"/>
      <c r="DM4" s="7"/>
      <c r="DN4" s="7"/>
      <c r="DO4" s="7" t="s">
        <v>150</v>
      </c>
      <c r="DP4" s="7" t="s">
        <v>151</v>
      </c>
      <c r="DQ4" s="7" t="s">
        <v>150</v>
      </c>
      <c r="DR4" s="7" t="s">
        <v>151</v>
      </c>
      <c r="DS4" s="7" t="s">
        <v>151</v>
      </c>
      <c r="DT4" s="7"/>
      <c r="DU4" s="7" t="s">
        <v>512</v>
      </c>
      <c r="DV4" s="7" t="s">
        <v>146</v>
      </c>
      <c r="DW4" s="7" t="s">
        <v>231</v>
      </c>
      <c r="DX4" s="7"/>
      <c r="DY4" s="7"/>
      <c r="DZ4" s="7" t="s">
        <v>154</v>
      </c>
      <c r="EA4" s="7" t="s">
        <v>513</v>
      </c>
      <c r="EB4" s="83" t="s">
        <v>156</v>
      </c>
      <c r="EC4" s="98">
        <f t="shared" si="22"/>
        <v>0.761111111111111</v>
      </c>
      <c r="ED4" s="97">
        <f t="shared" si="23"/>
        <v>0.861111111111111</v>
      </c>
      <c r="EE4" s="83">
        <v>2</v>
      </c>
      <c r="EF4" s="7"/>
      <c r="EG4" s="7" t="s">
        <v>158</v>
      </c>
      <c r="EH4" s="7" t="s">
        <v>159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226</v>
      </c>
      <c r="EO4" s="7" t="s">
        <v>227</v>
      </c>
      <c r="EP4" s="7" t="s">
        <v>226</v>
      </c>
      <c r="EQ4" s="7"/>
      <c r="ER4" s="7" t="s">
        <v>36</v>
      </c>
      <c r="ES4" s="7" t="s">
        <v>146</v>
      </c>
      <c r="ET4" s="7" t="s">
        <v>514</v>
      </c>
      <c r="EU4" s="7" t="s">
        <v>515</v>
      </c>
      <c r="EV4" s="7" t="s">
        <v>147</v>
      </c>
      <c r="EW4" s="7" t="s">
        <v>225</v>
      </c>
      <c r="EX4" s="7"/>
      <c r="EY4" s="7" t="s">
        <v>149</v>
      </c>
      <c r="EZ4" s="7"/>
      <c r="FA4" s="94"/>
      <c r="FB4" s="94"/>
      <c r="FC4" s="7"/>
      <c r="FD4" s="7"/>
      <c r="FE4" s="7"/>
      <c r="FF4" s="7"/>
      <c r="FG4" s="7"/>
      <c r="FH4" s="7"/>
      <c r="FI4" s="7"/>
      <c r="FJ4" s="7"/>
      <c r="FK4" s="7" t="s">
        <v>150</v>
      </c>
      <c r="FL4" s="7" t="s">
        <v>151</v>
      </c>
      <c r="FM4" s="7" t="s">
        <v>150</v>
      </c>
      <c r="FN4" s="7" t="s">
        <v>151</v>
      </c>
      <c r="FO4" s="7" t="s">
        <v>151</v>
      </c>
      <c r="FP4" s="7"/>
      <c r="FQ4" s="7" t="s">
        <v>512</v>
      </c>
      <c r="FR4" s="7" t="s">
        <v>146</v>
      </c>
      <c r="FS4" s="7" t="s">
        <v>231</v>
      </c>
      <c r="FT4" s="7"/>
      <c r="FU4" s="7"/>
      <c r="FV4" s="7" t="s">
        <v>154</v>
      </c>
      <c r="FW4" s="7" t="s">
        <v>513</v>
      </c>
      <c r="FX4" s="83" t="s">
        <v>156</v>
      </c>
      <c r="FY4" s="98">
        <f t="shared" si="24"/>
        <v>0.761111111111111</v>
      </c>
      <c r="FZ4" s="97">
        <f t="shared" si="25"/>
        <v>0.861111111111111</v>
      </c>
      <c r="GA4" s="83">
        <v>3</v>
      </c>
      <c r="GB4" s="7"/>
      <c r="GC4" s="7" t="s">
        <v>158</v>
      </c>
      <c r="GD4" s="7" t="s">
        <v>159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226</v>
      </c>
      <c r="GK4" s="7" t="s">
        <v>227</v>
      </c>
      <c r="GL4" s="7" t="s">
        <v>226</v>
      </c>
      <c r="GM4" s="7"/>
      <c r="GN4" s="7" t="s">
        <v>36</v>
      </c>
      <c r="GO4" s="89" t="s">
        <v>516</v>
      </c>
      <c r="GP4" s="21">
        <v>200</v>
      </c>
      <c r="GQ4" s="21">
        <v>4</v>
      </c>
      <c r="GR4" s="21" t="s">
        <v>161</v>
      </c>
      <c r="GS4" s="21" t="str">
        <f t="shared" si="11"/>
        <v>Trần Phương MB</v>
      </c>
      <c r="GT4" s="21">
        <f t="shared" si="12"/>
        <v>2</v>
      </c>
      <c r="GU4" s="51" t="b">
        <v>0</v>
      </c>
      <c r="GV4" s="21" t="s">
        <v>162</v>
      </c>
      <c r="GW4" s="21" t="s">
        <v>161</v>
      </c>
      <c r="GX4" s="21" t="s">
        <v>161</v>
      </c>
      <c r="GY4" s="21" t="s">
        <v>232</v>
      </c>
      <c r="GZ4" s="51" t="b">
        <v>0</v>
      </c>
      <c r="HA4" s="21" t="s">
        <v>161</v>
      </c>
      <c r="HB4" s="21" t="str">
        <f t="shared" si="13"/>
        <v>Trần Phương MB</v>
      </c>
      <c r="HC4" s="21">
        <f t="shared" si="14"/>
        <v>2</v>
      </c>
      <c r="HD4" s="51" t="b">
        <v>0</v>
      </c>
      <c r="HE4" s="21" t="s">
        <v>162</v>
      </c>
      <c r="HF4" s="21" t="s">
        <v>161</v>
      </c>
      <c r="HG4" s="21" t="s">
        <v>161</v>
      </c>
      <c r="HH4" s="21" t="s">
        <v>232</v>
      </c>
      <c r="HI4" s="51" t="b">
        <v>0</v>
      </c>
      <c r="HJ4" s="21" t="s">
        <v>161</v>
      </c>
      <c r="HK4" s="21" t="str">
        <f t="shared" si="15"/>
        <v>Trần Phương MB</v>
      </c>
      <c r="HL4" s="21">
        <f t="shared" si="16"/>
        <v>2</v>
      </c>
      <c r="HM4" s="51" t="b">
        <v>0</v>
      </c>
      <c r="HN4" s="21" t="s">
        <v>162</v>
      </c>
      <c r="HO4" s="21" t="s">
        <v>161</v>
      </c>
      <c r="HP4" s="21" t="s">
        <v>161</v>
      </c>
      <c r="HQ4" s="21" t="s">
        <v>232</v>
      </c>
      <c r="HR4" s="51" t="b">
        <v>0</v>
      </c>
      <c r="HS4" s="21" t="s">
        <v>161</v>
      </c>
      <c r="HT4" s="21" t="str">
        <f t="shared" si="17"/>
        <v>Trần Phương MB</v>
      </c>
      <c r="HU4" s="21">
        <f t="shared" si="18"/>
        <v>2</v>
      </c>
      <c r="HV4" s="51" t="b">
        <v>0</v>
      </c>
      <c r="HW4" s="21" t="s">
        <v>162</v>
      </c>
      <c r="HX4" s="21" t="s">
        <v>161</v>
      </c>
      <c r="HY4" s="21" t="s">
        <v>161</v>
      </c>
      <c r="HZ4" s="21" t="s">
        <v>232</v>
      </c>
      <c r="IA4" s="51" t="b">
        <v>0</v>
      </c>
    </row>
    <row r="5" s="28" customFormat="1" ht="70" customHeight="1" spans="1:235">
      <c r="A5" s="7" t="s">
        <v>521</v>
      </c>
      <c r="B5" s="92" t="s">
        <v>522</v>
      </c>
      <c r="C5" s="82" t="s">
        <v>29</v>
      </c>
      <c r="D5" s="17" t="s">
        <v>511</v>
      </c>
      <c r="E5" s="7" t="s">
        <v>146</v>
      </c>
      <c r="F5" s="4" t="s">
        <v>31</v>
      </c>
      <c r="G5" s="4" t="s">
        <v>32</v>
      </c>
      <c r="H5" s="7" t="s">
        <v>147</v>
      </c>
      <c r="I5" s="7" t="s">
        <v>235</v>
      </c>
      <c r="J5" s="7"/>
      <c r="K5" s="7" t="s">
        <v>149</v>
      </c>
      <c r="L5" s="7"/>
      <c r="M5" s="94"/>
      <c r="N5" s="94"/>
      <c r="O5" s="7"/>
      <c r="P5" s="7"/>
      <c r="Q5" s="7"/>
      <c r="R5" s="7"/>
      <c r="S5" s="7"/>
      <c r="T5" s="7"/>
      <c r="U5" s="7"/>
      <c r="V5" s="7"/>
      <c r="W5" s="7" t="s">
        <v>150</v>
      </c>
      <c r="X5" s="7" t="s">
        <v>151</v>
      </c>
      <c r="Y5" s="7" t="s">
        <v>150</v>
      </c>
      <c r="Z5" s="7" t="s">
        <v>151</v>
      </c>
      <c r="AA5" s="7" t="s">
        <v>151</v>
      </c>
      <c r="AB5" s="7"/>
      <c r="AC5" s="7" t="s">
        <v>512</v>
      </c>
      <c r="AD5" s="7" t="s">
        <v>146</v>
      </c>
      <c r="AE5" s="7" t="s">
        <v>236</v>
      </c>
      <c r="AF5" s="7"/>
      <c r="AG5" s="7"/>
      <c r="AH5" s="7" t="s">
        <v>154</v>
      </c>
      <c r="AI5" s="7" t="s">
        <v>513</v>
      </c>
      <c r="AJ5" s="83" t="s">
        <v>156</v>
      </c>
      <c r="AK5" s="98">
        <f t="shared" si="26"/>
        <v>0.766666666666667</v>
      </c>
      <c r="AL5" s="97">
        <f t="shared" si="27"/>
        <v>0.866666666666667</v>
      </c>
      <c r="AM5" s="83">
        <v>0</v>
      </c>
      <c r="AN5" s="7"/>
      <c r="AO5" s="7" t="s">
        <v>158</v>
      </c>
      <c r="AP5" s="7" t="s">
        <v>159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{{CTX:USER_NAME}}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94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512</v>
      </c>
      <c r="BZ5" s="7" t="s">
        <v>146</v>
      </c>
      <c r="CA5" s="7" t="s">
        <v>236</v>
      </c>
      <c r="CB5" s="7"/>
      <c r="CC5" s="7"/>
      <c r="CD5" s="7" t="s">
        <v>154</v>
      </c>
      <c r="CE5" s="7" t="s">
        <v>513</v>
      </c>
      <c r="CF5" s="83" t="s">
        <v>156</v>
      </c>
      <c r="CG5" s="98">
        <f t="shared" si="20"/>
        <v>0.766666666666667</v>
      </c>
      <c r="CH5" s="97">
        <f t="shared" si="21"/>
        <v>0.866666666666667</v>
      </c>
      <c r="CI5" s="83">
        <v>1</v>
      </c>
      <c r="CJ5" s="7"/>
      <c r="CK5" s="7" t="s">
        <v>158</v>
      </c>
      <c r="CL5" s="7" t="s">
        <v>159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146</v>
      </c>
      <c r="CX5" s="7" t="s">
        <v>514</v>
      </c>
      <c r="CY5" s="7" t="s">
        <v>515</v>
      </c>
      <c r="CZ5" s="7" t="s">
        <v>147</v>
      </c>
      <c r="DA5" s="7" t="s">
        <v>235</v>
      </c>
      <c r="DB5" s="7"/>
      <c r="DC5" s="7" t="s">
        <v>149</v>
      </c>
      <c r="DD5" s="7"/>
      <c r="DE5" s="94"/>
      <c r="DF5" s="94"/>
      <c r="DG5" s="7"/>
      <c r="DH5" s="7"/>
      <c r="DI5" s="7"/>
      <c r="DJ5" s="7"/>
      <c r="DK5" s="7"/>
      <c r="DL5" s="7"/>
      <c r="DM5" s="7"/>
      <c r="DN5" s="7"/>
      <c r="DO5" s="7" t="s">
        <v>150</v>
      </c>
      <c r="DP5" s="7" t="s">
        <v>151</v>
      </c>
      <c r="DQ5" s="7" t="s">
        <v>150</v>
      </c>
      <c r="DR5" s="7" t="s">
        <v>151</v>
      </c>
      <c r="DS5" s="7" t="s">
        <v>151</v>
      </c>
      <c r="DT5" s="7"/>
      <c r="DU5" s="7" t="s">
        <v>512</v>
      </c>
      <c r="DV5" s="7" t="s">
        <v>146</v>
      </c>
      <c r="DW5" s="7" t="s">
        <v>236</v>
      </c>
      <c r="DX5" s="7"/>
      <c r="DY5" s="7"/>
      <c r="DZ5" s="7" t="s">
        <v>154</v>
      </c>
      <c r="EA5" s="7" t="s">
        <v>513</v>
      </c>
      <c r="EB5" s="83" t="s">
        <v>156</v>
      </c>
      <c r="EC5" s="98">
        <f t="shared" si="22"/>
        <v>0.766666666666667</v>
      </c>
      <c r="ED5" s="97">
        <f t="shared" si="23"/>
        <v>0.866666666666667</v>
      </c>
      <c r="EE5" s="83">
        <v>2</v>
      </c>
      <c r="EF5" s="7"/>
      <c r="EG5" s="7" t="s">
        <v>158</v>
      </c>
      <c r="EH5" s="7" t="s">
        <v>159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146</v>
      </c>
      <c r="ET5" s="7" t="s">
        <v>514</v>
      </c>
      <c r="EU5" s="7" t="s">
        <v>515</v>
      </c>
      <c r="EV5" s="7" t="s">
        <v>147</v>
      </c>
      <c r="EW5" s="7" t="s">
        <v>235</v>
      </c>
      <c r="EX5" s="7"/>
      <c r="EY5" s="7" t="s">
        <v>149</v>
      </c>
      <c r="EZ5" s="7"/>
      <c r="FA5" s="94"/>
      <c r="FB5" s="94"/>
      <c r="FC5" s="7"/>
      <c r="FD5" s="7"/>
      <c r="FE5" s="7"/>
      <c r="FF5" s="7"/>
      <c r="FG5" s="7"/>
      <c r="FH5" s="7"/>
      <c r="FI5" s="7"/>
      <c r="FJ5" s="7"/>
      <c r="FK5" s="7" t="s">
        <v>150</v>
      </c>
      <c r="FL5" s="7" t="s">
        <v>151</v>
      </c>
      <c r="FM5" s="7" t="s">
        <v>150</v>
      </c>
      <c r="FN5" s="7" t="s">
        <v>151</v>
      </c>
      <c r="FO5" s="7" t="s">
        <v>151</v>
      </c>
      <c r="FP5" s="7"/>
      <c r="FQ5" s="7" t="s">
        <v>512</v>
      </c>
      <c r="FR5" s="7" t="s">
        <v>146</v>
      </c>
      <c r="FS5" s="7" t="s">
        <v>236</v>
      </c>
      <c r="FT5" s="7"/>
      <c r="FU5" s="7"/>
      <c r="FV5" s="7" t="s">
        <v>154</v>
      </c>
      <c r="FW5" s="7" t="s">
        <v>513</v>
      </c>
      <c r="FX5" s="83" t="s">
        <v>156</v>
      </c>
      <c r="FY5" s="98">
        <f t="shared" si="24"/>
        <v>0.766666666666667</v>
      </c>
      <c r="FZ5" s="97">
        <f t="shared" si="25"/>
        <v>0.866666666666667</v>
      </c>
      <c r="GA5" s="83">
        <v>3</v>
      </c>
      <c r="GB5" s="7"/>
      <c r="GC5" s="7" t="s">
        <v>158</v>
      </c>
      <c r="GD5" s="7" t="s">
        <v>159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89" t="s">
        <v>516</v>
      </c>
      <c r="GP5" s="21">
        <v>200</v>
      </c>
      <c r="GQ5" s="21">
        <v>4</v>
      </c>
      <c r="GR5" s="21" t="s">
        <v>161</v>
      </c>
      <c r="GS5" s="21" t="str">
        <f t="shared" si="11"/>
        <v>Khách None Golf</v>
      </c>
      <c r="GT5" s="21">
        <f t="shared" si="12"/>
        <v>7</v>
      </c>
      <c r="GU5" s="51" t="b">
        <v>0</v>
      </c>
      <c r="GV5" s="21" t="s">
        <v>162</v>
      </c>
      <c r="GW5" s="21" t="s">
        <v>161</v>
      </c>
      <c r="GX5" s="21" t="s">
        <v>161</v>
      </c>
      <c r="GY5" s="21" t="s">
        <v>237</v>
      </c>
      <c r="GZ5" s="51" t="b">
        <v>0</v>
      </c>
      <c r="HA5" s="21" t="s">
        <v>161</v>
      </c>
      <c r="HB5" s="21" t="str">
        <f t="shared" si="13"/>
        <v>Khách None Golf</v>
      </c>
      <c r="HC5" s="21">
        <f t="shared" si="14"/>
        <v>7</v>
      </c>
      <c r="HD5" s="51" t="b">
        <v>0</v>
      </c>
      <c r="HE5" s="21" t="s">
        <v>162</v>
      </c>
      <c r="HF5" s="21" t="s">
        <v>161</v>
      </c>
      <c r="HG5" s="21" t="s">
        <v>161</v>
      </c>
      <c r="HH5" s="21" t="s">
        <v>237</v>
      </c>
      <c r="HI5" s="51" t="b">
        <v>0</v>
      </c>
      <c r="HJ5" s="21" t="s">
        <v>161</v>
      </c>
      <c r="HK5" s="21" t="str">
        <f t="shared" si="15"/>
        <v>Khách None Golf</v>
      </c>
      <c r="HL5" s="21">
        <f t="shared" si="16"/>
        <v>7</v>
      </c>
      <c r="HM5" s="51" t="b">
        <v>0</v>
      </c>
      <c r="HN5" s="21" t="s">
        <v>162</v>
      </c>
      <c r="HO5" s="21" t="s">
        <v>161</v>
      </c>
      <c r="HP5" s="21" t="s">
        <v>161</v>
      </c>
      <c r="HQ5" s="21" t="s">
        <v>237</v>
      </c>
      <c r="HR5" s="51" t="b">
        <v>0</v>
      </c>
      <c r="HS5" s="21" t="s">
        <v>161</v>
      </c>
      <c r="HT5" s="21" t="str">
        <f t="shared" si="17"/>
        <v>Khách None Golf</v>
      </c>
      <c r="HU5" s="21">
        <f t="shared" si="18"/>
        <v>7</v>
      </c>
      <c r="HV5" s="51" t="b">
        <v>0</v>
      </c>
      <c r="HW5" s="21" t="s">
        <v>162</v>
      </c>
      <c r="HX5" s="21" t="s">
        <v>161</v>
      </c>
      <c r="HY5" s="21" t="s">
        <v>161</v>
      </c>
      <c r="HZ5" s="21" t="s">
        <v>237</v>
      </c>
      <c r="IA5" s="51" t="b">
        <v>0</v>
      </c>
    </row>
    <row r="6" s="28" customFormat="1" ht="70" customHeight="1" spans="1:235">
      <c r="A6" s="7" t="s">
        <v>523</v>
      </c>
      <c r="B6" s="81" t="s">
        <v>524</v>
      </c>
      <c r="C6" s="82" t="s">
        <v>29</v>
      </c>
      <c r="D6" s="17" t="s">
        <v>525</v>
      </c>
      <c r="E6" s="7" t="s">
        <v>146</v>
      </c>
      <c r="F6" s="4" t="s">
        <v>31</v>
      </c>
      <c r="G6" s="4" t="s">
        <v>32</v>
      </c>
      <c r="H6" s="7" t="s">
        <v>147</v>
      </c>
      <c r="I6" s="7" t="s">
        <v>241</v>
      </c>
      <c r="J6" s="125" t="s">
        <v>242</v>
      </c>
      <c r="K6" s="95" t="s">
        <v>243</v>
      </c>
      <c r="L6" s="7">
        <v>378</v>
      </c>
      <c r="M6" s="94" t="s">
        <v>150</v>
      </c>
      <c r="N6" s="94" t="s">
        <v>150</v>
      </c>
      <c r="O6" s="7">
        <v>1600000</v>
      </c>
      <c r="P6" s="7">
        <v>400000</v>
      </c>
      <c r="Q6" s="7" t="s">
        <v>158</v>
      </c>
      <c r="R6" s="7" t="s">
        <v>158</v>
      </c>
      <c r="S6" s="7" t="s">
        <v>158</v>
      </c>
      <c r="T6" s="94" t="s">
        <v>244</v>
      </c>
      <c r="U6" s="7" t="s">
        <v>158</v>
      </c>
      <c r="V6" s="7" t="s">
        <v>158</v>
      </c>
      <c r="W6" s="7" t="s">
        <v>150</v>
      </c>
      <c r="X6" s="7" t="s">
        <v>151</v>
      </c>
      <c r="Y6" s="7" t="s">
        <v>150</v>
      </c>
      <c r="Z6" s="7" t="s">
        <v>151</v>
      </c>
      <c r="AA6" s="7" t="s">
        <v>151</v>
      </c>
      <c r="AB6" s="7"/>
      <c r="AC6" s="7" t="s">
        <v>512</v>
      </c>
      <c r="AD6" s="7" t="s">
        <v>146</v>
      </c>
      <c r="AE6" s="7" t="s">
        <v>245</v>
      </c>
      <c r="AF6" s="7"/>
      <c r="AG6" s="7"/>
      <c r="AH6" s="7" t="s">
        <v>154</v>
      </c>
      <c r="AI6" s="7" t="s">
        <v>513</v>
      </c>
      <c r="AJ6" s="83" t="s">
        <v>156</v>
      </c>
      <c r="AK6" s="98">
        <f t="shared" si="26"/>
        <v>0.772222222222222</v>
      </c>
      <c r="AL6" s="97">
        <f t="shared" si="27"/>
        <v>0.872222222222222</v>
      </c>
      <c r="AM6" s="83">
        <v>0</v>
      </c>
      <c r="AN6" s="7"/>
      <c r="AO6" s="7" t="s">
        <v>158</v>
      </c>
      <c r="AP6" s="7" t="s">
        <v>159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{{CTX:USER_NAME}}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25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94" t="s">
        <v>150</v>
      </c>
      <c r="BK6" s="7">
        <v>1600000</v>
      </c>
      <c r="BL6" s="7">
        <v>400000</v>
      </c>
      <c r="BM6" s="7" t="s">
        <v>158</v>
      </c>
      <c r="BN6" s="7" t="s">
        <v>158</v>
      </c>
      <c r="BO6" s="7" t="s">
        <v>158</v>
      </c>
      <c r="BP6" s="94" t="s">
        <v>244</v>
      </c>
      <c r="BQ6" s="7" t="s">
        <v>158</v>
      </c>
      <c r="BR6" s="7" t="s">
        <v>158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512</v>
      </c>
      <c r="BZ6" s="7" t="s">
        <v>146</v>
      </c>
      <c r="CA6" s="7" t="s">
        <v>245</v>
      </c>
      <c r="CB6" s="7"/>
      <c r="CC6" s="7"/>
      <c r="CD6" s="7" t="s">
        <v>154</v>
      </c>
      <c r="CE6" s="7" t="s">
        <v>513</v>
      </c>
      <c r="CF6" s="83" t="s">
        <v>156</v>
      </c>
      <c r="CG6" s="98">
        <f t="shared" si="20"/>
        <v>0.772222222222222</v>
      </c>
      <c r="CH6" s="97">
        <f t="shared" si="21"/>
        <v>0.872222222222222</v>
      </c>
      <c r="CI6" s="83">
        <v>1</v>
      </c>
      <c r="CJ6" s="7"/>
      <c r="CK6" s="7" t="s">
        <v>158</v>
      </c>
      <c r="CL6" s="7" t="s">
        <v>159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146</v>
      </c>
      <c r="CX6" s="7" t="s">
        <v>514</v>
      </c>
      <c r="CY6" s="7" t="s">
        <v>515</v>
      </c>
      <c r="CZ6" s="7" t="s">
        <v>147</v>
      </c>
      <c r="DA6" s="7" t="s">
        <v>241</v>
      </c>
      <c r="DB6" s="125" t="s">
        <v>242</v>
      </c>
      <c r="DC6" s="95" t="s">
        <v>243</v>
      </c>
      <c r="DD6" s="7">
        <v>378</v>
      </c>
      <c r="DE6" s="94" t="s">
        <v>150</v>
      </c>
      <c r="DF6" s="94" t="s">
        <v>150</v>
      </c>
      <c r="DG6" s="7">
        <v>1600000</v>
      </c>
      <c r="DH6" s="7">
        <v>400000</v>
      </c>
      <c r="DI6" s="7" t="s">
        <v>158</v>
      </c>
      <c r="DJ6" s="7" t="s">
        <v>158</v>
      </c>
      <c r="DK6" s="7" t="s">
        <v>158</v>
      </c>
      <c r="DL6" s="94" t="s">
        <v>244</v>
      </c>
      <c r="DM6" s="7" t="s">
        <v>158</v>
      </c>
      <c r="DN6" s="7" t="s">
        <v>158</v>
      </c>
      <c r="DO6" s="7" t="s">
        <v>150</v>
      </c>
      <c r="DP6" s="7" t="s">
        <v>151</v>
      </c>
      <c r="DQ6" s="7" t="s">
        <v>150</v>
      </c>
      <c r="DR6" s="7" t="s">
        <v>151</v>
      </c>
      <c r="DS6" s="7" t="s">
        <v>151</v>
      </c>
      <c r="DT6" s="7"/>
      <c r="DU6" s="7" t="s">
        <v>512</v>
      </c>
      <c r="DV6" s="7" t="s">
        <v>146</v>
      </c>
      <c r="DW6" s="7" t="s">
        <v>245</v>
      </c>
      <c r="DX6" s="7"/>
      <c r="DY6" s="7"/>
      <c r="DZ6" s="7" t="s">
        <v>154</v>
      </c>
      <c r="EA6" s="7" t="s">
        <v>513</v>
      </c>
      <c r="EB6" s="83" t="s">
        <v>156</v>
      </c>
      <c r="EC6" s="98">
        <f t="shared" si="22"/>
        <v>0.772222222222222</v>
      </c>
      <c r="ED6" s="97">
        <f t="shared" si="23"/>
        <v>0.872222222222222</v>
      </c>
      <c r="EE6" s="83">
        <v>2</v>
      </c>
      <c r="EF6" s="7"/>
      <c r="EG6" s="7" t="s">
        <v>158</v>
      </c>
      <c r="EH6" s="7" t="s">
        <v>159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146</v>
      </c>
      <c r="ET6" s="7" t="s">
        <v>514</v>
      </c>
      <c r="EU6" s="7" t="s">
        <v>515</v>
      </c>
      <c r="EV6" s="7" t="s">
        <v>147</v>
      </c>
      <c r="EW6" s="7" t="s">
        <v>241</v>
      </c>
      <c r="EX6" s="125" t="s">
        <v>242</v>
      </c>
      <c r="EY6" s="95" t="s">
        <v>243</v>
      </c>
      <c r="EZ6" s="7">
        <v>378</v>
      </c>
      <c r="FA6" s="94" t="s">
        <v>150</v>
      </c>
      <c r="FB6" s="94" t="s">
        <v>150</v>
      </c>
      <c r="FC6" s="7">
        <v>1600000</v>
      </c>
      <c r="FD6" s="7">
        <v>400000</v>
      </c>
      <c r="FE6" s="7" t="s">
        <v>158</v>
      </c>
      <c r="FF6" s="7" t="s">
        <v>158</v>
      </c>
      <c r="FG6" s="7" t="s">
        <v>158</v>
      </c>
      <c r="FH6" s="94" t="s">
        <v>244</v>
      </c>
      <c r="FI6" s="7" t="s">
        <v>158</v>
      </c>
      <c r="FJ6" s="7" t="s">
        <v>158</v>
      </c>
      <c r="FK6" s="7" t="s">
        <v>150</v>
      </c>
      <c r="FL6" s="7" t="s">
        <v>151</v>
      </c>
      <c r="FM6" s="7" t="s">
        <v>150</v>
      </c>
      <c r="FN6" s="7" t="s">
        <v>151</v>
      </c>
      <c r="FO6" s="7" t="s">
        <v>151</v>
      </c>
      <c r="FP6" s="7"/>
      <c r="FQ6" s="7" t="s">
        <v>512</v>
      </c>
      <c r="FR6" s="7" t="s">
        <v>146</v>
      </c>
      <c r="FS6" s="7" t="s">
        <v>245</v>
      </c>
      <c r="FT6" s="7"/>
      <c r="FU6" s="7"/>
      <c r="FV6" s="7" t="s">
        <v>154</v>
      </c>
      <c r="FW6" s="7" t="s">
        <v>513</v>
      </c>
      <c r="FX6" s="83" t="s">
        <v>156</v>
      </c>
      <c r="FY6" s="98">
        <f t="shared" si="24"/>
        <v>0.772222222222222</v>
      </c>
      <c r="FZ6" s="97">
        <f t="shared" si="25"/>
        <v>0.872222222222222</v>
      </c>
      <c r="GA6" s="83">
        <v>3</v>
      </c>
      <c r="GB6" s="7"/>
      <c r="GC6" s="7" t="s">
        <v>158</v>
      </c>
      <c r="GD6" s="7" t="s">
        <v>159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89" t="s">
        <v>516</v>
      </c>
      <c r="GP6" s="21">
        <v>200</v>
      </c>
      <c r="GQ6" s="21">
        <v>4</v>
      </c>
      <c r="GR6" s="21" t="s">
        <v>161</v>
      </c>
      <c r="GS6" s="21" t="str">
        <f t="shared" si="11"/>
        <v>VNPAY</v>
      </c>
      <c r="GT6" s="21" t="str">
        <f t="shared" si="12"/>
        <v>5D</v>
      </c>
      <c r="GU6" s="51" t="b">
        <v>0</v>
      </c>
      <c r="GV6" s="21" t="s">
        <v>162</v>
      </c>
      <c r="GW6" s="21" t="s">
        <v>161</v>
      </c>
      <c r="GX6" s="21" t="s">
        <v>161</v>
      </c>
      <c r="GY6" s="21" t="s">
        <v>246</v>
      </c>
      <c r="GZ6" s="51" t="b">
        <v>0</v>
      </c>
      <c r="HA6" s="21" t="s">
        <v>161</v>
      </c>
      <c r="HB6" s="21" t="str">
        <f t="shared" si="13"/>
        <v>VNPAY</v>
      </c>
      <c r="HC6" s="21" t="str">
        <f t="shared" si="14"/>
        <v>5D</v>
      </c>
      <c r="HD6" s="51" t="b">
        <v>0</v>
      </c>
      <c r="HE6" s="21" t="s">
        <v>162</v>
      </c>
      <c r="HF6" s="21" t="s">
        <v>161</v>
      </c>
      <c r="HG6" s="21" t="s">
        <v>161</v>
      </c>
      <c r="HH6" s="21" t="s">
        <v>246</v>
      </c>
      <c r="HI6" s="51" t="b">
        <v>0</v>
      </c>
      <c r="HJ6" s="21" t="s">
        <v>161</v>
      </c>
      <c r="HK6" s="21" t="str">
        <f t="shared" si="15"/>
        <v>VNPAY</v>
      </c>
      <c r="HL6" s="21" t="str">
        <f t="shared" si="16"/>
        <v>5D</v>
      </c>
      <c r="HM6" s="51" t="b">
        <v>0</v>
      </c>
      <c r="HN6" s="21" t="s">
        <v>162</v>
      </c>
      <c r="HO6" s="21" t="s">
        <v>161</v>
      </c>
      <c r="HP6" s="21" t="s">
        <v>161</v>
      </c>
      <c r="HQ6" s="21" t="s">
        <v>246</v>
      </c>
      <c r="HR6" s="51" t="b">
        <v>0</v>
      </c>
      <c r="HS6" s="21" t="s">
        <v>161</v>
      </c>
      <c r="HT6" s="21" t="str">
        <f t="shared" si="17"/>
        <v>VNPAY</v>
      </c>
      <c r="HU6" s="21" t="str">
        <f t="shared" si="18"/>
        <v>5D</v>
      </c>
      <c r="HV6" s="51" t="b">
        <v>0</v>
      </c>
      <c r="HW6" s="21" t="s">
        <v>162</v>
      </c>
      <c r="HX6" s="21" t="s">
        <v>161</v>
      </c>
      <c r="HY6" s="21" t="s">
        <v>161</v>
      </c>
      <c r="HZ6" s="21" t="s">
        <v>246</v>
      </c>
      <c r="IA6" s="51" t="b">
        <v>0</v>
      </c>
    </row>
    <row r="7" s="28" customFormat="1" ht="69" customHeight="1" spans="1:235">
      <c r="A7" s="7" t="s">
        <v>526</v>
      </c>
      <c r="B7" s="7" t="s">
        <v>527</v>
      </c>
      <c r="C7" s="82" t="s">
        <v>29</v>
      </c>
      <c r="D7" s="17" t="s">
        <v>511</v>
      </c>
      <c r="E7" s="7" t="s">
        <v>146</v>
      </c>
      <c r="F7" s="4" t="s">
        <v>31</v>
      </c>
      <c r="G7" s="4" t="s">
        <v>32</v>
      </c>
      <c r="H7" s="7" t="s">
        <v>147</v>
      </c>
      <c r="I7" s="7" t="s">
        <v>148</v>
      </c>
      <c r="J7" s="7"/>
      <c r="K7" s="7" t="s">
        <v>149</v>
      </c>
      <c r="L7" s="7"/>
      <c r="M7" s="94"/>
      <c r="N7" s="94"/>
      <c r="O7" s="7"/>
      <c r="P7" s="7"/>
      <c r="Q7" s="7"/>
      <c r="R7" s="7"/>
      <c r="S7" s="7"/>
      <c r="T7" s="94"/>
      <c r="U7" s="7"/>
      <c r="V7" s="94"/>
      <c r="W7" s="7" t="s">
        <v>150</v>
      </c>
      <c r="X7" s="7" t="s">
        <v>151</v>
      </c>
      <c r="Y7" s="7" t="s">
        <v>150</v>
      </c>
      <c r="Z7" s="7" t="s">
        <v>151</v>
      </c>
      <c r="AA7" s="7" t="s">
        <v>151</v>
      </c>
      <c r="AB7" s="7"/>
      <c r="AC7" s="7" t="s">
        <v>512</v>
      </c>
      <c r="AD7" s="7" t="s">
        <v>146</v>
      </c>
      <c r="AE7" s="7" t="s">
        <v>165</v>
      </c>
      <c r="AF7" s="125" t="s">
        <v>51</v>
      </c>
      <c r="AG7" s="125" t="s">
        <v>51</v>
      </c>
      <c r="AH7" s="7" t="s">
        <v>154</v>
      </c>
      <c r="AI7" s="7" t="s">
        <v>513</v>
      </c>
      <c r="AJ7" s="83" t="s">
        <v>156</v>
      </c>
      <c r="AK7" s="98">
        <f t="shared" si="26"/>
        <v>0.777777777777778</v>
      </c>
      <c r="AL7" s="97">
        <f t="shared" si="27"/>
        <v>0.877777777777778</v>
      </c>
      <c r="AM7" s="83">
        <v>0</v>
      </c>
      <c r="AN7" s="7"/>
      <c r="AO7" s="7" t="s">
        <v>158</v>
      </c>
      <c r="AP7" s="7" t="s">
        <v>159</v>
      </c>
      <c r="AQ7" s="7" t="s">
        <v>34</v>
      </c>
      <c r="AR7" s="7" t="s">
        <v>147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{{CTX:USER_NAME}}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94"/>
      <c r="BK7" s="7"/>
      <c r="BL7" s="7"/>
      <c r="BM7" s="7"/>
      <c r="BN7" s="7"/>
      <c r="BO7" s="7"/>
      <c r="BP7" s="94"/>
      <c r="BQ7" s="7"/>
      <c r="BR7" s="94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512</v>
      </c>
      <c r="BZ7" s="7" t="s">
        <v>146</v>
      </c>
      <c r="CA7" s="7" t="s">
        <v>165</v>
      </c>
      <c r="CB7" s="7"/>
      <c r="CC7" s="7"/>
      <c r="CD7" s="7" t="s">
        <v>154</v>
      </c>
      <c r="CE7" s="7" t="s">
        <v>513</v>
      </c>
      <c r="CF7" s="83" t="s">
        <v>156</v>
      </c>
      <c r="CG7" s="98">
        <f t="shared" si="20"/>
        <v>0.777777777777778</v>
      </c>
      <c r="CH7" s="97">
        <f t="shared" si="21"/>
        <v>0.877777777777778</v>
      </c>
      <c r="CI7" s="83">
        <v>1</v>
      </c>
      <c r="CJ7" s="7"/>
      <c r="CK7" s="7" t="s">
        <v>158</v>
      </c>
      <c r="CL7" s="7" t="s">
        <v>159</v>
      </c>
      <c r="CM7" s="7" t="s">
        <v>34</v>
      </c>
      <c r="CN7" s="7" t="s">
        <v>147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146</v>
      </c>
      <c r="CX7" s="7" t="s">
        <v>514</v>
      </c>
      <c r="CY7" s="7" t="s">
        <v>515</v>
      </c>
      <c r="CZ7" s="7" t="s">
        <v>147</v>
      </c>
      <c r="DA7" s="7" t="s">
        <v>148</v>
      </c>
      <c r="DB7" s="7"/>
      <c r="DC7" s="7" t="s">
        <v>149</v>
      </c>
      <c r="DD7" s="7"/>
      <c r="DE7" s="94"/>
      <c r="DF7" s="94"/>
      <c r="DG7" s="7"/>
      <c r="DH7" s="7"/>
      <c r="DI7" s="7"/>
      <c r="DJ7" s="7"/>
      <c r="DK7" s="7"/>
      <c r="DL7" s="94"/>
      <c r="DM7" s="7"/>
      <c r="DN7" s="94"/>
      <c r="DO7" s="7" t="s">
        <v>150</v>
      </c>
      <c r="DP7" s="7" t="s">
        <v>151</v>
      </c>
      <c r="DQ7" s="7" t="s">
        <v>150</v>
      </c>
      <c r="DR7" s="7" t="s">
        <v>151</v>
      </c>
      <c r="DS7" s="7" t="s">
        <v>151</v>
      </c>
      <c r="DT7" s="7"/>
      <c r="DU7" s="7" t="s">
        <v>512</v>
      </c>
      <c r="DV7" s="7" t="s">
        <v>146</v>
      </c>
      <c r="DW7" s="7" t="s">
        <v>165</v>
      </c>
      <c r="DX7" s="7"/>
      <c r="DY7" s="7"/>
      <c r="DZ7" s="7" t="s">
        <v>154</v>
      </c>
      <c r="EA7" s="7" t="s">
        <v>513</v>
      </c>
      <c r="EB7" s="83" t="s">
        <v>156</v>
      </c>
      <c r="EC7" s="98">
        <f t="shared" si="22"/>
        <v>0.777777777777778</v>
      </c>
      <c r="ED7" s="97">
        <f t="shared" si="23"/>
        <v>0.877777777777778</v>
      </c>
      <c r="EE7" s="83">
        <v>2</v>
      </c>
      <c r="EF7" s="7"/>
      <c r="EG7" s="7" t="s">
        <v>158</v>
      </c>
      <c r="EH7" s="7" t="s">
        <v>159</v>
      </c>
      <c r="EI7" s="7" t="s">
        <v>34</v>
      </c>
      <c r="EJ7" s="7" t="s">
        <v>147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146</v>
      </c>
      <c r="ET7" s="7" t="s">
        <v>514</v>
      </c>
      <c r="EU7" s="7" t="s">
        <v>515</v>
      </c>
      <c r="EV7" s="7" t="s">
        <v>147</v>
      </c>
      <c r="EW7" s="7" t="s">
        <v>148</v>
      </c>
      <c r="EX7" s="7"/>
      <c r="EY7" s="7" t="s">
        <v>149</v>
      </c>
      <c r="EZ7" s="7"/>
      <c r="FA7" s="94"/>
      <c r="FB7" s="94"/>
      <c r="FC7" s="7"/>
      <c r="FD7" s="7"/>
      <c r="FE7" s="7"/>
      <c r="FF7" s="7"/>
      <c r="FG7" s="7"/>
      <c r="FH7" s="94"/>
      <c r="FI7" s="7"/>
      <c r="FJ7" s="94"/>
      <c r="FK7" s="7" t="s">
        <v>150</v>
      </c>
      <c r="FL7" s="7" t="s">
        <v>151</v>
      </c>
      <c r="FM7" s="7" t="s">
        <v>150</v>
      </c>
      <c r="FN7" s="7" t="s">
        <v>151</v>
      </c>
      <c r="FO7" s="7" t="s">
        <v>151</v>
      </c>
      <c r="FP7" s="7"/>
      <c r="FQ7" s="7" t="s">
        <v>512</v>
      </c>
      <c r="FR7" s="7" t="s">
        <v>146</v>
      </c>
      <c r="FS7" s="7" t="s">
        <v>165</v>
      </c>
      <c r="FT7" s="7"/>
      <c r="FU7" s="7"/>
      <c r="FV7" s="7" t="s">
        <v>154</v>
      </c>
      <c r="FW7" s="7" t="s">
        <v>513</v>
      </c>
      <c r="FX7" s="83" t="s">
        <v>156</v>
      </c>
      <c r="FY7" s="98">
        <f t="shared" si="24"/>
        <v>0.777777777777778</v>
      </c>
      <c r="FZ7" s="97">
        <f t="shared" si="25"/>
        <v>0.877777777777778</v>
      </c>
      <c r="GA7" s="83">
        <v>3</v>
      </c>
      <c r="GB7" s="7"/>
      <c r="GC7" s="7" t="s">
        <v>158</v>
      </c>
      <c r="GD7" s="7" t="s">
        <v>159</v>
      </c>
      <c r="GE7" s="7" t="s">
        <v>34</v>
      </c>
      <c r="GF7" s="7" t="s">
        <v>147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89" t="s">
        <v>516</v>
      </c>
      <c r="GP7" s="21">
        <v>200</v>
      </c>
      <c r="GQ7" s="21">
        <v>4</v>
      </c>
      <c r="GR7" s="21" t="s">
        <v>161</v>
      </c>
      <c r="GS7" s="21" t="str">
        <f t="shared" si="11"/>
        <v>PhuongTT</v>
      </c>
      <c r="GT7" s="21" t="str">
        <f t="shared" si="12"/>
        <v>4D</v>
      </c>
      <c r="GU7" s="51" t="b">
        <v>0</v>
      </c>
      <c r="GV7" s="21" t="s">
        <v>162</v>
      </c>
      <c r="GW7" s="21" t="s">
        <v>161</v>
      </c>
      <c r="GX7" s="21" t="s">
        <v>161</v>
      </c>
      <c r="GY7" s="21" t="s">
        <v>163</v>
      </c>
      <c r="GZ7" s="51" t="b">
        <v>1</v>
      </c>
      <c r="HA7" s="21" t="s">
        <v>161</v>
      </c>
      <c r="HB7" s="21" t="str">
        <f t="shared" si="13"/>
        <v>PhuongTT</v>
      </c>
      <c r="HC7" s="21" t="str">
        <f t="shared" si="14"/>
        <v>4D</v>
      </c>
      <c r="HD7" s="51" t="b">
        <v>0</v>
      </c>
      <c r="HE7" s="21" t="s">
        <v>162</v>
      </c>
      <c r="HF7" s="21" t="s">
        <v>161</v>
      </c>
      <c r="HG7" s="21" t="s">
        <v>161</v>
      </c>
      <c r="HH7" s="21" t="s">
        <v>163</v>
      </c>
      <c r="HI7" s="51" t="b">
        <v>0</v>
      </c>
      <c r="HJ7" s="21" t="s">
        <v>161</v>
      </c>
      <c r="HK7" s="21" t="str">
        <f t="shared" si="15"/>
        <v>PhuongTT</v>
      </c>
      <c r="HL7" s="21" t="str">
        <f t="shared" si="16"/>
        <v>4D</v>
      </c>
      <c r="HM7" s="51" t="b">
        <v>0</v>
      </c>
      <c r="HN7" s="21" t="s">
        <v>162</v>
      </c>
      <c r="HO7" s="21" t="s">
        <v>161</v>
      </c>
      <c r="HP7" s="21" t="s">
        <v>161</v>
      </c>
      <c r="HQ7" s="21" t="s">
        <v>163</v>
      </c>
      <c r="HR7" s="51" t="b">
        <v>0</v>
      </c>
      <c r="HS7" s="21" t="s">
        <v>161</v>
      </c>
      <c r="HT7" s="21" t="str">
        <f t="shared" si="17"/>
        <v>PhuongTT</v>
      </c>
      <c r="HU7" s="21" t="str">
        <f t="shared" si="18"/>
        <v>4D</v>
      </c>
      <c r="HV7" s="51" t="b">
        <v>0</v>
      </c>
      <c r="HW7" s="21" t="s">
        <v>162</v>
      </c>
      <c r="HX7" s="21" t="s">
        <v>161</v>
      </c>
      <c r="HY7" s="21" t="s">
        <v>161</v>
      </c>
      <c r="HZ7" s="21" t="s">
        <v>163</v>
      </c>
      <c r="IA7" s="51" t="b">
        <v>0</v>
      </c>
    </row>
    <row r="8" s="28" customFormat="1" ht="69" customHeight="1" spans="1:235">
      <c r="A8" s="7" t="s">
        <v>528</v>
      </c>
      <c r="B8" s="7" t="s">
        <v>529</v>
      </c>
      <c r="C8" s="82" t="s">
        <v>29</v>
      </c>
      <c r="D8" s="17" t="s">
        <v>511</v>
      </c>
      <c r="E8" s="7" t="s">
        <v>146</v>
      </c>
      <c r="F8" s="4" t="s">
        <v>31</v>
      </c>
      <c r="G8" s="4" t="s">
        <v>32</v>
      </c>
      <c r="H8" s="7" t="s">
        <v>147</v>
      </c>
      <c r="I8" s="7" t="s">
        <v>225</v>
      </c>
      <c r="J8" s="7"/>
      <c r="K8" s="7" t="s">
        <v>149</v>
      </c>
      <c r="L8" s="7"/>
      <c r="M8" s="94"/>
      <c r="N8" s="94"/>
      <c r="O8" s="7"/>
      <c r="P8" s="7"/>
      <c r="Q8" s="7"/>
      <c r="R8" s="7"/>
      <c r="S8" s="7"/>
      <c r="T8" s="94"/>
      <c r="U8" s="7"/>
      <c r="V8" s="94"/>
      <c r="W8" s="7" t="s">
        <v>150</v>
      </c>
      <c r="X8" s="7" t="s">
        <v>151</v>
      </c>
      <c r="Y8" s="7" t="s">
        <v>150</v>
      </c>
      <c r="Z8" s="7" t="s">
        <v>151</v>
      </c>
      <c r="AA8" s="7" t="s">
        <v>151</v>
      </c>
      <c r="AB8" s="7"/>
      <c r="AC8" s="7" t="s">
        <v>512</v>
      </c>
      <c r="AD8" s="7" t="s">
        <v>146</v>
      </c>
      <c r="AE8" s="7" t="s">
        <v>225</v>
      </c>
      <c r="AF8" s="125" t="s">
        <v>54</v>
      </c>
      <c r="AG8" s="125" t="s">
        <v>54</v>
      </c>
      <c r="AH8" s="7" t="s">
        <v>154</v>
      </c>
      <c r="AI8" s="7" t="s">
        <v>513</v>
      </c>
      <c r="AJ8" s="83" t="s">
        <v>156</v>
      </c>
      <c r="AK8" s="98">
        <f t="shared" si="26"/>
        <v>0.783333333333333</v>
      </c>
      <c r="AL8" s="97">
        <f t="shared" si="27"/>
        <v>0.883333333333333</v>
      </c>
      <c r="AM8" s="83">
        <v>0</v>
      </c>
      <c r="AN8" s="7"/>
      <c r="AO8" s="7" t="s">
        <v>158</v>
      </c>
      <c r="AP8" s="7" t="s">
        <v>159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226</v>
      </c>
      <c r="AW8" s="7" t="s">
        <v>227</v>
      </c>
      <c r="AX8" s="7" t="s">
        <v>226</v>
      </c>
      <c r="AY8" s="7" t="s">
        <v>226</v>
      </c>
      <c r="AZ8" s="7" t="s">
        <v>36</v>
      </c>
      <c r="BA8" s="7" t="str">
        <f t="shared" si="0"/>
        <v>{{CTX:USER_NAME}}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94"/>
      <c r="BK8" s="7"/>
      <c r="BL8" s="7"/>
      <c r="BM8" s="7"/>
      <c r="BN8" s="7"/>
      <c r="BO8" s="7"/>
      <c r="BP8" s="94"/>
      <c r="BQ8" s="7"/>
      <c r="BR8" s="94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512</v>
      </c>
      <c r="BZ8" s="7" t="s">
        <v>146</v>
      </c>
      <c r="CA8" s="7" t="s">
        <v>225</v>
      </c>
      <c r="CB8" s="7"/>
      <c r="CC8" s="7"/>
      <c r="CD8" s="7" t="s">
        <v>154</v>
      </c>
      <c r="CE8" s="7" t="s">
        <v>513</v>
      </c>
      <c r="CF8" s="83" t="s">
        <v>156</v>
      </c>
      <c r="CG8" s="98">
        <f t="shared" si="20"/>
        <v>0.783333333333333</v>
      </c>
      <c r="CH8" s="97">
        <f t="shared" si="21"/>
        <v>0.883333333333333</v>
      </c>
      <c r="CI8" s="83">
        <v>1</v>
      </c>
      <c r="CJ8" s="7"/>
      <c r="CK8" s="7" t="s">
        <v>158</v>
      </c>
      <c r="CL8" s="7" t="s">
        <v>159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226</v>
      </c>
      <c r="CS8" s="7" t="s">
        <v>227</v>
      </c>
      <c r="CT8" s="7" t="s">
        <v>226</v>
      </c>
      <c r="CU8" s="7" t="s">
        <v>226</v>
      </c>
      <c r="CV8" s="7" t="s">
        <v>36</v>
      </c>
      <c r="CW8" s="7" t="s">
        <v>146</v>
      </c>
      <c r="CX8" s="7" t="s">
        <v>514</v>
      </c>
      <c r="CY8" s="7" t="s">
        <v>515</v>
      </c>
      <c r="CZ8" s="7" t="s">
        <v>147</v>
      </c>
      <c r="DA8" s="7" t="s">
        <v>225</v>
      </c>
      <c r="DB8" s="7"/>
      <c r="DC8" s="7" t="s">
        <v>149</v>
      </c>
      <c r="DD8" s="7"/>
      <c r="DE8" s="94"/>
      <c r="DF8" s="94"/>
      <c r="DG8" s="7"/>
      <c r="DH8" s="7"/>
      <c r="DI8" s="7"/>
      <c r="DJ8" s="7"/>
      <c r="DK8" s="7"/>
      <c r="DL8" s="94"/>
      <c r="DM8" s="7"/>
      <c r="DN8" s="94"/>
      <c r="DO8" s="7" t="s">
        <v>150</v>
      </c>
      <c r="DP8" s="7" t="s">
        <v>151</v>
      </c>
      <c r="DQ8" s="7" t="s">
        <v>150</v>
      </c>
      <c r="DR8" s="7" t="s">
        <v>151</v>
      </c>
      <c r="DS8" s="7" t="s">
        <v>151</v>
      </c>
      <c r="DT8" s="7"/>
      <c r="DU8" s="7" t="s">
        <v>512</v>
      </c>
      <c r="DV8" s="7" t="s">
        <v>146</v>
      </c>
      <c r="DW8" s="7" t="s">
        <v>225</v>
      </c>
      <c r="DX8" s="7"/>
      <c r="DY8" s="7"/>
      <c r="DZ8" s="7" t="s">
        <v>154</v>
      </c>
      <c r="EA8" s="7" t="s">
        <v>513</v>
      </c>
      <c r="EB8" s="83" t="s">
        <v>156</v>
      </c>
      <c r="EC8" s="98">
        <f t="shared" si="22"/>
        <v>0.783333333333333</v>
      </c>
      <c r="ED8" s="97">
        <f t="shared" si="23"/>
        <v>0.883333333333333</v>
      </c>
      <c r="EE8" s="83">
        <v>2</v>
      </c>
      <c r="EF8" s="7"/>
      <c r="EG8" s="7" t="s">
        <v>158</v>
      </c>
      <c r="EH8" s="7" t="s">
        <v>159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226</v>
      </c>
      <c r="EO8" s="7" t="s">
        <v>227</v>
      </c>
      <c r="EP8" s="7" t="s">
        <v>226</v>
      </c>
      <c r="EQ8" s="7" t="s">
        <v>226</v>
      </c>
      <c r="ER8" s="7" t="s">
        <v>36</v>
      </c>
      <c r="ES8" s="7" t="s">
        <v>146</v>
      </c>
      <c r="ET8" s="7" t="s">
        <v>514</v>
      </c>
      <c r="EU8" s="7" t="s">
        <v>515</v>
      </c>
      <c r="EV8" s="7" t="s">
        <v>147</v>
      </c>
      <c r="EW8" s="7" t="s">
        <v>225</v>
      </c>
      <c r="EX8" s="7"/>
      <c r="EY8" s="7" t="s">
        <v>149</v>
      </c>
      <c r="EZ8" s="7"/>
      <c r="FA8" s="94"/>
      <c r="FB8" s="94"/>
      <c r="FC8" s="7"/>
      <c r="FD8" s="7"/>
      <c r="FE8" s="7"/>
      <c r="FF8" s="7"/>
      <c r="FG8" s="7"/>
      <c r="FH8" s="94"/>
      <c r="FI8" s="7"/>
      <c r="FJ8" s="94"/>
      <c r="FK8" s="7" t="s">
        <v>150</v>
      </c>
      <c r="FL8" s="7" t="s">
        <v>151</v>
      </c>
      <c r="FM8" s="7" t="s">
        <v>150</v>
      </c>
      <c r="FN8" s="7" t="s">
        <v>151</v>
      </c>
      <c r="FO8" s="7" t="s">
        <v>151</v>
      </c>
      <c r="FP8" s="7"/>
      <c r="FQ8" s="7" t="s">
        <v>512</v>
      </c>
      <c r="FR8" s="7" t="s">
        <v>146</v>
      </c>
      <c r="FS8" s="7" t="s">
        <v>225</v>
      </c>
      <c r="FT8" s="7"/>
      <c r="FU8" s="7"/>
      <c r="FV8" s="7" t="s">
        <v>154</v>
      </c>
      <c r="FW8" s="7" t="s">
        <v>513</v>
      </c>
      <c r="FX8" s="83" t="s">
        <v>156</v>
      </c>
      <c r="FY8" s="98">
        <f t="shared" si="24"/>
        <v>0.783333333333333</v>
      </c>
      <c r="FZ8" s="97">
        <f t="shared" si="25"/>
        <v>0.883333333333333</v>
      </c>
      <c r="GA8" s="83">
        <v>3</v>
      </c>
      <c r="GB8" s="7"/>
      <c r="GC8" s="7" t="s">
        <v>158</v>
      </c>
      <c r="GD8" s="7" t="s">
        <v>159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226</v>
      </c>
      <c r="GK8" s="7" t="s">
        <v>227</v>
      </c>
      <c r="GL8" s="7" t="s">
        <v>226</v>
      </c>
      <c r="GM8" s="7" t="s">
        <v>226</v>
      </c>
      <c r="GN8" s="7" t="s">
        <v>36</v>
      </c>
      <c r="GO8" s="89" t="s">
        <v>516</v>
      </c>
      <c r="GP8" s="21">
        <v>200</v>
      </c>
      <c r="GQ8" s="21">
        <v>4</v>
      </c>
      <c r="GR8" s="21" t="s">
        <v>161</v>
      </c>
      <c r="GS8" s="21" t="str">
        <f t="shared" si="11"/>
        <v>Trần Phương MB</v>
      </c>
      <c r="GT8" s="21">
        <f t="shared" si="12"/>
        <v>1</v>
      </c>
      <c r="GU8" s="51" t="b">
        <v>0</v>
      </c>
      <c r="GV8" s="21" t="s">
        <v>162</v>
      </c>
      <c r="GW8" s="21" t="s">
        <v>161</v>
      </c>
      <c r="GX8" s="21" t="s">
        <v>161</v>
      </c>
      <c r="GY8" s="21" t="s">
        <v>228</v>
      </c>
      <c r="GZ8" s="51" t="b">
        <v>1</v>
      </c>
      <c r="HA8" s="21" t="s">
        <v>161</v>
      </c>
      <c r="HB8" s="21" t="str">
        <f t="shared" si="13"/>
        <v>Trần Phương MB</v>
      </c>
      <c r="HC8" s="21">
        <f t="shared" si="14"/>
        <v>1</v>
      </c>
      <c r="HD8" s="51" t="b">
        <v>0</v>
      </c>
      <c r="HE8" s="21" t="s">
        <v>162</v>
      </c>
      <c r="HF8" s="21" t="s">
        <v>161</v>
      </c>
      <c r="HG8" s="21" t="s">
        <v>161</v>
      </c>
      <c r="HH8" s="21" t="s">
        <v>228</v>
      </c>
      <c r="HI8" s="51" t="b">
        <v>0</v>
      </c>
      <c r="HJ8" s="21" t="s">
        <v>161</v>
      </c>
      <c r="HK8" s="21" t="str">
        <f t="shared" si="15"/>
        <v>Trần Phương MB</v>
      </c>
      <c r="HL8" s="21">
        <f t="shared" si="16"/>
        <v>1</v>
      </c>
      <c r="HM8" s="51" t="b">
        <v>0</v>
      </c>
      <c r="HN8" s="21" t="s">
        <v>162</v>
      </c>
      <c r="HO8" s="21" t="s">
        <v>161</v>
      </c>
      <c r="HP8" s="21" t="s">
        <v>161</v>
      </c>
      <c r="HQ8" s="21" t="s">
        <v>228</v>
      </c>
      <c r="HR8" s="51" t="b">
        <v>0</v>
      </c>
      <c r="HS8" s="21" t="s">
        <v>161</v>
      </c>
      <c r="HT8" s="21" t="str">
        <f t="shared" si="17"/>
        <v>Trần Phương MB</v>
      </c>
      <c r="HU8" s="21">
        <f t="shared" si="18"/>
        <v>1</v>
      </c>
      <c r="HV8" s="51" t="b">
        <v>0</v>
      </c>
      <c r="HW8" s="21" t="s">
        <v>162</v>
      </c>
      <c r="HX8" s="21" t="s">
        <v>161</v>
      </c>
      <c r="HY8" s="21" t="s">
        <v>161</v>
      </c>
      <c r="HZ8" s="21" t="s">
        <v>228</v>
      </c>
      <c r="IA8" s="51" t="b">
        <v>0</v>
      </c>
    </row>
    <row r="9" s="28" customFormat="1" ht="69" customHeight="1" spans="1:235">
      <c r="A9" s="7" t="s">
        <v>530</v>
      </c>
      <c r="B9" s="7" t="s">
        <v>531</v>
      </c>
      <c r="C9" s="82" t="s">
        <v>29</v>
      </c>
      <c r="D9" s="17" t="s">
        <v>511</v>
      </c>
      <c r="E9" s="7" t="s">
        <v>146</v>
      </c>
      <c r="F9" s="4" t="s">
        <v>31</v>
      </c>
      <c r="G9" s="4" t="s">
        <v>32</v>
      </c>
      <c r="H9" s="7" t="s">
        <v>147</v>
      </c>
      <c r="I9" s="7" t="s">
        <v>225</v>
      </c>
      <c r="J9" s="7"/>
      <c r="K9" s="7" t="s">
        <v>149</v>
      </c>
      <c r="L9" s="7"/>
      <c r="M9" s="94"/>
      <c r="N9" s="94"/>
      <c r="O9" s="7"/>
      <c r="P9" s="7"/>
      <c r="Q9" s="7"/>
      <c r="R9" s="7"/>
      <c r="S9" s="7"/>
      <c r="T9" s="7"/>
      <c r="U9" s="7"/>
      <c r="V9" s="7"/>
      <c r="W9" s="7" t="s">
        <v>150</v>
      </c>
      <c r="X9" s="7" t="s">
        <v>151</v>
      </c>
      <c r="Y9" s="7" t="s">
        <v>150</v>
      </c>
      <c r="Z9" s="7" t="s">
        <v>151</v>
      </c>
      <c r="AA9" s="7" t="s">
        <v>151</v>
      </c>
      <c r="AB9" s="7"/>
      <c r="AC9" s="7" t="s">
        <v>512</v>
      </c>
      <c r="AD9" s="7" t="s">
        <v>146</v>
      </c>
      <c r="AE9" s="7" t="s">
        <v>253</v>
      </c>
      <c r="AF9" s="125" t="s">
        <v>57</v>
      </c>
      <c r="AG9" s="125" t="s">
        <v>57</v>
      </c>
      <c r="AH9" s="7" t="s">
        <v>154</v>
      </c>
      <c r="AI9" s="7" t="s">
        <v>513</v>
      </c>
      <c r="AJ9" s="83" t="s">
        <v>156</v>
      </c>
      <c r="AK9" s="98">
        <f t="shared" si="26"/>
        <v>0.788888888888889</v>
      </c>
      <c r="AL9" s="97">
        <f t="shared" si="27"/>
        <v>0.888888888888889</v>
      </c>
      <c r="AM9" s="83">
        <v>0</v>
      </c>
      <c r="AN9" s="7"/>
      <c r="AO9" s="7" t="s">
        <v>158</v>
      </c>
      <c r="AP9" s="7" t="s">
        <v>159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226</v>
      </c>
      <c r="AW9" s="7" t="s">
        <v>227</v>
      </c>
      <c r="AX9" s="7" t="s">
        <v>226</v>
      </c>
      <c r="AY9" s="7"/>
      <c r="AZ9" s="7" t="s">
        <v>36</v>
      </c>
      <c r="BA9" s="7" t="str">
        <f t="shared" si="0"/>
        <v>{{CTX:USER_NAME}}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94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512</v>
      </c>
      <c r="BZ9" s="7" t="s">
        <v>146</v>
      </c>
      <c r="CA9" s="7" t="s">
        <v>253</v>
      </c>
      <c r="CB9" s="7"/>
      <c r="CC9" s="7"/>
      <c r="CD9" s="7" t="s">
        <v>154</v>
      </c>
      <c r="CE9" s="7" t="s">
        <v>513</v>
      </c>
      <c r="CF9" s="83" t="s">
        <v>156</v>
      </c>
      <c r="CG9" s="98">
        <f t="shared" si="20"/>
        <v>0.788888888888889</v>
      </c>
      <c r="CH9" s="97">
        <f t="shared" si="21"/>
        <v>0.888888888888889</v>
      </c>
      <c r="CI9" s="83">
        <v>1</v>
      </c>
      <c r="CJ9" s="7"/>
      <c r="CK9" s="7" t="s">
        <v>158</v>
      </c>
      <c r="CL9" s="7" t="s">
        <v>159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226</v>
      </c>
      <c r="CS9" s="7" t="s">
        <v>227</v>
      </c>
      <c r="CT9" s="7" t="s">
        <v>226</v>
      </c>
      <c r="CU9" s="7"/>
      <c r="CV9" s="7" t="s">
        <v>36</v>
      </c>
      <c r="CW9" s="7" t="s">
        <v>146</v>
      </c>
      <c r="CX9" s="7" t="s">
        <v>514</v>
      </c>
      <c r="CY9" s="7" t="s">
        <v>515</v>
      </c>
      <c r="CZ9" s="7" t="s">
        <v>147</v>
      </c>
      <c r="DA9" s="7" t="s">
        <v>225</v>
      </c>
      <c r="DB9" s="7"/>
      <c r="DC9" s="7" t="s">
        <v>149</v>
      </c>
      <c r="DD9" s="7"/>
      <c r="DE9" s="94"/>
      <c r="DF9" s="94"/>
      <c r="DG9" s="7"/>
      <c r="DH9" s="7"/>
      <c r="DI9" s="7"/>
      <c r="DJ9" s="7"/>
      <c r="DK9" s="7"/>
      <c r="DL9" s="7"/>
      <c r="DM9" s="7"/>
      <c r="DN9" s="7"/>
      <c r="DO9" s="7" t="s">
        <v>150</v>
      </c>
      <c r="DP9" s="7" t="s">
        <v>151</v>
      </c>
      <c r="DQ9" s="7" t="s">
        <v>150</v>
      </c>
      <c r="DR9" s="7" t="s">
        <v>151</v>
      </c>
      <c r="DS9" s="7" t="s">
        <v>151</v>
      </c>
      <c r="DT9" s="7"/>
      <c r="DU9" s="7" t="s">
        <v>512</v>
      </c>
      <c r="DV9" s="7" t="s">
        <v>146</v>
      </c>
      <c r="DW9" s="7" t="s">
        <v>253</v>
      </c>
      <c r="DX9" s="7"/>
      <c r="DY9" s="7"/>
      <c r="DZ9" s="7" t="s">
        <v>154</v>
      </c>
      <c r="EA9" s="7" t="s">
        <v>513</v>
      </c>
      <c r="EB9" s="83" t="s">
        <v>156</v>
      </c>
      <c r="EC9" s="98">
        <f t="shared" si="22"/>
        <v>0.788888888888889</v>
      </c>
      <c r="ED9" s="97">
        <f t="shared" si="23"/>
        <v>0.888888888888889</v>
      </c>
      <c r="EE9" s="83">
        <v>2</v>
      </c>
      <c r="EF9" s="7"/>
      <c r="EG9" s="7" t="s">
        <v>158</v>
      </c>
      <c r="EH9" s="7" t="s">
        <v>159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226</v>
      </c>
      <c r="EO9" s="7" t="s">
        <v>227</v>
      </c>
      <c r="EP9" s="7" t="s">
        <v>226</v>
      </c>
      <c r="EQ9" s="7"/>
      <c r="ER9" s="7" t="s">
        <v>36</v>
      </c>
      <c r="ES9" s="7" t="s">
        <v>146</v>
      </c>
      <c r="ET9" s="7" t="s">
        <v>514</v>
      </c>
      <c r="EU9" s="7" t="s">
        <v>515</v>
      </c>
      <c r="EV9" s="7" t="s">
        <v>147</v>
      </c>
      <c r="EW9" s="7" t="s">
        <v>225</v>
      </c>
      <c r="EX9" s="7"/>
      <c r="EY9" s="7" t="s">
        <v>149</v>
      </c>
      <c r="EZ9" s="7"/>
      <c r="FA9" s="94"/>
      <c r="FB9" s="94"/>
      <c r="FC9" s="7"/>
      <c r="FD9" s="7"/>
      <c r="FE9" s="7"/>
      <c r="FF9" s="7"/>
      <c r="FG9" s="7"/>
      <c r="FH9" s="7"/>
      <c r="FI9" s="7"/>
      <c r="FJ9" s="7"/>
      <c r="FK9" s="7" t="s">
        <v>150</v>
      </c>
      <c r="FL9" s="7" t="s">
        <v>151</v>
      </c>
      <c r="FM9" s="7" t="s">
        <v>150</v>
      </c>
      <c r="FN9" s="7" t="s">
        <v>151</v>
      </c>
      <c r="FO9" s="7" t="s">
        <v>151</v>
      </c>
      <c r="FP9" s="7"/>
      <c r="FQ9" s="7" t="s">
        <v>512</v>
      </c>
      <c r="FR9" s="7" t="s">
        <v>146</v>
      </c>
      <c r="FS9" s="7" t="s">
        <v>253</v>
      </c>
      <c r="FT9" s="7"/>
      <c r="FU9" s="7"/>
      <c r="FV9" s="7" t="s">
        <v>154</v>
      </c>
      <c r="FW9" s="7" t="s">
        <v>513</v>
      </c>
      <c r="FX9" s="83" t="s">
        <v>156</v>
      </c>
      <c r="FY9" s="98">
        <f t="shared" si="24"/>
        <v>0.788888888888889</v>
      </c>
      <c r="FZ9" s="97">
        <f t="shared" si="25"/>
        <v>0.888888888888889</v>
      </c>
      <c r="GA9" s="83">
        <v>3</v>
      </c>
      <c r="GB9" s="7"/>
      <c r="GC9" s="7" t="s">
        <v>158</v>
      </c>
      <c r="GD9" s="7" t="s">
        <v>159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226</v>
      </c>
      <c r="GK9" s="7" t="s">
        <v>227</v>
      </c>
      <c r="GL9" s="7" t="s">
        <v>226</v>
      </c>
      <c r="GM9" s="7"/>
      <c r="GN9" s="7" t="s">
        <v>36</v>
      </c>
      <c r="GO9" s="89" t="s">
        <v>516</v>
      </c>
      <c r="GP9" s="21">
        <v>200</v>
      </c>
      <c r="GQ9" s="21">
        <v>4</v>
      </c>
      <c r="GR9" s="21" t="s">
        <v>161</v>
      </c>
      <c r="GS9" s="21" t="str">
        <f t="shared" si="11"/>
        <v>Trần Phương MB</v>
      </c>
      <c r="GT9" s="21">
        <f t="shared" si="12"/>
        <v>2</v>
      </c>
      <c r="GU9" s="51" t="b">
        <v>0</v>
      </c>
      <c r="GV9" s="21" t="s">
        <v>162</v>
      </c>
      <c r="GW9" s="21" t="s">
        <v>161</v>
      </c>
      <c r="GX9" s="21" t="s">
        <v>161</v>
      </c>
      <c r="GY9" s="21" t="s">
        <v>232</v>
      </c>
      <c r="GZ9" s="51" t="b">
        <v>1</v>
      </c>
      <c r="HA9" s="21" t="s">
        <v>161</v>
      </c>
      <c r="HB9" s="21" t="str">
        <f t="shared" si="13"/>
        <v>Trần Phương MB</v>
      </c>
      <c r="HC9" s="21">
        <f t="shared" si="14"/>
        <v>2</v>
      </c>
      <c r="HD9" s="51" t="b">
        <v>0</v>
      </c>
      <c r="HE9" s="21" t="s">
        <v>162</v>
      </c>
      <c r="HF9" s="21" t="s">
        <v>161</v>
      </c>
      <c r="HG9" s="21" t="s">
        <v>161</v>
      </c>
      <c r="HH9" s="21" t="s">
        <v>232</v>
      </c>
      <c r="HI9" s="51" t="b">
        <v>0</v>
      </c>
      <c r="HJ9" s="21" t="s">
        <v>161</v>
      </c>
      <c r="HK9" s="21" t="str">
        <f t="shared" si="15"/>
        <v>Trần Phương MB</v>
      </c>
      <c r="HL9" s="21">
        <f t="shared" si="16"/>
        <v>2</v>
      </c>
      <c r="HM9" s="51" t="b">
        <v>0</v>
      </c>
      <c r="HN9" s="21" t="s">
        <v>162</v>
      </c>
      <c r="HO9" s="21" t="s">
        <v>161</v>
      </c>
      <c r="HP9" s="21" t="s">
        <v>161</v>
      </c>
      <c r="HQ9" s="21" t="s">
        <v>232</v>
      </c>
      <c r="HR9" s="51" t="b">
        <v>0</v>
      </c>
      <c r="HS9" s="21" t="s">
        <v>161</v>
      </c>
      <c r="HT9" s="21" t="str">
        <f t="shared" si="17"/>
        <v>Trần Phương MB</v>
      </c>
      <c r="HU9" s="21">
        <f t="shared" si="18"/>
        <v>2</v>
      </c>
      <c r="HV9" s="51" t="b">
        <v>0</v>
      </c>
      <c r="HW9" s="21" t="s">
        <v>162</v>
      </c>
      <c r="HX9" s="21" t="s">
        <v>161</v>
      </c>
      <c r="HY9" s="21" t="s">
        <v>161</v>
      </c>
      <c r="HZ9" s="21" t="s">
        <v>232</v>
      </c>
      <c r="IA9" s="51" t="b">
        <v>0</v>
      </c>
    </row>
    <row r="10" s="28" customFormat="1" ht="69" customHeight="1" spans="1:235">
      <c r="A10" s="7" t="s">
        <v>532</v>
      </c>
      <c r="B10" s="7" t="s">
        <v>533</v>
      </c>
      <c r="C10" s="82" t="s">
        <v>29</v>
      </c>
      <c r="D10" s="17" t="s">
        <v>525</v>
      </c>
      <c r="E10" s="7" t="s">
        <v>146</v>
      </c>
      <c r="F10" s="4" t="s">
        <v>31</v>
      </c>
      <c r="G10" s="4" t="s">
        <v>32</v>
      </c>
      <c r="H10" s="7" t="s">
        <v>147</v>
      </c>
      <c r="I10" s="7" t="s">
        <v>241</v>
      </c>
      <c r="J10" s="125" t="s">
        <v>242</v>
      </c>
      <c r="K10" s="95" t="s">
        <v>243</v>
      </c>
      <c r="L10" s="7">
        <v>378</v>
      </c>
      <c r="M10" s="94" t="s">
        <v>150</v>
      </c>
      <c r="N10" s="94" t="s">
        <v>150</v>
      </c>
      <c r="O10" s="7">
        <v>1600000</v>
      </c>
      <c r="P10" s="7">
        <v>400000</v>
      </c>
      <c r="Q10" s="7" t="s">
        <v>158</v>
      </c>
      <c r="R10" s="7" t="s">
        <v>158</v>
      </c>
      <c r="S10" s="7" t="s">
        <v>158</v>
      </c>
      <c r="T10" s="94" t="s">
        <v>244</v>
      </c>
      <c r="U10" s="7" t="s">
        <v>158</v>
      </c>
      <c r="V10" s="7" t="s">
        <v>158</v>
      </c>
      <c r="W10" s="7" t="s">
        <v>150</v>
      </c>
      <c r="X10" s="7" t="s">
        <v>151</v>
      </c>
      <c r="Y10" s="7" t="s">
        <v>150</v>
      </c>
      <c r="Z10" s="7" t="s">
        <v>151</v>
      </c>
      <c r="AA10" s="7" t="s">
        <v>151</v>
      </c>
      <c r="AB10" s="7"/>
      <c r="AC10" s="7" t="s">
        <v>512</v>
      </c>
      <c r="AD10" s="7" t="s">
        <v>146</v>
      </c>
      <c r="AE10" s="7" t="s">
        <v>256</v>
      </c>
      <c r="AF10" s="125" t="s">
        <v>60</v>
      </c>
      <c r="AG10" s="125" t="s">
        <v>60</v>
      </c>
      <c r="AH10" s="7" t="s">
        <v>154</v>
      </c>
      <c r="AI10" s="7" t="s">
        <v>513</v>
      </c>
      <c r="AJ10" s="83" t="s">
        <v>156</v>
      </c>
      <c r="AK10" s="98">
        <f t="shared" si="26"/>
        <v>0.794444444444444</v>
      </c>
      <c r="AL10" s="97">
        <f t="shared" si="27"/>
        <v>0.894444444444444</v>
      </c>
      <c r="AM10" s="83">
        <v>0</v>
      </c>
      <c r="AN10" s="7"/>
      <c r="AO10" s="7" t="s">
        <v>158</v>
      </c>
      <c r="AP10" s="7" t="s">
        <v>159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{{CTX:USER_NAME}}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25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94" t="s">
        <v>150</v>
      </c>
      <c r="BK10" s="7">
        <v>1600000</v>
      </c>
      <c r="BL10" s="7">
        <v>400000</v>
      </c>
      <c r="BM10" s="7" t="s">
        <v>158</v>
      </c>
      <c r="BN10" s="7" t="s">
        <v>158</v>
      </c>
      <c r="BO10" s="7" t="s">
        <v>158</v>
      </c>
      <c r="BP10" s="94" t="s">
        <v>244</v>
      </c>
      <c r="BQ10" s="7" t="s">
        <v>158</v>
      </c>
      <c r="BR10" s="7" t="s">
        <v>158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512</v>
      </c>
      <c r="BZ10" s="7" t="s">
        <v>146</v>
      </c>
      <c r="CA10" s="7" t="s">
        <v>256</v>
      </c>
      <c r="CB10" s="7"/>
      <c r="CC10" s="7"/>
      <c r="CD10" s="7" t="s">
        <v>154</v>
      </c>
      <c r="CE10" s="7" t="s">
        <v>513</v>
      </c>
      <c r="CF10" s="83" t="s">
        <v>156</v>
      </c>
      <c r="CG10" s="98">
        <f t="shared" si="20"/>
        <v>0.794444444444444</v>
      </c>
      <c r="CH10" s="97">
        <f t="shared" si="21"/>
        <v>0.894444444444444</v>
      </c>
      <c r="CI10" s="83">
        <v>1</v>
      </c>
      <c r="CJ10" s="7"/>
      <c r="CK10" s="7" t="s">
        <v>158</v>
      </c>
      <c r="CL10" s="7" t="s">
        <v>159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146</v>
      </c>
      <c r="CX10" s="7" t="s">
        <v>514</v>
      </c>
      <c r="CY10" s="7" t="s">
        <v>515</v>
      </c>
      <c r="CZ10" s="7" t="s">
        <v>147</v>
      </c>
      <c r="DA10" s="7" t="s">
        <v>241</v>
      </c>
      <c r="DB10" s="125" t="s">
        <v>242</v>
      </c>
      <c r="DC10" s="95" t="s">
        <v>243</v>
      </c>
      <c r="DD10" s="7">
        <v>378</v>
      </c>
      <c r="DE10" s="94" t="s">
        <v>150</v>
      </c>
      <c r="DF10" s="94" t="s">
        <v>150</v>
      </c>
      <c r="DG10" s="7">
        <v>1600000</v>
      </c>
      <c r="DH10" s="7">
        <v>400000</v>
      </c>
      <c r="DI10" s="7" t="s">
        <v>158</v>
      </c>
      <c r="DJ10" s="7" t="s">
        <v>158</v>
      </c>
      <c r="DK10" s="7" t="s">
        <v>158</v>
      </c>
      <c r="DL10" s="94" t="s">
        <v>244</v>
      </c>
      <c r="DM10" s="7" t="s">
        <v>158</v>
      </c>
      <c r="DN10" s="7" t="s">
        <v>158</v>
      </c>
      <c r="DO10" s="7" t="s">
        <v>150</v>
      </c>
      <c r="DP10" s="7" t="s">
        <v>151</v>
      </c>
      <c r="DQ10" s="7" t="s">
        <v>150</v>
      </c>
      <c r="DR10" s="7" t="s">
        <v>151</v>
      </c>
      <c r="DS10" s="7" t="s">
        <v>151</v>
      </c>
      <c r="DT10" s="7"/>
      <c r="DU10" s="7" t="s">
        <v>512</v>
      </c>
      <c r="DV10" s="7" t="s">
        <v>146</v>
      </c>
      <c r="DW10" s="7" t="s">
        <v>256</v>
      </c>
      <c r="DX10" s="7"/>
      <c r="DY10" s="7"/>
      <c r="DZ10" s="7" t="s">
        <v>154</v>
      </c>
      <c r="EA10" s="7" t="s">
        <v>513</v>
      </c>
      <c r="EB10" s="83" t="s">
        <v>156</v>
      </c>
      <c r="EC10" s="98">
        <f t="shared" si="22"/>
        <v>0.794444444444444</v>
      </c>
      <c r="ED10" s="97">
        <f t="shared" si="23"/>
        <v>0.894444444444444</v>
      </c>
      <c r="EE10" s="83">
        <v>2</v>
      </c>
      <c r="EF10" s="7"/>
      <c r="EG10" s="7" t="s">
        <v>158</v>
      </c>
      <c r="EH10" s="7" t="s">
        <v>159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146</v>
      </c>
      <c r="ET10" s="7" t="s">
        <v>514</v>
      </c>
      <c r="EU10" s="7" t="s">
        <v>515</v>
      </c>
      <c r="EV10" s="7" t="s">
        <v>147</v>
      </c>
      <c r="EW10" s="7" t="s">
        <v>241</v>
      </c>
      <c r="EX10" s="125" t="s">
        <v>242</v>
      </c>
      <c r="EY10" s="95" t="s">
        <v>243</v>
      </c>
      <c r="EZ10" s="7">
        <v>378</v>
      </c>
      <c r="FA10" s="94" t="s">
        <v>150</v>
      </c>
      <c r="FB10" s="94" t="s">
        <v>150</v>
      </c>
      <c r="FC10" s="7">
        <v>1600000</v>
      </c>
      <c r="FD10" s="7">
        <v>400000</v>
      </c>
      <c r="FE10" s="7" t="s">
        <v>158</v>
      </c>
      <c r="FF10" s="7" t="s">
        <v>158</v>
      </c>
      <c r="FG10" s="7" t="s">
        <v>158</v>
      </c>
      <c r="FH10" s="94" t="s">
        <v>244</v>
      </c>
      <c r="FI10" s="7" t="s">
        <v>158</v>
      </c>
      <c r="FJ10" s="7" t="s">
        <v>158</v>
      </c>
      <c r="FK10" s="7" t="s">
        <v>150</v>
      </c>
      <c r="FL10" s="7" t="s">
        <v>151</v>
      </c>
      <c r="FM10" s="7" t="s">
        <v>150</v>
      </c>
      <c r="FN10" s="7" t="s">
        <v>151</v>
      </c>
      <c r="FO10" s="7" t="s">
        <v>151</v>
      </c>
      <c r="FP10" s="7"/>
      <c r="FQ10" s="7" t="s">
        <v>512</v>
      </c>
      <c r="FR10" s="7" t="s">
        <v>146</v>
      </c>
      <c r="FS10" s="7" t="s">
        <v>256</v>
      </c>
      <c r="FT10" s="7"/>
      <c r="FU10" s="7"/>
      <c r="FV10" s="7" t="s">
        <v>154</v>
      </c>
      <c r="FW10" s="7" t="s">
        <v>513</v>
      </c>
      <c r="FX10" s="83" t="s">
        <v>156</v>
      </c>
      <c r="FY10" s="98">
        <f t="shared" si="24"/>
        <v>0.794444444444444</v>
      </c>
      <c r="FZ10" s="97">
        <f t="shared" si="25"/>
        <v>0.894444444444444</v>
      </c>
      <c r="GA10" s="83">
        <v>3</v>
      </c>
      <c r="GB10" s="7"/>
      <c r="GC10" s="7" t="s">
        <v>158</v>
      </c>
      <c r="GD10" s="7" t="s">
        <v>159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89" t="s">
        <v>516</v>
      </c>
      <c r="GP10" s="21">
        <v>200</v>
      </c>
      <c r="GQ10" s="21">
        <v>4</v>
      </c>
      <c r="GR10" s="21" t="s">
        <v>161</v>
      </c>
      <c r="GS10" s="21" t="str">
        <f t="shared" si="11"/>
        <v>VNPAY</v>
      </c>
      <c r="GT10" s="21" t="str">
        <f t="shared" si="12"/>
        <v>5D</v>
      </c>
      <c r="GU10" s="51" t="b">
        <v>0</v>
      </c>
      <c r="GV10" s="21" t="s">
        <v>162</v>
      </c>
      <c r="GW10" s="21" t="s">
        <v>161</v>
      </c>
      <c r="GX10" s="21" t="s">
        <v>161</v>
      </c>
      <c r="GY10" s="21" t="s">
        <v>246</v>
      </c>
      <c r="GZ10" s="51" t="b">
        <v>1</v>
      </c>
      <c r="HA10" s="21" t="s">
        <v>161</v>
      </c>
      <c r="HB10" s="21" t="str">
        <f t="shared" si="13"/>
        <v>VNPAY</v>
      </c>
      <c r="HC10" s="21" t="str">
        <f t="shared" si="14"/>
        <v>5D</v>
      </c>
      <c r="HD10" s="51" t="b">
        <v>0</v>
      </c>
      <c r="HE10" s="21" t="s">
        <v>162</v>
      </c>
      <c r="HF10" s="21" t="s">
        <v>161</v>
      </c>
      <c r="HG10" s="21" t="s">
        <v>161</v>
      </c>
      <c r="HH10" s="21" t="s">
        <v>246</v>
      </c>
      <c r="HI10" s="51" t="b">
        <v>0</v>
      </c>
      <c r="HJ10" s="21" t="s">
        <v>161</v>
      </c>
      <c r="HK10" s="21" t="str">
        <f t="shared" si="15"/>
        <v>VNPAY</v>
      </c>
      <c r="HL10" s="21" t="str">
        <f t="shared" si="16"/>
        <v>5D</v>
      </c>
      <c r="HM10" s="51" t="b">
        <v>0</v>
      </c>
      <c r="HN10" s="21" t="s">
        <v>162</v>
      </c>
      <c r="HO10" s="21" t="s">
        <v>161</v>
      </c>
      <c r="HP10" s="21" t="s">
        <v>161</v>
      </c>
      <c r="HQ10" s="21" t="s">
        <v>246</v>
      </c>
      <c r="HR10" s="51" t="b">
        <v>0</v>
      </c>
      <c r="HS10" s="21" t="s">
        <v>161</v>
      </c>
      <c r="HT10" s="21" t="str">
        <f t="shared" si="17"/>
        <v>VNPAY</v>
      </c>
      <c r="HU10" s="21" t="str">
        <f t="shared" si="18"/>
        <v>5D</v>
      </c>
      <c r="HV10" s="51" t="b">
        <v>0</v>
      </c>
      <c r="HW10" s="21" t="s">
        <v>162</v>
      </c>
      <c r="HX10" s="21" t="s">
        <v>161</v>
      </c>
      <c r="HY10" s="21" t="s">
        <v>161</v>
      </c>
      <c r="HZ10" s="21" t="s">
        <v>246</v>
      </c>
      <c r="IA10" s="51" t="b">
        <v>0</v>
      </c>
    </row>
    <row r="11" s="28" customFormat="1" ht="69" customHeight="1" spans="1:235">
      <c r="A11" s="7" t="s">
        <v>534</v>
      </c>
      <c r="B11" s="7" t="s">
        <v>535</v>
      </c>
      <c r="C11" s="82" t="s">
        <v>29</v>
      </c>
      <c r="D11" s="17" t="s">
        <v>525</v>
      </c>
      <c r="E11" s="7" t="s">
        <v>146</v>
      </c>
      <c r="F11" s="4" t="s">
        <v>31</v>
      </c>
      <c r="G11" s="4" t="s">
        <v>32</v>
      </c>
      <c r="H11" s="7" t="s">
        <v>147</v>
      </c>
      <c r="I11" s="7" t="s">
        <v>241</v>
      </c>
      <c r="J11" s="125" t="s">
        <v>242</v>
      </c>
      <c r="K11" s="95" t="s">
        <v>243</v>
      </c>
      <c r="L11" s="7">
        <v>378</v>
      </c>
      <c r="M11" s="94" t="s">
        <v>150</v>
      </c>
      <c r="N11" s="94" t="s">
        <v>150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94" t="s">
        <v>244</v>
      </c>
      <c r="U11" s="7">
        <v>0</v>
      </c>
      <c r="V11" s="7">
        <v>0</v>
      </c>
      <c r="W11" s="7" t="s">
        <v>150</v>
      </c>
      <c r="X11" s="7" t="s">
        <v>151</v>
      </c>
      <c r="Y11" s="7" t="s">
        <v>150</v>
      </c>
      <c r="Z11" s="7" t="s">
        <v>151</v>
      </c>
      <c r="AA11" s="7" t="s">
        <v>151</v>
      </c>
      <c r="AB11" s="7"/>
      <c r="AC11" s="7" t="s">
        <v>512</v>
      </c>
      <c r="AD11" s="7" t="s">
        <v>146</v>
      </c>
      <c r="AE11" s="7" t="s">
        <v>256</v>
      </c>
      <c r="AF11" s="7"/>
      <c r="AG11" s="7"/>
      <c r="AH11" s="7" t="s">
        <v>154</v>
      </c>
      <c r="AI11" s="7" t="s">
        <v>513</v>
      </c>
      <c r="AJ11" s="83" t="s">
        <v>156</v>
      </c>
      <c r="AK11" s="98">
        <f t="shared" si="26"/>
        <v>0.8</v>
      </c>
      <c r="AL11" s="97">
        <f t="shared" si="27"/>
        <v>0.9</v>
      </c>
      <c r="AM11" s="83">
        <v>0</v>
      </c>
      <c r="AN11" s="7"/>
      <c r="AO11" s="7" t="s">
        <v>158</v>
      </c>
      <c r="AP11" s="7" t="s">
        <v>159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{{CTX:USER_NAME}}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25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94" t="s">
        <v>150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94" t="s">
        <v>244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512</v>
      </c>
      <c r="BZ11" s="7" t="s">
        <v>146</v>
      </c>
      <c r="CA11" s="7" t="s">
        <v>256</v>
      </c>
      <c r="CB11" s="7"/>
      <c r="CC11" s="7"/>
      <c r="CD11" s="7" t="s">
        <v>154</v>
      </c>
      <c r="CE11" s="7" t="s">
        <v>513</v>
      </c>
      <c r="CF11" s="83" t="s">
        <v>156</v>
      </c>
      <c r="CG11" s="98">
        <f t="shared" si="20"/>
        <v>0.8</v>
      </c>
      <c r="CH11" s="97">
        <f t="shared" si="21"/>
        <v>0.9</v>
      </c>
      <c r="CI11" s="83">
        <v>1</v>
      </c>
      <c r="CJ11" s="7"/>
      <c r="CK11" s="7" t="s">
        <v>158</v>
      </c>
      <c r="CL11" s="7" t="s">
        <v>159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146</v>
      </c>
      <c r="CX11" s="7" t="s">
        <v>514</v>
      </c>
      <c r="CY11" s="7" t="s">
        <v>515</v>
      </c>
      <c r="CZ11" s="7" t="s">
        <v>147</v>
      </c>
      <c r="DA11" s="7" t="s">
        <v>241</v>
      </c>
      <c r="DB11" s="125" t="s">
        <v>242</v>
      </c>
      <c r="DC11" s="95" t="s">
        <v>243</v>
      </c>
      <c r="DD11" s="7">
        <v>378</v>
      </c>
      <c r="DE11" s="94" t="s">
        <v>150</v>
      </c>
      <c r="DF11" s="94" t="s">
        <v>150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94" t="s">
        <v>244</v>
      </c>
      <c r="DM11" s="7">
        <v>0</v>
      </c>
      <c r="DN11" s="7">
        <v>0</v>
      </c>
      <c r="DO11" s="7" t="s">
        <v>150</v>
      </c>
      <c r="DP11" s="7" t="s">
        <v>151</v>
      </c>
      <c r="DQ11" s="7" t="s">
        <v>150</v>
      </c>
      <c r="DR11" s="7" t="s">
        <v>151</v>
      </c>
      <c r="DS11" s="7" t="s">
        <v>151</v>
      </c>
      <c r="DT11" s="7"/>
      <c r="DU11" s="7" t="s">
        <v>512</v>
      </c>
      <c r="DV11" s="7" t="s">
        <v>146</v>
      </c>
      <c r="DW11" s="7" t="s">
        <v>256</v>
      </c>
      <c r="DX11" s="7"/>
      <c r="DY11" s="7"/>
      <c r="DZ11" s="7" t="s">
        <v>154</v>
      </c>
      <c r="EA11" s="7" t="s">
        <v>513</v>
      </c>
      <c r="EB11" s="83" t="s">
        <v>156</v>
      </c>
      <c r="EC11" s="98">
        <f t="shared" si="22"/>
        <v>0.8</v>
      </c>
      <c r="ED11" s="97">
        <f t="shared" si="23"/>
        <v>0.9</v>
      </c>
      <c r="EE11" s="83">
        <v>2</v>
      </c>
      <c r="EF11" s="7"/>
      <c r="EG11" s="7" t="s">
        <v>158</v>
      </c>
      <c r="EH11" s="7" t="s">
        <v>159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146</v>
      </c>
      <c r="ET11" s="7" t="s">
        <v>514</v>
      </c>
      <c r="EU11" s="7" t="s">
        <v>515</v>
      </c>
      <c r="EV11" s="7" t="s">
        <v>147</v>
      </c>
      <c r="EW11" s="7" t="s">
        <v>241</v>
      </c>
      <c r="EX11" s="125" t="s">
        <v>242</v>
      </c>
      <c r="EY11" s="95" t="s">
        <v>243</v>
      </c>
      <c r="EZ11" s="7">
        <v>378</v>
      </c>
      <c r="FA11" s="94" t="s">
        <v>150</v>
      </c>
      <c r="FB11" s="94" t="s">
        <v>150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94" t="s">
        <v>244</v>
      </c>
      <c r="FI11" s="7">
        <v>0</v>
      </c>
      <c r="FJ11" s="7">
        <v>0</v>
      </c>
      <c r="FK11" s="7" t="s">
        <v>150</v>
      </c>
      <c r="FL11" s="7" t="s">
        <v>151</v>
      </c>
      <c r="FM11" s="7" t="s">
        <v>150</v>
      </c>
      <c r="FN11" s="7" t="s">
        <v>151</v>
      </c>
      <c r="FO11" s="7" t="s">
        <v>151</v>
      </c>
      <c r="FP11" s="7"/>
      <c r="FQ11" s="7" t="s">
        <v>512</v>
      </c>
      <c r="FR11" s="7" t="s">
        <v>146</v>
      </c>
      <c r="FS11" s="7" t="s">
        <v>256</v>
      </c>
      <c r="FT11" s="7"/>
      <c r="FU11" s="7"/>
      <c r="FV11" s="7" t="s">
        <v>154</v>
      </c>
      <c r="FW11" s="7" t="s">
        <v>513</v>
      </c>
      <c r="FX11" s="83" t="s">
        <v>156</v>
      </c>
      <c r="FY11" s="98">
        <f t="shared" si="24"/>
        <v>0.8</v>
      </c>
      <c r="FZ11" s="97">
        <f t="shared" si="25"/>
        <v>0.9</v>
      </c>
      <c r="GA11" s="83">
        <v>3</v>
      </c>
      <c r="GB11" s="7"/>
      <c r="GC11" s="7" t="s">
        <v>158</v>
      </c>
      <c r="GD11" s="7" t="s">
        <v>159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89" t="s">
        <v>516</v>
      </c>
      <c r="GP11" s="21">
        <v>200</v>
      </c>
      <c r="GQ11" s="21">
        <v>4</v>
      </c>
      <c r="GR11" s="21" t="s">
        <v>161</v>
      </c>
      <c r="GS11" s="21" t="str">
        <f t="shared" si="11"/>
        <v>VNPAY</v>
      </c>
      <c r="GT11" s="21" t="str">
        <f t="shared" si="12"/>
        <v>5D</v>
      </c>
      <c r="GU11" s="51" t="b">
        <v>0</v>
      </c>
      <c r="GV11" s="21" t="s">
        <v>162</v>
      </c>
      <c r="GW11" s="21" t="s">
        <v>161</v>
      </c>
      <c r="GX11" s="21" t="s">
        <v>161</v>
      </c>
      <c r="GY11" s="21" t="s">
        <v>246</v>
      </c>
      <c r="GZ11" s="51" t="b">
        <v>0</v>
      </c>
      <c r="HA11" s="21" t="s">
        <v>161</v>
      </c>
      <c r="HB11" s="21" t="str">
        <f t="shared" si="13"/>
        <v>VNPAY</v>
      </c>
      <c r="HC11" s="21" t="str">
        <f t="shared" si="14"/>
        <v>5D</v>
      </c>
      <c r="HD11" s="51" t="b">
        <v>0</v>
      </c>
      <c r="HE11" s="21" t="s">
        <v>162</v>
      </c>
      <c r="HF11" s="21" t="s">
        <v>161</v>
      </c>
      <c r="HG11" s="21" t="s">
        <v>161</v>
      </c>
      <c r="HH11" s="21" t="s">
        <v>246</v>
      </c>
      <c r="HI11" s="51" t="b">
        <v>0</v>
      </c>
      <c r="HJ11" s="21" t="s">
        <v>161</v>
      </c>
      <c r="HK11" s="21" t="str">
        <f t="shared" si="15"/>
        <v>VNPAY</v>
      </c>
      <c r="HL11" s="21" t="str">
        <f t="shared" si="16"/>
        <v>5D</v>
      </c>
      <c r="HM11" s="51" t="b">
        <v>0</v>
      </c>
      <c r="HN11" s="21" t="s">
        <v>162</v>
      </c>
      <c r="HO11" s="21" t="s">
        <v>161</v>
      </c>
      <c r="HP11" s="21" t="s">
        <v>161</v>
      </c>
      <c r="HQ11" s="21" t="s">
        <v>246</v>
      </c>
      <c r="HR11" s="51" t="b">
        <v>0</v>
      </c>
      <c r="HS11" s="21" t="s">
        <v>161</v>
      </c>
      <c r="HT11" s="21" t="str">
        <f t="shared" si="17"/>
        <v>VNPAY</v>
      </c>
      <c r="HU11" s="21" t="str">
        <f t="shared" si="18"/>
        <v>5D</v>
      </c>
      <c r="HV11" s="51" t="b">
        <v>0</v>
      </c>
      <c r="HW11" s="21" t="s">
        <v>162</v>
      </c>
      <c r="HX11" s="21" t="s">
        <v>161</v>
      </c>
      <c r="HY11" s="21" t="s">
        <v>161</v>
      </c>
      <c r="HZ11" s="21" t="s">
        <v>246</v>
      </c>
      <c r="IA11" s="51" t="b">
        <v>0</v>
      </c>
    </row>
    <row r="12" s="28" customFormat="1" ht="69" customHeight="1" spans="1:235">
      <c r="A12" s="7" t="s">
        <v>536</v>
      </c>
      <c r="B12" s="7" t="s">
        <v>537</v>
      </c>
      <c r="C12" s="82" t="s">
        <v>29</v>
      </c>
      <c r="D12" s="17" t="s">
        <v>525</v>
      </c>
      <c r="E12" s="7" t="s">
        <v>146</v>
      </c>
      <c r="F12" s="4" t="s">
        <v>31</v>
      </c>
      <c r="G12" s="4" t="s">
        <v>32</v>
      </c>
      <c r="H12" s="7" t="s">
        <v>147</v>
      </c>
      <c r="I12" s="7" t="s">
        <v>241</v>
      </c>
      <c r="J12" s="125" t="s">
        <v>242</v>
      </c>
      <c r="K12" s="95" t="s">
        <v>243</v>
      </c>
      <c r="L12" s="7">
        <v>378</v>
      </c>
      <c r="M12" s="94" t="s">
        <v>150</v>
      </c>
      <c r="N12" s="94" t="s">
        <v>244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94" t="s">
        <v>244</v>
      </c>
      <c r="U12" s="7">
        <v>0</v>
      </c>
      <c r="V12" s="7">
        <v>0</v>
      </c>
      <c r="W12" s="7" t="s">
        <v>150</v>
      </c>
      <c r="X12" s="7" t="s">
        <v>151</v>
      </c>
      <c r="Y12" s="7" t="s">
        <v>150</v>
      </c>
      <c r="Z12" s="7" t="s">
        <v>151</v>
      </c>
      <c r="AA12" s="7" t="s">
        <v>151</v>
      </c>
      <c r="AB12" s="7"/>
      <c r="AC12" s="7" t="s">
        <v>512</v>
      </c>
      <c r="AD12" s="7" t="s">
        <v>146</v>
      </c>
      <c r="AE12" s="7" t="s">
        <v>256</v>
      </c>
      <c r="AF12" s="7"/>
      <c r="AG12" s="7"/>
      <c r="AH12" s="7" t="s">
        <v>154</v>
      </c>
      <c r="AI12" s="7" t="s">
        <v>513</v>
      </c>
      <c r="AJ12" s="83" t="s">
        <v>156</v>
      </c>
      <c r="AK12" s="98">
        <f t="shared" si="26"/>
        <v>0.805555555555555</v>
      </c>
      <c r="AL12" s="97">
        <f t="shared" si="27"/>
        <v>0.905555555555555</v>
      </c>
      <c r="AM12" s="83">
        <v>0</v>
      </c>
      <c r="AN12" s="7"/>
      <c r="AO12" s="7" t="s">
        <v>158</v>
      </c>
      <c r="AP12" s="7" t="s">
        <v>159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{{CTX:USER_NAME}}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25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94" t="s">
        <v>244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94" t="s">
        <v>244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512</v>
      </c>
      <c r="BZ12" s="7" t="s">
        <v>146</v>
      </c>
      <c r="CA12" s="7" t="s">
        <v>256</v>
      </c>
      <c r="CB12" s="7"/>
      <c r="CC12" s="7"/>
      <c r="CD12" s="7" t="s">
        <v>154</v>
      </c>
      <c r="CE12" s="7" t="s">
        <v>513</v>
      </c>
      <c r="CF12" s="83" t="s">
        <v>156</v>
      </c>
      <c r="CG12" s="98">
        <f t="shared" si="20"/>
        <v>0.805555555555555</v>
      </c>
      <c r="CH12" s="97">
        <f t="shared" si="21"/>
        <v>0.905555555555555</v>
      </c>
      <c r="CI12" s="83">
        <v>1</v>
      </c>
      <c r="CJ12" s="7"/>
      <c r="CK12" s="7" t="s">
        <v>158</v>
      </c>
      <c r="CL12" s="7" t="s">
        <v>159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146</v>
      </c>
      <c r="CX12" s="7" t="s">
        <v>514</v>
      </c>
      <c r="CY12" s="7" t="s">
        <v>515</v>
      </c>
      <c r="CZ12" s="7" t="s">
        <v>147</v>
      </c>
      <c r="DA12" s="7" t="s">
        <v>241</v>
      </c>
      <c r="DB12" s="125" t="s">
        <v>242</v>
      </c>
      <c r="DC12" s="95" t="s">
        <v>243</v>
      </c>
      <c r="DD12" s="7">
        <v>378</v>
      </c>
      <c r="DE12" s="94" t="s">
        <v>150</v>
      </c>
      <c r="DF12" s="94" t="s">
        <v>244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94" t="s">
        <v>244</v>
      </c>
      <c r="DM12" s="7">
        <v>0</v>
      </c>
      <c r="DN12" s="7">
        <v>0</v>
      </c>
      <c r="DO12" s="7" t="s">
        <v>150</v>
      </c>
      <c r="DP12" s="7" t="s">
        <v>151</v>
      </c>
      <c r="DQ12" s="7" t="s">
        <v>150</v>
      </c>
      <c r="DR12" s="7" t="s">
        <v>151</v>
      </c>
      <c r="DS12" s="7" t="s">
        <v>151</v>
      </c>
      <c r="DT12" s="7"/>
      <c r="DU12" s="7" t="s">
        <v>512</v>
      </c>
      <c r="DV12" s="7" t="s">
        <v>146</v>
      </c>
      <c r="DW12" s="7" t="s">
        <v>256</v>
      </c>
      <c r="DX12" s="7"/>
      <c r="DY12" s="7"/>
      <c r="DZ12" s="7" t="s">
        <v>154</v>
      </c>
      <c r="EA12" s="7" t="s">
        <v>513</v>
      </c>
      <c r="EB12" s="83" t="s">
        <v>156</v>
      </c>
      <c r="EC12" s="98">
        <f t="shared" si="22"/>
        <v>0.805555555555555</v>
      </c>
      <c r="ED12" s="97">
        <f t="shared" si="23"/>
        <v>0.905555555555555</v>
      </c>
      <c r="EE12" s="83">
        <v>2</v>
      </c>
      <c r="EF12" s="7"/>
      <c r="EG12" s="7" t="s">
        <v>158</v>
      </c>
      <c r="EH12" s="7" t="s">
        <v>159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146</v>
      </c>
      <c r="ET12" s="7" t="s">
        <v>514</v>
      </c>
      <c r="EU12" s="7" t="s">
        <v>515</v>
      </c>
      <c r="EV12" s="7" t="s">
        <v>147</v>
      </c>
      <c r="EW12" s="7" t="s">
        <v>241</v>
      </c>
      <c r="EX12" s="125" t="s">
        <v>242</v>
      </c>
      <c r="EY12" s="95" t="s">
        <v>243</v>
      </c>
      <c r="EZ12" s="7">
        <v>378</v>
      </c>
      <c r="FA12" s="94" t="s">
        <v>150</v>
      </c>
      <c r="FB12" s="94" t="s">
        <v>244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94" t="s">
        <v>244</v>
      </c>
      <c r="FI12" s="7">
        <v>0</v>
      </c>
      <c r="FJ12" s="7">
        <v>0</v>
      </c>
      <c r="FK12" s="7" t="s">
        <v>150</v>
      </c>
      <c r="FL12" s="7" t="s">
        <v>151</v>
      </c>
      <c r="FM12" s="7" t="s">
        <v>150</v>
      </c>
      <c r="FN12" s="7" t="s">
        <v>151</v>
      </c>
      <c r="FO12" s="7" t="s">
        <v>151</v>
      </c>
      <c r="FP12" s="7"/>
      <c r="FQ12" s="7" t="s">
        <v>512</v>
      </c>
      <c r="FR12" s="7" t="s">
        <v>146</v>
      </c>
      <c r="FS12" s="7" t="s">
        <v>256</v>
      </c>
      <c r="FT12" s="7"/>
      <c r="FU12" s="7"/>
      <c r="FV12" s="7" t="s">
        <v>154</v>
      </c>
      <c r="FW12" s="7" t="s">
        <v>513</v>
      </c>
      <c r="FX12" s="83" t="s">
        <v>156</v>
      </c>
      <c r="FY12" s="98">
        <f t="shared" si="24"/>
        <v>0.805555555555555</v>
      </c>
      <c r="FZ12" s="97">
        <f t="shared" si="25"/>
        <v>0.905555555555555</v>
      </c>
      <c r="GA12" s="83">
        <v>3</v>
      </c>
      <c r="GB12" s="7"/>
      <c r="GC12" s="7" t="s">
        <v>158</v>
      </c>
      <c r="GD12" s="7" t="s">
        <v>159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89" t="s">
        <v>516</v>
      </c>
      <c r="GP12" s="21">
        <v>200</v>
      </c>
      <c r="GQ12" s="21">
        <v>4</v>
      </c>
      <c r="GR12" s="21" t="s">
        <v>161</v>
      </c>
      <c r="GS12" s="21" t="str">
        <f t="shared" si="11"/>
        <v>VNPAY</v>
      </c>
      <c r="GT12" s="21" t="str">
        <f t="shared" si="12"/>
        <v>5D</v>
      </c>
      <c r="GU12" s="51" t="b">
        <v>0</v>
      </c>
      <c r="GV12" s="21" t="s">
        <v>162</v>
      </c>
      <c r="GW12" s="21" t="s">
        <v>161</v>
      </c>
      <c r="GX12" s="21" t="s">
        <v>161</v>
      </c>
      <c r="GY12" s="21" t="s">
        <v>246</v>
      </c>
      <c r="GZ12" s="51" t="b">
        <v>0</v>
      </c>
      <c r="HA12" s="21" t="s">
        <v>161</v>
      </c>
      <c r="HB12" s="21" t="str">
        <f t="shared" si="13"/>
        <v>VNPAY</v>
      </c>
      <c r="HC12" s="21" t="str">
        <f t="shared" si="14"/>
        <v>5D</v>
      </c>
      <c r="HD12" s="51" t="b">
        <v>0</v>
      </c>
      <c r="HE12" s="21" t="s">
        <v>162</v>
      </c>
      <c r="HF12" s="21" t="s">
        <v>161</v>
      </c>
      <c r="HG12" s="21" t="s">
        <v>161</v>
      </c>
      <c r="HH12" s="21" t="s">
        <v>246</v>
      </c>
      <c r="HI12" s="51" t="b">
        <v>0</v>
      </c>
      <c r="HJ12" s="21" t="s">
        <v>161</v>
      </c>
      <c r="HK12" s="21" t="str">
        <f t="shared" si="15"/>
        <v>VNPAY</v>
      </c>
      <c r="HL12" s="21" t="str">
        <f t="shared" si="16"/>
        <v>5D</v>
      </c>
      <c r="HM12" s="51" t="b">
        <v>0</v>
      </c>
      <c r="HN12" s="21" t="s">
        <v>162</v>
      </c>
      <c r="HO12" s="21" t="s">
        <v>161</v>
      </c>
      <c r="HP12" s="21" t="s">
        <v>161</v>
      </c>
      <c r="HQ12" s="21" t="s">
        <v>246</v>
      </c>
      <c r="HR12" s="51" t="b">
        <v>0</v>
      </c>
      <c r="HS12" s="21" t="s">
        <v>161</v>
      </c>
      <c r="HT12" s="21" t="str">
        <f t="shared" si="17"/>
        <v>VNPAY</v>
      </c>
      <c r="HU12" s="21" t="str">
        <f t="shared" si="18"/>
        <v>5D</v>
      </c>
      <c r="HV12" s="51" t="b">
        <v>0</v>
      </c>
      <c r="HW12" s="21" t="s">
        <v>162</v>
      </c>
      <c r="HX12" s="21" t="s">
        <v>161</v>
      </c>
      <c r="HY12" s="21" t="s">
        <v>161</v>
      </c>
      <c r="HZ12" s="21" t="s">
        <v>246</v>
      </c>
      <c r="IA12" s="51" t="b">
        <v>0</v>
      </c>
    </row>
    <row r="13" s="28" customFormat="1" ht="69" customHeight="1" spans="1:235">
      <c r="A13" s="7" t="s">
        <v>538</v>
      </c>
      <c r="B13" s="7" t="s">
        <v>539</v>
      </c>
      <c r="C13" s="82" t="s">
        <v>29</v>
      </c>
      <c r="D13" s="17" t="s">
        <v>525</v>
      </c>
      <c r="E13" s="7" t="s">
        <v>146</v>
      </c>
      <c r="F13" s="4" t="s">
        <v>31</v>
      </c>
      <c r="G13" s="4" t="s">
        <v>32</v>
      </c>
      <c r="H13" s="7" t="s">
        <v>147</v>
      </c>
      <c r="I13" s="7" t="s">
        <v>241</v>
      </c>
      <c r="J13" s="125" t="s">
        <v>242</v>
      </c>
      <c r="K13" s="95" t="s">
        <v>243</v>
      </c>
      <c r="L13" s="7">
        <v>378</v>
      </c>
      <c r="M13" s="94" t="s">
        <v>244</v>
      </c>
      <c r="N13" s="94" t="s">
        <v>150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94" t="s">
        <v>244</v>
      </c>
      <c r="U13" s="7">
        <v>0</v>
      </c>
      <c r="V13" s="7">
        <v>0</v>
      </c>
      <c r="W13" s="7" t="s">
        <v>150</v>
      </c>
      <c r="X13" s="7" t="s">
        <v>151</v>
      </c>
      <c r="Y13" s="7" t="s">
        <v>150</v>
      </c>
      <c r="Z13" s="7" t="s">
        <v>151</v>
      </c>
      <c r="AA13" s="7" t="s">
        <v>151</v>
      </c>
      <c r="AB13" s="7"/>
      <c r="AC13" s="7" t="s">
        <v>512</v>
      </c>
      <c r="AD13" s="7" t="s">
        <v>146</v>
      </c>
      <c r="AE13" s="7" t="s">
        <v>256</v>
      </c>
      <c r="AF13" s="7"/>
      <c r="AG13" s="7"/>
      <c r="AH13" s="7" t="s">
        <v>154</v>
      </c>
      <c r="AI13" s="7" t="s">
        <v>513</v>
      </c>
      <c r="AJ13" s="83" t="s">
        <v>156</v>
      </c>
      <c r="AK13" s="98">
        <f t="shared" si="26"/>
        <v>0.811111111111111</v>
      </c>
      <c r="AL13" s="97">
        <f t="shared" si="27"/>
        <v>0.911111111111111</v>
      </c>
      <c r="AM13" s="83">
        <v>0</v>
      </c>
      <c r="AN13" s="7"/>
      <c r="AO13" s="7" t="s">
        <v>158</v>
      </c>
      <c r="AP13" s="7" t="s">
        <v>159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{{CTX:USER_NAME}}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25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94" t="s">
        <v>150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94" t="s">
        <v>244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512</v>
      </c>
      <c r="BZ13" s="7" t="s">
        <v>146</v>
      </c>
      <c r="CA13" s="7" t="s">
        <v>256</v>
      </c>
      <c r="CB13" s="7"/>
      <c r="CC13" s="7"/>
      <c r="CD13" s="7" t="s">
        <v>154</v>
      </c>
      <c r="CE13" s="7" t="s">
        <v>513</v>
      </c>
      <c r="CF13" s="83" t="s">
        <v>156</v>
      </c>
      <c r="CG13" s="98">
        <f t="shared" si="20"/>
        <v>0.811111111111111</v>
      </c>
      <c r="CH13" s="97">
        <f t="shared" si="21"/>
        <v>0.911111111111111</v>
      </c>
      <c r="CI13" s="83">
        <v>1</v>
      </c>
      <c r="CJ13" s="7"/>
      <c r="CK13" s="7" t="s">
        <v>158</v>
      </c>
      <c r="CL13" s="7" t="s">
        <v>159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146</v>
      </c>
      <c r="CX13" s="7" t="s">
        <v>514</v>
      </c>
      <c r="CY13" s="7" t="s">
        <v>515</v>
      </c>
      <c r="CZ13" s="7" t="s">
        <v>147</v>
      </c>
      <c r="DA13" s="7" t="s">
        <v>241</v>
      </c>
      <c r="DB13" s="125" t="s">
        <v>242</v>
      </c>
      <c r="DC13" s="95" t="s">
        <v>243</v>
      </c>
      <c r="DD13" s="7">
        <v>378</v>
      </c>
      <c r="DE13" s="94" t="s">
        <v>244</v>
      </c>
      <c r="DF13" s="94" t="s">
        <v>150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94" t="s">
        <v>244</v>
      </c>
      <c r="DM13" s="7">
        <v>0</v>
      </c>
      <c r="DN13" s="7">
        <v>0</v>
      </c>
      <c r="DO13" s="7" t="s">
        <v>150</v>
      </c>
      <c r="DP13" s="7" t="s">
        <v>151</v>
      </c>
      <c r="DQ13" s="7" t="s">
        <v>150</v>
      </c>
      <c r="DR13" s="7" t="s">
        <v>151</v>
      </c>
      <c r="DS13" s="7" t="s">
        <v>151</v>
      </c>
      <c r="DT13" s="7"/>
      <c r="DU13" s="7" t="s">
        <v>512</v>
      </c>
      <c r="DV13" s="7" t="s">
        <v>146</v>
      </c>
      <c r="DW13" s="7" t="s">
        <v>256</v>
      </c>
      <c r="DX13" s="7"/>
      <c r="DY13" s="7"/>
      <c r="DZ13" s="7" t="s">
        <v>154</v>
      </c>
      <c r="EA13" s="7" t="s">
        <v>513</v>
      </c>
      <c r="EB13" s="83" t="s">
        <v>156</v>
      </c>
      <c r="EC13" s="98">
        <f t="shared" si="22"/>
        <v>0.811111111111111</v>
      </c>
      <c r="ED13" s="97">
        <f t="shared" si="23"/>
        <v>0.911111111111111</v>
      </c>
      <c r="EE13" s="83">
        <v>2</v>
      </c>
      <c r="EF13" s="7"/>
      <c r="EG13" s="7" t="s">
        <v>158</v>
      </c>
      <c r="EH13" s="7" t="s">
        <v>159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146</v>
      </c>
      <c r="ET13" s="7" t="s">
        <v>514</v>
      </c>
      <c r="EU13" s="7" t="s">
        <v>515</v>
      </c>
      <c r="EV13" s="7" t="s">
        <v>147</v>
      </c>
      <c r="EW13" s="7" t="s">
        <v>241</v>
      </c>
      <c r="EX13" s="125" t="s">
        <v>242</v>
      </c>
      <c r="EY13" s="95" t="s">
        <v>243</v>
      </c>
      <c r="EZ13" s="7">
        <v>378</v>
      </c>
      <c r="FA13" s="94" t="s">
        <v>244</v>
      </c>
      <c r="FB13" s="94" t="s">
        <v>150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94" t="s">
        <v>244</v>
      </c>
      <c r="FI13" s="7">
        <v>0</v>
      </c>
      <c r="FJ13" s="7">
        <v>0</v>
      </c>
      <c r="FK13" s="7" t="s">
        <v>150</v>
      </c>
      <c r="FL13" s="7" t="s">
        <v>151</v>
      </c>
      <c r="FM13" s="7" t="s">
        <v>150</v>
      </c>
      <c r="FN13" s="7" t="s">
        <v>151</v>
      </c>
      <c r="FO13" s="7" t="s">
        <v>151</v>
      </c>
      <c r="FP13" s="7"/>
      <c r="FQ13" s="7" t="s">
        <v>512</v>
      </c>
      <c r="FR13" s="7" t="s">
        <v>146</v>
      </c>
      <c r="FS13" s="7" t="s">
        <v>256</v>
      </c>
      <c r="FT13" s="7"/>
      <c r="FU13" s="7"/>
      <c r="FV13" s="7" t="s">
        <v>154</v>
      </c>
      <c r="FW13" s="7" t="s">
        <v>513</v>
      </c>
      <c r="FX13" s="83" t="s">
        <v>156</v>
      </c>
      <c r="FY13" s="98">
        <f t="shared" si="24"/>
        <v>0.811111111111111</v>
      </c>
      <c r="FZ13" s="97">
        <f t="shared" si="25"/>
        <v>0.911111111111111</v>
      </c>
      <c r="GA13" s="83">
        <v>3</v>
      </c>
      <c r="GB13" s="7"/>
      <c r="GC13" s="7" t="s">
        <v>158</v>
      </c>
      <c r="GD13" s="7" t="s">
        <v>159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89" t="s">
        <v>516</v>
      </c>
      <c r="GP13" s="21">
        <v>200</v>
      </c>
      <c r="GQ13" s="21">
        <v>4</v>
      </c>
      <c r="GR13" s="21" t="s">
        <v>161</v>
      </c>
      <c r="GS13" s="21" t="str">
        <f t="shared" si="11"/>
        <v>VNPAY</v>
      </c>
      <c r="GT13" s="21" t="str">
        <f t="shared" si="12"/>
        <v>5D</v>
      </c>
      <c r="GU13" s="51" t="b">
        <v>0</v>
      </c>
      <c r="GV13" s="21" t="s">
        <v>162</v>
      </c>
      <c r="GW13" s="21" t="s">
        <v>161</v>
      </c>
      <c r="GX13" s="21" t="s">
        <v>161</v>
      </c>
      <c r="GY13" s="21" t="s">
        <v>246</v>
      </c>
      <c r="GZ13" s="51" t="b">
        <v>0</v>
      </c>
      <c r="HA13" s="21" t="s">
        <v>161</v>
      </c>
      <c r="HB13" s="21" t="str">
        <f t="shared" si="13"/>
        <v>VNPAY</v>
      </c>
      <c r="HC13" s="21" t="str">
        <f t="shared" si="14"/>
        <v>5D</v>
      </c>
      <c r="HD13" s="51" t="b">
        <v>0</v>
      </c>
      <c r="HE13" s="21" t="s">
        <v>162</v>
      </c>
      <c r="HF13" s="21" t="s">
        <v>161</v>
      </c>
      <c r="HG13" s="21" t="s">
        <v>161</v>
      </c>
      <c r="HH13" s="21" t="s">
        <v>246</v>
      </c>
      <c r="HI13" s="51" t="b">
        <v>0</v>
      </c>
      <c r="HJ13" s="21" t="s">
        <v>161</v>
      </c>
      <c r="HK13" s="21" t="str">
        <f t="shared" si="15"/>
        <v>VNPAY</v>
      </c>
      <c r="HL13" s="21" t="str">
        <f t="shared" si="16"/>
        <v>5D</v>
      </c>
      <c r="HM13" s="51" t="b">
        <v>0</v>
      </c>
      <c r="HN13" s="21" t="s">
        <v>162</v>
      </c>
      <c r="HO13" s="21" t="s">
        <v>161</v>
      </c>
      <c r="HP13" s="21" t="s">
        <v>161</v>
      </c>
      <c r="HQ13" s="21" t="s">
        <v>246</v>
      </c>
      <c r="HR13" s="51" t="b">
        <v>0</v>
      </c>
      <c r="HS13" s="21" t="s">
        <v>161</v>
      </c>
      <c r="HT13" s="21" t="str">
        <f t="shared" si="17"/>
        <v>VNPAY</v>
      </c>
      <c r="HU13" s="21" t="str">
        <f t="shared" si="18"/>
        <v>5D</v>
      </c>
      <c r="HV13" s="51" t="b">
        <v>0</v>
      </c>
      <c r="HW13" s="21" t="s">
        <v>162</v>
      </c>
      <c r="HX13" s="21" t="s">
        <v>161</v>
      </c>
      <c r="HY13" s="21" t="s">
        <v>161</v>
      </c>
      <c r="HZ13" s="21" t="s">
        <v>246</v>
      </c>
      <c r="IA13" s="51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3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4" t="s">
        <v>3</v>
      </c>
      <c r="E1" s="52" t="s">
        <v>540</v>
      </c>
      <c r="F1" s="52" t="s">
        <v>541</v>
      </c>
      <c r="G1" s="52" t="s">
        <v>542</v>
      </c>
      <c r="H1" s="52" t="s">
        <v>543</v>
      </c>
      <c r="I1" s="52" t="s">
        <v>544</v>
      </c>
      <c r="J1" s="52" t="s">
        <v>545</v>
      </c>
      <c r="K1" s="52" t="s">
        <v>546</v>
      </c>
      <c r="L1" s="52" t="s">
        <v>4</v>
      </c>
      <c r="M1" s="52" t="s">
        <v>5</v>
      </c>
      <c r="N1" s="52" t="s">
        <v>547</v>
      </c>
      <c r="O1" s="52" t="s">
        <v>548</v>
      </c>
      <c r="P1" s="52" t="s">
        <v>549</v>
      </c>
      <c r="Q1" s="52" t="s">
        <v>550</v>
      </c>
      <c r="R1" s="52" t="s">
        <v>551</v>
      </c>
      <c r="S1" s="52" t="s">
        <v>552</v>
      </c>
      <c r="T1" s="52" t="s">
        <v>553</v>
      </c>
      <c r="U1" s="52" t="s">
        <v>554</v>
      </c>
      <c r="V1" s="56" t="s">
        <v>15</v>
      </c>
      <c r="W1" s="10" t="s">
        <v>16</v>
      </c>
      <c r="X1" s="10" t="s">
        <v>555</v>
      </c>
      <c r="Y1" s="10" t="s">
        <v>556</v>
      </c>
      <c r="Z1" s="10" t="s">
        <v>557</v>
      </c>
      <c r="AA1" s="18" t="s">
        <v>558</v>
      </c>
      <c r="AB1" s="10" t="s">
        <v>559</v>
      </c>
      <c r="AC1" s="10" t="s">
        <v>560</v>
      </c>
      <c r="AD1" s="10" t="s">
        <v>561</v>
      </c>
      <c r="AE1" s="10" t="s">
        <v>562</v>
      </c>
      <c r="AF1" s="18" t="s">
        <v>563</v>
      </c>
    </row>
    <row r="2" s="28" customFormat="1" ht="50" customHeight="1" spans="1:32">
      <c r="A2" s="7" t="s">
        <v>564</v>
      </c>
      <c r="B2" s="81" t="s">
        <v>565</v>
      </c>
      <c r="C2" s="82" t="s">
        <v>29</v>
      </c>
      <c r="D2" s="17" t="s">
        <v>566</v>
      </c>
      <c r="E2" s="9">
        <v>0</v>
      </c>
      <c r="F2" s="83" t="s">
        <v>567</v>
      </c>
      <c r="G2" s="83" t="s">
        <v>568</v>
      </c>
      <c r="H2" s="9" t="s">
        <v>156</v>
      </c>
      <c r="I2" s="9">
        <v>1</v>
      </c>
      <c r="J2" s="9" t="s">
        <v>513</v>
      </c>
      <c r="K2" s="9" t="s">
        <v>146</v>
      </c>
      <c r="L2" s="4" t="s">
        <v>31</v>
      </c>
      <c r="M2" s="4" t="s">
        <v>32</v>
      </c>
      <c r="N2" s="9" t="s">
        <v>148</v>
      </c>
      <c r="O2" s="54"/>
      <c r="P2" s="54"/>
      <c r="Q2" s="54"/>
      <c r="R2" s="9">
        <v>18</v>
      </c>
      <c r="S2" s="54"/>
      <c r="T2" s="54"/>
      <c r="U2" s="9" t="s">
        <v>33</v>
      </c>
      <c r="V2" s="89" t="s">
        <v>569</v>
      </c>
      <c r="W2" s="21">
        <v>200</v>
      </c>
      <c r="X2" s="21" t="s">
        <v>161</v>
      </c>
      <c r="Y2" s="21" t="str">
        <f>N2</f>
        <v>PhuongTT</v>
      </c>
      <c r="Z2" s="21"/>
      <c r="AA2" s="51" t="b">
        <v>0</v>
      </c>
      <c r="AB2" s="21" t="s">
        <v>162</v>
      </c>
      <c r="AC2" s="21" t="s">
        <v>161</v>
      </c>
      <c r="AD2" s="21" t="s">
        <v>161</v>
      </c>
      <c r="AE2" s="21"/>
      <c r="AF2" s="51" t="b">
        <v>0</v>
      </c>
    </row>
    <row r="4" customHeight="1" spans="5:21"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</row>
    <row r="5" customHeight="1" spans="6:20">
      <c r="F5" s="85"/>
      <c r="G5" s="85"/>
      <c r="H5" s="86"/>
      <c r="I5" s="86"/>
      <c r="J5" s="86"/>
      <c r="K5" s="86"/>
      <c r="L5" s="86"/>
      <c r="M5" s="1"/>
      <c r="N5" s="1"/>
      <c r="O5" s="88"/>
      <c r="P5" s="88"/>
      <c r="Q5" s="88"/>
      <c r="S5" s="88"/>
      <c r="T5" s="88"/>
    </row>
    <row r="6" customHeight="1" spans="8:12">
      <c r="H6" s="86"/>
      <c r="I6" s="86"/>
      <c r="J6" s="86"/>
      <c r="K6" s="86"/>
      <c r="L6" s="86"/>
    </row>
    <row r="7" customHeight="1" spans="8:12">
      <c r="H7" s="87"/>
      <c r="I7" s="87"/>
      <c r="J7" s="87"/>
      <c r="K7" s="87"/>
      <c r="L7" s="86"/>
    </row>
    <row r="8" customHeight="1" spans="8:12">
      <c r="H8" s="86"/>
      <c r="I8" s="86"/>
      <c r="J8" s="86"/>
      <c r="K8" s="86"/>
      <c r="L8" s="86"/>
    </row>
    <row r="9" customHeight="1" spans="8:12">
      <c r="H9" s="86"/>
      <c r="I9" s="86"/>
      <c r="J9" s="86"/>
      <c r="K9" s="86"/>
      <c r="L9" s="86"/>
    </row>
    <row r="10" customHeight="1" spans="8:12">
      <c r="H10" s="86"/>
      <c r="I10" s="86"/>
      <c r="J10" s="86"/>
      <c r="K10" s="86"/>
      <c r="L10" s="86"/>
    </row>
    <row r="11" customHeight="1" spans="8:12">
      <c r="H11" s="86"/>
      <c r="I11" s="86"/>
      <c r="J11" s="86"/>
      <c r="K11" s="86"/>
      <c r="L11" s="8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70" t="s">
        <v>0</v>
      </c>
      <c r="B1" s="71" t="s">
        <v>1</v>
      </c>
      <c r="C1" s="58" t="s">
        <v>2</v>
      </c>
      <c r="D1" s="58" t="s">
        <v>3</v>
      </c>
      <c r="E1" s="72" t="s">
        <v>570</v>
      </c>
      <c r="F1" s="72" t="s">
        <v>571</v>
      </c>
      <c r="G1" s="72" t="s">
        <v>572</v>
      </c>
      <c r="H1" s="73" t="s">
        <v>573</v>
      </c>
      <c r="I1" s="75" t="s">
        <v>574</v>
      </c>
      <c r="J1" s="76" t="s">
        <v>575</v>
      </c>
      <c r="K1" s="76" t="s">
        <v>576</v>
      </c>
      <c r="L1" s="77" t="s">
        <v>15</v>
      </c>
      <c r="M1" s="78" t="s">
        <v>16</v>
      </c>
      <c r="N1" s="79" t="s">
        <v>577</v>
      </c>
    </row>
    <row r="2" ht="49" customHeight="1" spans="1:14">
      <c r="A2" s="4" t="s">
        <v>578</v>
      </c>
      <c r="B2" s="4" t="s">
        <v>579</v>
      </c>
      <c r="C2" s="37" t="s">
        <v>29</v>
      </c>
      <c r="D2" s="61"/>
      <c r="E2" s="4" t="s">
        <v>31</v>
      </c>
      <c r="F2" s="4" t="s">
        <v>32</v>
      </c>
      <c r="G2" s="37" t="s">
        <v>580</v>
      </c>
      <c r="H2" s="4" t="s">
        <v>581</v>
      </c>
      <c r="I2" s="4" t="s">
        <v>33</v>
      </c>
      <c r="J2" s="4" t="b">
        <v>1</v>
      </c>
      <c r="K2" s="80" t="b">
        <v>1</v>
      </c>
      <c r="L2" s="62" t="s">
        <v>582</v>
      </c>
      <c r="M2" s="9">
        <v>200</v>
      </c>
      <c r="N2" s="9" t="s">
        <v>161</v>
      </c>
    </row>
    <row r="3" ht="49" customHeight="1" spans="1:14">
      <c r="A3" s="74" t="s">
        <v>583</v>
      </c>
      <c r="B3" s="4" t="s">
        <v>584</v>
      </c>
      <c r="C3" s="4" t="s">
        <v>29</v>
      </c>
      <c r="D3" s="61"/>
      <c r="E3" s="4" t="s">
        <v>31</v>
      </c>
      <c r="F3" s="4" t="s">
        <v>32</v>
      </c>
      <c r="G3" s="37" t="s">
        <v>580</v>
      </c>
      <c r="H3" s="4" t="s">
        <v>581</v>
      </c>
      <c r="I3" s="4" t="s">
        <v>585</v>
      </c>
      <c r="J3" s="4" t="b">
        <v>1</v>
      </c>
      <c r="K3" s="80" t="b">
        <v>1</v>
      </c>
      <c r="L3" s="62" t="s">
        <v>582</v>
      </c>
      <c r="M3" s="9">
        <v>200</v>
      </c>
      <c r="N3" s="9" t="s">
        <v>161</v>
      </c>
    </row>
    <row r="4" ht="49" customHeight="1" spans="1:14">
      <c r="A4" s="4" t="s">
        <v>586</v>
      </c>
      <c r="B4" s="4" t="s">
        <v>587</v>
      </c>
      <c r="C4" s="4" t="s">
        <v>29</v>
      </c>
      <c r="D4" s="37"/>
      <c r="E4" s="4" t="s">
        <v>31</v>
      </c>
      <c r="F4" s="4" t="s">
        <v>32</v>
      </c>
      <c r="G4" s="37" t="s">
        <v>580</v>
      </c>
      <c r="H4" s="4" t="s">
        <v>581</v>
      </c>
      <c r="I4" s="4" t="s">
        <v>588</v>
      </c>
      <c r="J4" s="4" t="b">
        <v>1</v>
      </c>
      <c r="K4" s="80" t="b">
        <v>1</v>
      </c>
      <c r="L4" s="62" t="s">
        <v>582</v>
      </c>
      <c r="M4" s="9">
        <v>200</v>
      </c>
      <c r="N4" s="9" t="s">
        <v>161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H17" sqref="H17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8" t="s">
        <v>3</v>
      </c>
      <c r="E1" s="59" t="s">
        <v>570</v>
      </c>
      <c r="F1" s="60" t="s">
        <v>571</v>
      </c>
      <c r="G1" s="60" t="s">
        <v>574</v>
      </c>
      <c r="H1" s="12" t="s">
        <v>15</v>
      </c>
      <c r="I1" s="59" t="s">
        <v>16</v>
      </c>
      <c r="J1" s="63" t="s">
        <v>18</v>
      </c>
    </row>
    <row r="2" ht="49" customHeight="1" spans="1:10">
      <c r="A2" s="4" t="s">
        <v>589</v>
      </c>
      <c r="B2" s="4" t="s">
        <v>590</v>
      </c>
      <c r="C2" s="4" t="s">
        <v>29</v>
      </c>
      <c r="D2" s="61"/>
      <c r="E2" s="4" t="s">
        <v>31</v>
      </c>
      <c r="F2" s="4" t="s">
        <v>32</v>
      </c>
      <c r="G2" s="4" t="s">
        <v>33</v>
      </c>
      <c r="H2" s="62" t="s">
        <v>591</v>
      </c>
      <c r="I2" s="64">
        <v>200</v>
      </c>
      <c r="J2" s="9" t="s">
        <v>161</v>
      </c>
    </row>
    <row r="3" ht="49" customHeight="1" spans="1:10">
      <c r="A3" s="4" t="s">
        <v>592</v>
      </c>
      <c r="B3" s="4" t="s">
        <v>593</v>
      </c>
      <c r="C3" s="4" t="s">
        <v>29</v>
      </c>
      <c r="D3" s="61"/>
      <c r="E3" s="4" t="s">
        <v>31</v>
      </c>
      <c r="F3" s="4" t="s">
        <v>32</v>
      </c>
      <c r="G3" s="4" t="s">
        <v>588</v>
      </c>
      <c r="H3" s="62" t="s">
        <v>591</v>
      </c>
      <c r="I3" s="64">
        <v>200</v>
      </c>
      <c r="J3" s="9" t="s">
        <v>161</v>
      </c>
    </row>
    <row r="4" ht="49" customHeight="1" spans="1:10">
      <c r="A4" s="4" t="s">
        <v>594</v>
      </c>
      <c r="B4" s="4" t="s">
        <v>595</v>
      </c>
      <c r="C4" s="4" t="s">
        <v>596</v>
      </c>
      <c r="D4" s="37"/>
      <c r="E4" s="4" t="s">
        <v>31</v>
      </c>
      <c r="F4" s="4" t="s">
        <v>32</v>
      </c>
      <c r="G4" s="4"/>
      <c r="H4" s="62" t="s">
        <v>597</v>
      </c>
      <c r="I4" s="64">
        <v>400</v>
      </c>
      <c r="J4" s="9" t="s">
        <v>161</v>
      </c>
    </row>
    <row r="5" ht="49" customHeight="1" spans="1:10">
      <c r="A5" s="4" t="s">
        <v>598</v>
      </c>
      <c r="B5" s="4" t="s">
        <v>599</v>
      </c>
      <c r="C5" s="4" t="s">
        <v>596</v>
      </c>
      <c r="D5" s="37"/>
      <c r="E5" s="4" t="s">
        <v>31</v>
      </c>
      <c r="F5" s="4" t="s">
        <v>32</v>
      </c>
      <c r="G5" s="4" t="s">
        <v>600</v>
      </c>
      <c r="H5" s="62" t="s">
        <v>591</v>
      </c>
      <c r="I5" s="64">
        <v>200</v>
      </c>
      <c r="J5" s="9" t="s">
        <v>161</v>
      </c>
    </row>
    <row r="6" ht="49" customHeight="1" spans="1:10">
      <c r="A6" s="4" t="s">
        <v>601</v>
      </c>
      <c r="B6" s="4" t="s">
        <v>602</v>
      </c>
      <c r="C6" s="4" t="s">
        <v>596</v>
      </c>
      <c r="D6" s="37"/>
      <c r="E6" s="4" t="s">
        <v>603</v>
      </c>
      <c r="F6" s="4" t="s">
        <v>32</v>
      </c>
      <c r="G6" s="4" t="s">
        <v>33</v>
      </c>
      <c r="H6" s="62" t="s">
        <v>591</v>
      </c>
      <c r="I6" s="64">
        <v>200</v>
      </c>
      <c r="J6" s="9" t="s">
        <v>161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topLeftCell="A2" workbookViewId="0">
      <selection activeCell="F24" sqref="F24:F26"/>
    </sheetView>
  </sheetViews>
  <sheetFormatPr defaultColWidth="9" defaultRowHeight="15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8" t="s">
        <v>3</v>
      </c>
      <c r="E1" s="59" t="s">
        <v>570</v>
      </c>
      <c r="F1" s="60" t="s">
        <v>571</v>
      </c>
      <c r="G1" s="60" t="s">
        <v>574</v>
      </c>
      <c r="H1" s="12" t="s">
        <v>15</v>
      </c>
      <c r="I1" s="59" t="s">
        <v>16</v>
      </c>
      <c r="J1" s="63" t="s">
        <v>604</v>
      </c>
    </row>
    <row r="2" ht="49" customHeight="1" spans="1:10">
      <c r="A2" s="4" t="s">
        <v>605</v>
      </c>
      <c r="B2" s="4" t="s">
        <v>606</v>
      </c>
      <c r="C2" s="4" t="s">
        <v>29</v>
      </c>
      <c r="D2" s="61"/>
      <c r="E2" s="4" t="s">
        <v>31</v>
      </c>
      <c r="F2" s="4" t="s">
        <v>32</v>
      </c>
      <c r="G2" s="4" t="s">
        <v>33</v>
      </c>
      <c r="H2" s="62" t="s">
        <v>607</v>
      </c>
      <c r="I2" s="64">
        <v>200</v>
      </c>
      <c r="J2" s="9">
        <v>2100000</v>
      </c>
    </row>
    <row r="3" s="28" customFormat="1" ht="23" customHeight="1" spans="1:47">
      <c r="A3" s="30"/>
      <c r="B3" s="31" t="s">
        <v>608</v>
      </c>
      <c r="C3" s="32"/>
      <c r="D3" s="32"/>
      <c r="E3" s="33"/>
      <c r="F3" s="33"/>
      <c r="G3" s="33"/>
      <c r="H3" s="33"/>
      <c r="I3" s="33"/>
      <c r="J3" s="33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7"/>
      <c r="AJ3" s="67"/>
      <c r="AK3" s="68"/>
      <c r="AL3" s="68"/>
      <c r="AM3" s="68"/>
      <c r="AN3" s="68"/>
      <c r="AO3" s="68"/>
      <c r="AP3" s="69"/>
      <c r="AQ3" s="68"/>
      <c r="AR3" s="68"/>
      <c r="AS3" s="68"/>
      <c r="AT3" s="68"/>
      <c r="AU3" s="69"/>
    </row>
    <row r="4" ht="49" customHeight="1" spans="1:10">
      <c r="A4" s="4" t="s">
        <v>609</v>
      </c>
      <c r="B4" s="4" t="s">
        <v>606</v>
      </c>
      <c r="C4" s="4" t="s">
        <v>29</v>
      </c>
      <c r="D4" s="61"/>
      <c r="E4" s="4" t="s">
        <v>31</v>
      </c>
      <c r="F4" s="4" t="s">
        <v>32</v>
      </c>
      <c r="G4" s="4" t="s">
        <v>33</v>
      </c>
      <c r="H4" s="62" t="s">
        <v>607</v>
      </c>
      <c r="I4" s="64">
        <v>200</v>
      </c>
      <c r="J4" s="9">
        <v>1900000</v>
      </c>
    </row>
    <row r="5" s="28" customFormat="1" ht="23" customHeight="1" spans="1:47">
      <c r="A5" s="30"/>
      <c r="B5" s="65" t="s">
        <v>70</v>
      </c>
      <c r="C5" s="65"/>
      <c r="D5" s="65"/>
      <c r="E5" s="65"/>
      <c r="F5" s="65"/>
      <c r="G5" s="43"/>
      <c r="H5" s="43"/>
      <c r="I5" s="43"/>
      <c r="J5" s="43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7"/>
      <c r="AJ5" s="67"/>
      <c r="AK5" s="68"/>
      <c r="AL5" s="68"/>
      <c r="AM5" s="68"/>
      <c r="AN5" s="68"/>
      <c r="AO5" s="68"/>
      <c r="AP5" s="69"/>
      <c r="AQ5" s="68"/>
      <c r="AR5" s="68"/>
      <c r="AS5" s="68"/>
      <c r="AT5" s="68"/>
      <c r="AU5" s="69"/>
    </row>
    <row r="6" ht="49" customHeight="1" spans="1:10">
      <c r="A6" s="4" t="s">
        <v>610</v>
      </c>
      <c r="B6" s="4" t="s">
        <v>611</v>
      </c>
      <c r="C6" s="4" t="s">
        <v>29</v>
      </c>
      <c r="D6" s="61"/>
      <c r="E6" s="4" t="s">
        <v>31</v>
      </c>
      <c r="F6" s="4" t="s">
        <v>32</v>
      </c>
      <c r="G6" s="4" t="s">
        <v>33</v>
      </c>
      <c r="H6" s="62" t="s">
        <v>607</v>
      </c>
      <c r="I6" s="64">
        <v>200</v>
      </c>
      <c r="J6" s="9">
        <v>0</v>
      </c>
    </row>
    <row r="7" s="28" customFormat="1" ht="23" customHeight="1" spans="1:47">
      <c r="A7" s="30"/>
      <c r="B7" s="65" t="s">
        <v>281</v>
      </c>
      <c r="C7" s="65"/>
      <c r="D7" s="65"/>
      <c r="E7" s="65"/>
      <c r="F7" s="65"/>
      <c r="G7" s="43"/>
      <c r="H7" s="43"/>
      <c r="I7" s="43"/>
      <c r="J7" s="43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7"/>
      <c r="AJ7" s="67"/>
      <c r="AK7" s="68"/>
      <c r="AL7" s="68"/>
      <c r="AM7" s="68"/>
      <c r="AN7" s="68"/>
      <c r="AO7" s="68"/>
      <c r="AP7" s="69"/>
      <c r="AQ7" s="68"/>
      <c r="AR7" s="68"/>
      <c r="AS7" s="68"/>
      <c r="AT7" s="68"/>
      <c r="AU7" s="69"/>
    </row>
    <row r="8" ht="49" customHeight="1" spans="1:10">
      <c r="A8" s="4" t="s">
        <v>612</v>
      </c>
      <c r="B8" s="4" t="s">
        <v>613</v>
      </c>
      <c r="C8" s="4" t="s">
        <v>29</v>
      </c>
      <c r="D8" s="61"/>
      <c r="E8" s="4" t="s">
        <v>31</v>
      </c>
      <c r="F8" s="4" t="s">
        <v>32</v>
      </c>
      <c r="G8" s="4" t="s">
        <v>33</v>
      </c>
      <c r="H8" s="62" t="s">
        <v>607</v>
      </c>
      <c r="I8" s="64">
        <v>200</v>
      </c>
      <c r="J8" s="9">
        <v>2000000</v>
      </c>
    </row>
    <row r="9" s="28" customFormat="1" ht="23" customHeight="1" spans="1:47">
      <c r="A9" s="30"/>
      <c r="B9" s="65" t="s">
        <v>288</v>
      </c>
      <c r="C9" s="65"/>
      <c r="D9" s="65"/>
      <c r="E9" s="65"/>
      <c r="F9" s="65"/>
      <c r="G9" s="43"/>
      <c r="H9" s="43"/>
      <c r="I9" s="43"/>
      <c r="J9" s="43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7"/>
      <c r="AJ9" s="67"/>
      <c r="AK9" s="68"/>
      <c r="AL9" s="68"/>
      <c r="AM9" s="68"/>
      <c r="AN9" s="68"/>
      <c r="AO9" s="68"/>
      <c r="AP9" s="69"/>
      <c r="AQ9" s="68"/>
      <c r="AR9" s="68"/>
      <c r="AS9" s="68"/>
      <c r="AT9" s="68"/>
      <c r="AU9" s="69"/>
    </row>
    <row r="10" ht="49" customHeight="1" spans="1:10">
      <c r="A10" s="4" t="s">
        <v>614</v>
      </c>
      <c r="B10" s="4" t="s">
        <v>615</v>
      </c>
      <c r="C10" s="4" t="s">
        <v>29</v>
      </c>
      <c r="D10" s="61"/>
      <c r="E10" s="4" t="s">
        <v>31</v>
      </c>
      <c r="F10" s="4" t="s">
        <v>32</v>
      </c>
      <c r="G10" s="4" t="s">
        <v>33</v>
      </c>
      <c r="H10" s="62" t="s">
        <v>607</v>
      </c>
      <c r="I10" s="64">
        <v>200</v>
      </c>
      <c r="J10" s="9">
        <v>1890000</v>
      </c>
    </row>
    <row r="11" s="28" customFormat="1" ht="23" customHeight="1" spans="1:47">
      <c r="A11" s="30"/>
      <c r="B11" s="65" t="s">
        <v>616</v>
      </c>
      <c r="C11" s="65"/>
      <c r="D11" s="65"/>
      <c r="E11" s="65"/>
      <c r="F11" s="65"/>
      <c r="G11" s="43"/>
      <c r="H11" s="43"/>
      <c r="I11" s="43"/>
      <c r="J11" s="43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7"/>
      <c r="AJ11" s="67"/>
      <c r="AK11" s="68"/>
      <c r="AL11" s="68"/>
      <c r="AM11" s="68"/>
      <c r="AN11" s="68"/>
      <c r="AO11" s="68"/>
      <c r="AP11" s="69"/>
      <c r="AQ11" s="68"/>
      <c r="AR11" s="68"/>
      <c r="AS11" s="68"/>
      <c r="AT11" s="68"/>
      <c r="AU11" s="69"/>
    </row>
    <row r="12" ht="49" customHeight="1" spans="1:10">
      <c r="A12" s="4" t="s">
        <v>617</v>
      </c>
      <c r="B12" s="4" t="s">
        <v>618</v>
      </c>
      <c r="C12" s="4" t="s">
        <v>29</v>
      </c>
      <c r="D12" s="61"/>
      <c r="E12" s="4" t="s">
        <v>31</v>
      </c>
      <c r="F12" s="4" t="s">
        <v>32</v>
      </c>
      <c r="G12" s="4" t="s">
        <v>33</v>
      </c>
      <c r="H12" s="62" t="s">
        <v>607</v>
      </c>
      <c r="I12" s="64">
        <v>200</v>
      </c>
      <c r="J12" s="9">
        <v>350000</v>
      </c>
    </row>
  </sheetData>
  <mergeCells count="5">
    <mergeCell ref="B3:D3"/>
    <mergeCell ref="B5:F5"/>
    <mergeCell ref="B7:F7"/>
    <mergeCell ref="B9:F9"/>
    <mergeCell ref="B11:F1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8" t="s">
        <v>3</v>
      </c>
      <c r="E1" s="59" t="s">
        <v>570</v>
      </c>
      <c r="F1" s="60" t="s">
        <v>571</v>
      </c>
      <c r="G1" s="60" t="s">
        <v>574</v>
      </c>
      <c r="H1" s="12" t="s">
        <v>15</v>
      </c>
      <c r="I1" s="59" t="s">
        <v>16</v>
      </c>
      <c r="J1" s="63" t="s">
        <v>604</v>
      </c>
    </row>
    <row r="2" ht="49" customHeight="1" spans="1:10">
      <c r="A2" s="4" t="s">
        <v>619</v>
      </c>
      <c r="B2" s="4" t="s">
        <v>620</v>
      </c>
      <c r="C2" s="4" t="s">
        <v>29</v>
      </c>
      <c r="D2" s="61"/>
      <c r="E2" s="4" t="s">
        <v>31</v>
      </c>
      <c r="F2" s="4" t="s">
        <v>32</v>
      </c>
      <c r="G2" s="4" t="s">
        <v>33</v>
      </c>
      <c r="H2" s="62" t="s">
        <v>607</v>
      </c>
      <c r="I2" s="64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8" t="s">
        <v>3</v>
      </c>
      <c r="E1" s="59" t="s">
        <v>570</v>
      </c>
      <c r="F1" s="60" t="s">
        <v>571</v>
      </c>
      <c r="G1" s="60" t="s">
        <v>574</v>
      </c>
      <c r="H1" s="12" t="s">
        <v>15</v>
      </c>
      <c r="I1" s="59" t="s">
        <v>16</v>
      </c>
      <c r="J1" s="63" t="s">
        <v>604</v>
      </c>
    </row>
    <row r="2" ht="49" customHeight="1" spans="1:10">
      <c r="A2" s="4" t="s">
        <v>621</v>
      </c>
      <c r="B2" s="4" t="s">
        <v>620</v>
      </c>
      <c r="C2" s="4" t="s">
        <v>29</v>
      </c>
      <c r="D2" s="61"/>
      <c r="E2" s="4" t="s">
        <v>31</v>
      </c>
      <c r="F2" s="4" t="s">
        <v>32</v>
      </c>
      <c r="G2" s="4" t="s">
        <v>33</v>
      </c>
      <c r="H2" s="62" t="s">
        <v>607</v>
      </c>
      <c r="I2" s="64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8" t="s">
        <v>3</v>
      </c>
      <c r="E1" s="59" t="s">
        <v>570</v>
      </c>
      <c r="F1" s="60" t="s">
        <v>571</v>
      </c>
      <c r="G1" s="60" t="s">
        <v>574</v>
      </c>
      <c r="H1" s="12" t="s">
        <v>15</v>
      </c>
      <c r="I1" s="59" t="s">
        <v>16</v>
      </c>
      <c r="J1" s="63" t="s">
        <v>604</v>
      </c>
    </row>
    <row r="2" ht="49" customHeight="1" spans="1:10">
      <c r="A2" s="4" t="s">
        <v>622</v>
      </c>
      <c r="B2" s="4" t="s">
        <v>620</v>
      </c>
      <c r="C2" s="4" t="s">
        <v>29</v>
      </c>
      <c r="D2" s="61"/>
      <c r="E2" s="4" t="s">
        <v>31</v>
      </c>
      <c r="F2" s="4" t="s">
        <v>32</v>
      </c>
      <c r="G2" s="4" t="s">
        <v>33</v>
      </c>
      <c r="H2" s="62" t="s">
        <v>607</v>
      </c>
      <c r="I2" s="64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52" t="s">
        <v>623</v>
      </c>
      <c r="F1" s="52" t="s">
        <v>624</v>
      </c>
      <c r="G1" s="52" t="s">
        <v>546</v>
      </c>
      <c r="H1" s="52" t="s">
        <v>4</v>
      </c>
      <c r="I1" s="52" t="s">
        <v>5</v>
      </c>
      <c r="J1" s="52" t="s">
        <v>547</v>
      </c>
      <c r="K1" s="52" t="s">
        <v>548</v>
      </c>
      <c r="L1" s="52" t="s">
        <v>549</v>
      </c>
      <c r="M1" s="52" t="s">
        <v>550</v>
      </c>
      <c r="N1" s="52" t="s">
        <v>625</v>
      </c>
      <c r="O1" s="52" t="s">
        <v>552</v>
      </c>
      <c r="P1" s="52" t="s">
        <v>553</v>
      </c>
      <c r="Q1" s="52" t="s">
        <v>626</v>
      </c>
      <c r="R1" s="52" t="s">
        <v>627</v>
      </c>
      <c r="S1" s="52" t="s">
        <v>628</v>
      </c>
      <c r="T1" s="56" t="s">
        <v>15</v>
      </c>
      <c r="U1" s="10" t="s">
        <v>16</v>
      </c>
      <c r="V1" s="10" t="s">
        <v>555</v>
      </c>
      <c r="W1" s="10" t="s">
        <v>629</v>
      </c>
      <c r="X1" s="10" t="s">
        <v>557</v>
      </c>
      <c r="Y1" s="18" t="s">
        <v>558</v>
      </c>
      <c r="Z1" s="10" t="s">
        <v>559</v>
      </c>
      <c r="AA1" s="10" t="s">
        <v>560</v>
      </c>
      <c r="AB1" s="10" t="s">
        <v>561</v>
      </c>
      <c r="AC1" s="10" t="s">
        <v>562</v>
      </c>
      <c r="AD1" s="18" t="s">
        <v>563</v>
      </c>
    </row>
    <row r="2" s="1" customFormat="1" ht="50" customHeight="1" spans="1:30">
      <c r="A2" s="4" t="s">
        <v>630</v>
      </c>
      <c r="B2" s="7" t="s">
        <v>631</v>
      </c>
      <c r="C2" s="6" t="s">
        <v>29</v>
      </c>
      <c r="D2" s="17" t="s">
        <v>632</v>
      </c>
      <c r="E2" s="9" t="s">
        <v>633</v>
      </c>
      <c r="F2" s="9">
        <v>0</v>
      </c>
      <c r="G2" s="4" t="s">
        <v>146</v>
      </c>
      <c r="H2" s="4" t="s">
        <v>31</v>
      </c>
      <c r="I2" s="4" t="s">
        <v>32</v>
      </c>
      <c r="J2" s="4" t="s">
        <v>634</v>
      </c>
      <c r="K2" s="9" t="s">
        <v>635</v>
      </c>
      <c r="L2" s="54"/>
      <c r="M2" s="54"/>
      <c r="N2" s="4" t="s">
        <v>636</v>
      </c>
      <c r="O2" s="54"/>
      <c r="P2" s="54"/>
      <c r="Q2" s="9" t="s">
        <v>637</v>
      </c>
      <c r="R2" s="17"/>
      <c r="S2" s="17"/>
      <c r="T2" s="17" t="s">
        <v>638</v>
      </c>
      <c r="U2" s="21">
        <v>200</v>
      </c>
      <c r="V2" s="21" t="s">
        <v>161</v>
      </c>
      <c r="W2" s="21"/>
      <c r="X2" s="21" t="s">
        <v>34</v>
      </c>
      <c r="Y2" s="51" t="b">
        <v>0</v>
      </c>
      <c r="Z2" s="21" t="s">
        <v>162</v>
      </c>
      <c r="AA2" s="21" t="s">
        <v>161</v>
      </c>
      <c r="AB2" s="21" t="s">
        <v>161</v>
      </c>
      <c r="AC2" s="57" t="s">
        <v>163</v>
      </c>
      <c r="AD2" s="51" t="b">
        <v>0</v>
      </c>
    </row>
    <row r="3" s="1" customFormat="1" ht="69" customHeight="1" spans="1:30">
      <c r="A3" s="4" t="s">
        <v>639</v>
      </c>
      <c r="B3" s="7" t="s">
        <v>640</v>
      </c>
      <c r="C3" s="6" t="s">
        <v>29</v>
      </c>
      <c r="D3" s="17" t="s">
        <v>632</v>
      </c>
      <c r="E3" s="9" t="s">
        <v>633</v>
      </c>
      <c r="F3" s="9">
        <v>0</v>
      </c>
      <c r="G3" s="4" t="s">
        <v>146</v>
      </c>
      <c r="H3" s="4" t="s">
        <v>31</v>
      </c>
      <c r="I3" s="4" t="s">
        <v>32</v>
      </c>
      <c r="J3" s="4" t="s">
        <v>634</v>
      </c>
      <c r="K3" s="4" t="s">
        <v>641</v>
      </c>
      <c r="L3" s="55"/>
      <c r="M3" s="55"/>
      <c r="N3" s="4" t="s">
        <v>636</v>
      </c>
      <c r="O3" s="54" t="s">
        <v>642</v>
      </c>
      <c r="P3" s="54"/>
      <c r="Q3" s="9" t="s">
        <v>637</v>
      </c>
      <c r="R3" s="17"/>
      <c r="S3" s="17"/>
      <c r="T3" s="17" t="s">
        <v>638</v>
      </c>
      <c r="U3" s="21">
        <v>200</v>
      </c>
      <c r="V3" s="21" t="s">
        <v>161</v>
      </c>
      <c r="W3" s="21" t="str">
        <f>O3</f>
        <v>VST100</v>
      </c>
      <c r="X3" s="21" t="s">
        <v>34</v>
      </c>
      <c r="Y3" s="51" t="b">
        <v>0</v>
      </c>
      <c r="Z3" s="21" t="s">
        <v>162</v>
      </c>
      <c r="AA3" s="21" t="s">
        <v>161</v>
      </c>
      <c r="AB3" s="21" t="s">
        <v>161</v>
      </c>
      <c r="AC3" s="57" t="s">
        <v>163</v>
      </c>
      <c r="AD3" s="51" t="b">
        <v>0</v>
      </c>
    </row>
    <row r="4" s="1" customFormat="1" ht="69" customHeight="1" spans="1:30">
      <c r="A4" s="4" t="s">
        <v>643</v>
      </c>
      <c r="B4" s="7" t="s">
        <v>644</v>
      </c>
      <c r="C4" s="6" t="s">
        <v>29</v>
      </c>
      <c r="D4" s="17" t="s">
        <v>632</v>
      </c>
      <c r="E4" s="9" t="s">
        <v>633</v>
      </c>
      <c r="F4" s="9">
        <v>0</v>
      </c>
      <c r="G4" s="4" t="s">
        <v>146</v>
      </c>
      <c r="H4" s="4" t="s">
        <v>31</v>
      </c>
      <c r="I4" s="4" t="s">
        <v>32</v>
      </c>
      <c r="J4" s="4" t="s">
        <v>634</v>
      </c>
      <c r="K4" s="4" t="s">
        <v>641</v>
      </c>
      <c r="L4" s="7"/>
      <c r="M4" s="7"/>
      <c r="N4" s="4" t="s">
        <v>636</v>
      </c>
      <c r="O4" s="54"/>
      <c r="P4" s="54">
        <v>1</v>
      </c>
      <c r="Q4" s="9" t="s">
        <v>637</v>
      </c>
      <c r="R4" s="17"/>
      <c r="S4" s="17"/>
      <c r="T4" s="17" t="s">
        <v>638</v>
      </c>
      <c r="U4" s="21">
        <v>200</v>
      </c>
      <c r="V4" s="21" t="s">
        <v>161</v>
      </c>
      <c r="W4" s="21"/>
      <c r="X4" s="21" t="s">
        <v>34</v>
      </c>
      <c r="Y4" s="51" t="b">
        <v>0</v>
      </c>
      <c r="Z4" s="21" t="s">
        <v>162</v>
      </c>
      <c r="AA4" s="21" t="s">
        <v>161</v>
      </c>
      <c r="AB4" s="21" t="s">
        <v>161</v>
      </c>
      <c r="AC4" s="57" t="s">
        <v>163</v>
      </c>
      <c r="AD4" s="51" t="b">
        <v>0</v>
      </c>
    </row>
    <row r="5" s="1" customFormat="1" ht="69" customHeight="1" spans="1:30">
      <c r="A5" s="4" t="s">
        <v>645</v>
      </c>
      <c r="B5" s="7" t="s">
        <v>646</v>
      </c>
      <c r="C5" s="6" t="s">
        <v>29</v>
      </c>
      <c r="D5" s="17" t="s">
        <v>632</v>
      </c>
      <c r="E5" s="9" t="s">
        <v>633</v>
      </c>
      <c r="F5" s="9">
        <v>0</v>
      </c>
      <c r="G5" s="4" t="s">
        <v>146</v>
      </c>
      <c r="H5" s="4" t="s">
        <v>31</v>
      </c>
      <c r="I5" s="4" t="s">
        <v>32</v>
      </c>
      <c r="J5" s="4" t="s">
        <v>634</v>
      </c>
      <c r="K5" s="4" t="s">
        <v>641</v>
      </c>
      <c r="L5" s="125" t="s">
        <v>51</v>
      </c>
      <c r="M5" s="7"/>
      <c r="N5" s="4" t="s">
        <v>636</v>
      </c>
      <c r="O5" s="54"/>
      <c r="P5" s="54"/>
      <c r="Q5" s="9" t="s">
        <v>637</v>
      </c>
      <c r="R5" s="17"/>
      <c r="S5" s="17"/>
      <c r="T5" s="17" t="s">
        <v>638</v>
      </c>
      <c r="U5" s="21">
        <v>200</v>
      </c>
      <c r="V5" s="21" t="s">
        <v>161</v>
      </c>
      <c r="W5" s="21"/>
      <c r="X5" s="21" t="s">
        <v>34</v>
      </c>
      <c r="Y5" s="51" t="b">
        <v>0</v>
      </c>
      <c r="Z5" s="21" t="s">
        <v>162</v>
      </c>
      <c r="AA5" s="21" t="s">
        <v>161</v>
      </c>
      <c r="AB5" s="21" t="s">
        <v>161</v>
      </c>
      <c r="AC5" s="57" t="s">
        <v>163</v>
      </c>
      <c r="AD5" s="51" t="b">
        <v>1</v>
      </c>
    </row>
    <row r="6" s="1" customFormat="1" ht="69" customHeight="1" spans="1:30">
      <c r="A6" s="4" t="s">
        <v>647</v>
      </c>
      <c r="B6" s="7" t="s">
        <v>648</v>
      </c>
      <c r="C6" s="6" t="s">
        <v>29</v>
      </c>
      <c r="D6" s="17" t="s">
        <v>632</v>
      </c>
      <c r="E6" s="9" t="s">
        <v>633</v>
      </c>
      <c r="F6" s="9">
        <v>0</v>
      </c>
      <c r="G6" s="4" t="s">
        <v>146</v>
      </c>
      <c r="H6" s="4" t="s">
        <v>31</v>
      </c>
      <c r="I6" s="4" t="s">
        <v>32</v>
      </c>
      <c r="J6" s="4" t="s">
        <v>634</v>
      </c>
      <c r="K6" s="4" t="s">
        <v>641</v>
      </c>
      <c r="L6" s="7"/>
      <c r="M6" s="7" t="s">
        <v>649</v>
      </c>
      <c r="N6" s="4" t="s">
        <v>636</v>
      </c>
      <c r="O6" s="54"/>
      <c r="P6" s="54"/>
      <c r="Q6" s="9" t="s">
        <v>637</v>
      </c>
      <c r="R6" s="17"/>
      <c r="S6" s="17"/>
      <c r="T6" s="17" t="s">
        <v>638</v>
      </c>
      <c r="U6" s="21">
        <v>200</v>
      </c>
      <c r="V6" s="21" t="s">
        <v>161</v>
      </c>
      <c r="W6" s="21"/>
      <c r="X6" s="21" t="s">
        <v>34</v>
      </c>
      <c r="Y6" s="51" t="b">
        <v>0</v>
      </c>
      <c r="Z6" s="21" t="s">
        <v>162</v>
      </c>
      <c r="AA6" s="21" t="s">
        <v>161</v>
      </c>
      <c r="AB6" s="21" t="s">
        <v>161</v>
      </c>
      <c r="AC6" s="57" t="s">
        <v>163</v>
      </c>
      <c r="AD6" s="51" t="b">
        <v>0</v>
      </c>
    </row>
    <row r="7" s="1" customFormat="1" ht="69" customHeight="1" spans="1:30">
      <c r="A7" s="4" t="s">
        <v>650</v>
      </c>
      <c r="B7" s="7" t="s">
        <v>651</v>
      </c>
      <c r="C7" s="6" t="s">
        <v>29</v>
      </c>
      <c r="D7" s="17" t="s">
        <v>632</v>
      </c>
      <c r="E7" s="9" t="s">
        <v>633</v>
      </c>
      <c r="F7" s="9">
        <v>0</v>
      </c>
      <c r="G7" s="4" t="s">
        <v>146</v>
      </c>
      <c r="H7" s="4" t="s">
        <v>31</v>
      </c>
      <c r="I7" s="4" t="s">
        <v>32</v>
      </c>
      <c r="J7" s="4" t="s">
        <v>634</v>
      </c>
      <c r="K7" s="9" t="s">
        <v>635</v>
      </c>
      <c r="L7" s="54"/>
      <c r="M7" s="54"/>
      <c r="N7" s="4" t="s">
        <v>636</v>
      </c>
      <c r="O7" s="54"/>
      <c r="P7" s="54"/>
      <c r="Q7" s="9" t="s">
        <v>637</v>
      </c>
      <c r="R7" s="4" t="s">
        <v>652</v>
      </c>
      <c r="S7" s="4" t="s">
        <v>653</v>
      </c>
      <c r="T7" s="17" t="s">
        <v>638</v>
      </c>
      <c r="U7" s="21">
        <v>200</v>
      </c>
      <c r="V7" s="21" t="s">
        <v>161</v>
      </c>
      <c r="W7" s="21"/>
      <c r="X7" s="21">
        <v>1</v>
      </c>
      <c r="Y7" s="51" t="b">
        <v>0</v>
      </c>
      <c r="Z7" s="21" t="s">
        <v>162</v>
      </c>
      <c r="AA7" s="21" t="s">
        <v>161</v>
      </c>
      <c r="AB7" s="21" t="s">
        <v>161</v>
      </c>
      <c r="AC7" s="21" t="s">
        <v>228</v>
      </c>
      <c r="AD7" s="51" t="b">
        <v>0</v>
      </c>
    </row>
    <row r="8" s="1" customFormat="1" ht="69" customHeight="1" spans="1:30">
      <c r="A8" s="4" t="s">
        <v>654</v>
      </c>
      <c r="B8" s="7" t="s">
        <v>655</v>
      </c>
      <c r="C8" s="6" t="s">
        <v>29</v>
      </c>
      <c r="D8" s="17" t="s">
        <v>632</v>
      </c>
      <c r="E8" s="9" t="s">
        <v>633</v>
      </c>
      <c r="F8" s="9">
        <v>0</v>
      </c>
      <c r="G8" s="4" t="s">
        <v>146</v>
      </c>
      <c r="H8" s="4" t="s">
        <v>31</v>
      </c>
      <c r="I8" s="4" t="s">
        <v>32</v>
      </c>
      <c r="J8" s="4" t="s">
        <v>634</v>
      </c>
      <c r="K8" s="4" t="s">
        <v>641</v>
      </c>
      <c r="L8" s="55"/>
      <c r="M8" s="55"/>
      <c r="N8" s="4" t="s">
        <v>636</v>
      </c>
      <c r="O8" s="54" t="s">
        <v>656</v>
      </c>
      <c r="P8" s="54"/>
      <c r="Q8" s="9" t="s">
        <v>637</v>
      </c>
      <c r="R8" s="4" t="s">
        <v>652</v>
      </c>
      <c r="S8" s="4" t="s">
        <v>653</v>
      </c>
      <c r="T8" s="17" t="s">
        <v>638</v>
      </c>
      <c r="U8" s="21">
        <v>200</v>
      </c>
      <c r="V8" s="21" t="s">
        <v>161</v>
      </c>
      <c r="W8" s="21" t="str">
        <f>O8</f>
        <v>MB100</v>
      </c>
      <c r="X8" s="21">
        <v>1</v>
      </c>
      <c r="Y8" s="51" t="b">
        <v>0</v>
      </c>
      <c r="Z8" s="21" t="s">
        <v>162</v>
      </c>
      <c r="AA8" s="21" t="s">
        <v>161</v>
      </c>
      <c r="AB8" s="21" t="s">
        <v>161</v>
      </c>
      <c r="AC8" s="21" t="s">
        <v>228</v>
      </c>
      <c r="AD8" s="51" t="b">
        <v>0</v>
      </c>
    </row>
    <row r="9" s="1" customFormat="1" ht="69" customHeight="1" spans="1:30">
      <c r="A9" s="4" t="s">
        <v>657</v>
      </c>
      <c r="B9" s="7" t="s">
        <v>658</v>
      </c>
      <c r="C9" s="6" t="s">
        <v>29</v>
      </c>
      <c r="D9" s="17" t="s">
        <v>632</v>
      </c>
      <c r="E9" s="9" t="s">
        <v>633</v>
      </c>
      <c r="F9" s="9">
        <v>0</v>
      </c>
      <c r="G9" s="4" t="s">
        <v>146</v>
      </c>
      <c r="H9" s="4" t="s">
        <v>31</v>
      </c>
      <c r="I9" s="4" t="s">
        <v>32</v>
      </c>
      <c r="J9" s="4" t="s">
        <v>634</v>
      </c>
      <c r="K9" s="4" t="s">
        <v>641</v>
      </c>
      <c r="L9" s="7"/>
      <c r="M9" s="7"/>
      <c r="N9" s="4" t="s">
        <v>636</v>
      </c>
      <c r="O9" s="54"/>
      <c r="P9" s="54">
        <v>1</v>
      </c>
      <c r="Q9" s="9" t="s">
        <v>637</v>
      </c>
      <c r="R9" s="4" t="s">
        <v>652</v>
      </c>
      <c r="S9" s="4" t="s">
        <v>653</v>
      </c>
      <c r="T9" s="17" t="s">
        <v>638</v>
      </c>
      <c r="U9" s="21">
        <v>200</v>
      </c>
      <c r="V9" s="21" t="s">
        <v>161</v>
      </c>
      <c r="W9" s="21"/>
      <c r="X9" s="21">
        <v>1</v>
      </c>
      <c r="Y9" s="51" t="b">
        <v>0</v>
      </c>
      <c r="Z9" s="21" t="s">
        <v>162</v>
      </c>
      <c r="AA9" s="21" t="s">
        <v>161</v>
      </c>
      <c r="AB9" s="21" t="s">
        <v>161</v>
      </c>
      <c r="AC9" s="21" t="s">
        <v>228</v>
      </c>
      <c r="AD9" s="51" t="b">
        <v>0</v>
      </c>
    </row>
    <row r="10" s="1" customFormat="1" ht="69" customHeight="1" spans="1:30">
      <c r="A10" s="4" t="s">
        <v>659</v>
      </c>
      <c r="B10" s="7" t="s">
        <v>660</v>
      </c>
      <c r="C10" s="6" t="s">
        <v>29</v>
      </c>
      <c r="D10" s="17" t="s">
        <v>632</v>
      </c>
      <c r="E10" s="9" t="s">
        <v>633</v>
      </c>
      <c r="F10" s="9">
        <v>0</v>
      </c>
      <c r="G10" s="4" t="s">
        <v>146</v>
      </c>
      <c r="H10" s="4" t="s">
        <v>31</v>
      </c>
      <c r="I10" s="4" t="s">
        <v>32</v>
      </c>
      <c r="J10" s="4" t="s">
        <v>634</v>
      </c>
      <c r="K10" s="4" t="s">
        <v>641</v>
      </c>
      <c r="L10" s="125" t="s">
        <v>51</v>
      </c>
      <c r="M10" s="7"/>
      <c r="N10" s="4" t="s">
        <v>636</v>
      </c>
      <c r="O10" s="54"/>
      <c r="P10" s="54"/>
      <c r="Q10" s="9" t="s">
        <v>637</v>
      </c>
      <c r="R10" s="4" t="s">
        <v>652</v>
      </c>
      <c r="S10" s="4" t="s">
        <v>653</v>
      </c>
      <c r="T10" s="17" t="s">
        <v>638</v>
      </c>
      <c r="U10" s="21">
        <v>200</v>
      </c>
      <c r="V10" s="21" t="s">
        <v>161</v>
      </c>
      <c r="W10" s="21"/>
      <c r="X10" s="21">
        <v>1</v>
      </c>
      <c r="Y10" s="51" t="b">
        <v>0</v>
      </c>
      <c r="Z10" s="21" t="s">
        <v>162</v>
      </c>
      <c r="AA10" s="21" t="s">
        <v>161</v>
      </c>
      <c r="AB10" s="21" t="s">
        <v>161</v>
      </c>
      <c r="AC10" s="21" t="s">
        <v>228</v>
      </c>
      <c r="AD10" s="51" t="b">
        <v>1</v>
      </c>
    </row>
    <row r="11" s="1" customFormat="1" ht="69" customHeight="1" spans="1:30">
      <c r="A11" s="4" t="s">
        <v>661</v>
      </c>
      <c r="B11" s="7" t="s">
        <v>662</v>
      </c>
      <c r="C11" s="6" t="s">
        <v>29</v>
      </c>
      <c r="D11" s="17" t="s">
        <v>632</v>
      </c>
      <c r="E11" s="9" t="s">
        <v>633</v>
      </c>
      <c r="F11" s="9">
        <v>0</v>
      </c>
      <c r="G11" s="4" t="s">
        <v>146</v>
      </c>
      <c r="H11" s="4" t="s">
        <v>31</v>
      </c>
      <c r="I11" s="4" t="s">
        <v>32</v>
      </c>
      <c r="J11" s="4" t="s">
        <v>634</v>
      </c>
      <c r="K11" s="4" t="s">
        <v>641</v>
      </c>
      <c r="L11" s="7"/>
      <c r="M11" s="7" t="s">
        <v>649</v>
      </c>
      <c r="N11" s="4" t="s">
        <v>636</v>
      </c>
      <c r="O11" s="54"/>
      <c r="P11" s="54"/>
      <c r="Q11" s="9" t="s">
        <v>637</v>
      </c>
      <c r="R11" s="4" t="s">
        <v>652</v>
      </c>
      <c r="S11" s="4" t="s">
        <v>653</v>
      </c>
      <c r="T11" s="17" t="s">
        <v>638</v>
      </c>
      <c r="U11" s="21">
        <v>200</v>
      </c>
      <c r="V11" s="21" t="s">
        <v>161</v>
      </c>
      <c r="W11" s="21"/>
      <c r="X11" s="21">
        <v>1</v>
      </c>
      <c r="Y11" s="51" t="b">
        <v>0</v>
      </c>
      <c r="Z11" s="21" t="s">
        <v>162</v>
      </c>
      <c r="AA11" s="21" t="s">
        <v>161</v>
      </c>
      <c r="AB11" s="21" t="s">
        <v>161</v>
      </c>
      <c r="AC11" s="21" t="s">
        <v>228</v>
      </c>
      <c r="AD11" s="51" t="b">
        <v>0</v>
      </c>
    </row>
    <row r="12" s="1" customFormat="1" ht="69" customHeight="1" spans="1:30">
      <c r="A12" s="4" t="s">
        <v>663</v>
      </c>
      <c r="B12" s="7" t="s">
        <v>664</v>
      </c>
      <c r="C12" s="6" t="s">
        <v>29</v>
      </c>
      <c r="D12" s="17" t="s">
        <v>632</v>
      </c>
      <c r="E12" s="9" t="s">
        <v>633</v>
      </c>
      <c r="F12" s="53">
        <v>378</v>
      </c>
      <c r="G12" s="4" t="s">
        <v>146</v>
      </c>
      <c r="H12" s="4" t="s">
        <v>31</v>
      </c>
      <c r="I12" s="4" t="s">
        <v>32</v>
      </c>
      <c r="J12" s="4" t="s">
        <v>634</v>
      </c>
      <c r="K12" s="9" t="s">
        <v>635</v>
      </c>
      <c r="L12" s="54"/>
      <c r="M12" s="54"/>
      <c r="N12" s="4" t="s">
        <v>636</v>
      </c>
      <c r="O12" s="54"/>
      <c r="P12" s="54"/>
      <c r="Q12" s="9" t="s">
        <v>637</v>
      </c>
      <c r="R12" s="17"/>
      <c r="S12" s="17"/>
      <c r="T12" s="17" t="s">
        <v>638</v>
      </c>
      <c r="U12" s="21">
        <v>200</v>
      </c>
      <c r="V12" s="21" t="s">
        <v>161</v>
      </c>
      <c r="W12" s="21"/>
      <c r="X12" s="21" t="s">
        <v>48</v>
      </c>
      <c r="Y12" s="51" t="b">
        <v>0</v>
      </c>
      <c r="Z12" s="21" t="s">
        <v>162</v>
      </c>
      <c r="AA12" s="21" t="s">
        <v>161</v>
      </c>
      <c r="AB12" s="21" t="s">
        <v>161</v>
      </c>
      <c r="AC12" s="21" t="s">
        <v>246</v>
      </c>
      <c r="AD12" s="51" t="b">
        <v>0</v>
      </c>
    </row>
    <row r="13" s="1" customFormat="1" ht="69" customHeight="1" spans="1:30">
      <c r="A13" s="4" t="s">
        <v>665</v>
      </c>
      <c r="B13" s="7" t="s">
        <v>666</v>
      </c>
      <c r="C13" s="6" t="s">
        <v>29</v>
      </c>
      <c r="D13" s="17" t="s">
        <v>632</v>
      </c>
      <c r="E13" s="9" t="s">
        <v>633</v>
      </c>
      <c r="F13" s="53">
        <v>378</v>
      </c>
      <c r="G13" s="4" t="s">
        <v>146</v>
      </c>
      <c r="H13" s="4" t="s">
        <v>31</v>
      </c>
      <c r="I13" s="4" t="s">
        <v>32</v>
      </c>
      <c r="J13" s="4" t="s">
        <v>634</v>
      </c>
      <c r="K13" s="4" t="s">
        <v>641</v>
      </c>
      <c r="L13" s="55"/>
      <c r="M13" s="55"/>
      <c r="N13" s="4" t="s">
        <v>636</v>
      </c>
      <c r="O13" s="54" t="s">
        <v>667</v>
      </c>
      <c r="P13" s="54"/>
      <c r="Q13" s="9" t="s">
        <v>637</v>
      </c>
      <c r="R13" s="17"/>
      <c r="S13" s="17"/>
      <c r="T13" s="17" t="s">
        <v>638</v>
      </c>
      <c r="U13" s="21">
        <v>200</v>
      </c>
      <c r="V13" s="21" t="s">
        <v>161</v>
      </c>
      <c r="W13" s="21" t="str">
        <f>O13</f>
        <v>AG101</v>
      </c>
      <c r="X13" s="21" t="s">
        <v>48</v>
      </c>
      <c r="Y13" s="51" t="b">
        <v>0</v>
      </c>
      <c r="Z13" s="21" t="s">
        <v>162</v>
      </c>
      <c r="AA13" s="21" t="s">
        <v>161</v>
      </c>
      <c r="AB13" s="21" t="s">
        <v>161</v>
      </c>
      <c r="AC13" s="21" t="s">
        <v>246</v>
      </c>
      <c r="AD13" s="51" t="b">
        <v>0</v>
      </c>
    </row>
    <row r="14" s="1" customFormat="1" ht="70" customHeight="1" spans="1:30">
      <c r="A14" s="4" t="s">
        <v>668</v>
      </c>
      <c r="B14" s="7" t="s">
        <v>669</v>
      </c>
      <c r="C14" s="6" t="s">
        <v>29</v>
      </c>
      <c r="D14" s="17" t="s">
        <v>632</v>
      </c>
      <c r="E14" s="9" t="s">
        <v>633</v>
      </c>
      <c r="F14" s="53">
        <v>378</v>
      </c>
      <c r="G14" s="4" t="s">
        <v>146</v>
      </c>
      <c r="H14" s="4" t="s">
        <v>31</v>
      </c>
      <c r="I14" s="4" t="s">
        <v>32</v>
      </c>
      <c r="J14" s="4" t="s">
        <v>634</v>
      </c>
      <c r="K14" s="4" t="s">
        <v>641</v>
      </c>
      <c r="L14" s="7"/>
      <c r="M14" s="7"/>
      <c r="N14" s="4" t="s">
        <v>636</v>
      </c>
      <c r="O14" s="54"/>
      <c r="P14" s="54">
        <v>1</v>
      </c>
      <c r="Q14" s="9" t="s">
        <v>637</v>
      </c>
      <c r="R14" s="17"/>
      <c r="S14" s="17"/>
      <c r="T14" s="17" t="s">
        <v>638</v>
      </c>
      <c r="U14" s="21">
        <v>200</v>
      </c>
      <c r="V14" s="21" t="s">
        <v>161</v>
      </c>
      <c r="W14" s="21"/>
      <c r="X14" s="21" t="s">
        <v>48</v>
      </c>
      <c r="Y14" s="51" t="b">
        <v>0</v>
      </c>
      <c r="Z14" s="21" t="s">
        <v>162</v>
      </c>
      <c r="AA14" s="21" t="s">
        <v>161</v>
      </c>
      <c r="AB14" s="21" t="s">
        <v>161</v>
      </c>
      <c r="AC14" s="21" t="s">
        <v>246</v>
      </c>
      <c r="AD14" s="51" t="b">
        <v>0</v>
      </c>
    </row>
    <row r="15" s="1" customFormat="1" ht="69" customHeight="1" spans="1:30">
      <c r="A15" s="4" t="s">
        <v>670</v>
      </c>
      <c r="B15" s="7" t="s">
        <v>671</v>
      </c>
      <c r="C15" s="6" t="s">
        <v>29</v>
      </c>
      <c r="D15" s="17" t="s">
        <v>632</v>
      </c>
      <c r="E15" s="9" t="s">
        <v>633</v>
      </c>
      <c r="F15" s="53">
        <v>378</v>
      </c>
      <c r="G15" s="4" t="s">
        <v>146</v>
      </c>
      <c r="H15" s="4" t="s">
        <v>31</v>
      </c>
      <c r="I15" s="4" t="s">
        <v>32</v>
      </c>
      <c r="J15" s="4" t="s">
        <v>634</v>
      </c>
      <c r="K15" s="4" t="s">
        <v>641</v>
      </c>
      <c r="L15" s="125" t="s">
        <v>51</v>
      </c>
      <c r="M15" s="7"/>
      <c r="N15" s="4" t="s">
        <v>636</v>
      </c>
      <c r="O15" s="54"/>
      <c r="P15" s="54"/>
      <c r="Q15" s="9" t="s">
        <v>637</v>
      </c>
      <c r="R15" s="17"/>
      <c r="S15" s="17"/>
      <c r="T15" s="17" t="s">
        <v>638</v>
      </c>
      <c r="U15" s="21">
        <v>200</v>
      </c>
      <c r="V15" s="21" t="s">
        <v>161</v>
      </c>
      <c r="W15" s="21"/>
      <c r="X15" s="21" t="s">
        <v>48</v>
      </c>
      <c r="Y15" s="51" t="b">
        <v>0</v>
      </c>
      <c r="Z15" s="21" t="s">
        <v>162</v>
      </c>
      <c r="AA15" s="21" t="s">
        <v>161</v>
      </c>
      <c r="AB15" s="21" t="s">
        <v>161</v>
      </c>
      <c r="AC15" s="21" t="s">
        <v>246</v>
      </c>
      <c r="AD15" s="51" t="b">
        <v>1</v>
      </c>
    </row>
    <row r="16" s="1" customFormat="1" ht="69" customHeight="1" spans="1:30">
      <c r="A16" s="4" t="s">
        <v>672</v>
      </c>
      <c r="B16" s="7" t="s">
        <v>673</v>
      </c>
      <c r="C16" s="6" t="s">
        <v>29</v>
      </c>
      <c r="D16" s="17" t="s">
        <v>632</v>
      </c>
      <c r="E16" s="9" t="s">
        <v>633</v>
      </c>
      <c r="F16" s="53">
        <v>378</v>
      </c>
      <c r="G16" s="4" t="s">
        <v>146</v>
      </c>
      <c r="H16" s="4" t="s">
        <v>31</v>
      </c>
      <c r="I16" s="4" t="s">
        <v>32</v>
      </c>
      <c r="J16" s="4" t="s">
        <v>634</v>
      </c>
      <c r="K16" s="4" t="s">
        <v>641</v>
      </c>
      <c r="L16" s="7"/>
      <c r="M16" s="7" t="s">
        <v>649</v>
      </c>
      <c r="N16" s="4" t="s">
        <v>636</v>
      </c>
      <c r="O16" s="54"/>
      <c r="P16" s="54"/>
      <c r="Q16" s="9" t="s">
        <v>637</v>
      </c>
      <c r="R16" s="17"/>
      <c r="S16" s="17"/>
      <c r="T16" s="17" t="s">
        <v>638</v>
      </c>
      <c r="U16" s="21">
        <v>200</v>
      </c>
      <c r="V16" s="21" t="s">
        <v>161</v>
      </c>
      <c r="W16" s="21"/>
      <c r="X16" s="21" t="s">
        <v>48</v>
      </c>
      <c r="Y16" s="51" t="b">
        <v>0</v>
      </c>
      <c r="Z16" s="21" t="s">
        <v>162</v>
      </c>
      <c r="AA16" s="21" t="s">
        <v>161</v>
      </c>
      <c r="AB16" s="21" t="s">
        <v>161</v>
      </c>
      <c r="AC16" s="21" t="s">
        <v>246</v>
      </c>
      <c r="AD16" s="51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52" t="s">
        <v>623</v>
      </c>
      <c r="F1" s="52" t="s">
        <v>624</v>
      </c>
      <c r="G1" s="52" t="s">
        <v>546</v>
      </c>
      <c r="H1" s="52" t="s">
        <v>4</v>
      </c>
      <c r="I1" s="52" t="s">
        <v>5</v>
      </c>
      <c r="J1" s="52" t="s">
        <v>547</v>
      </c>
      <c r="K1" s="52" t="s">
        <v>548</v>
      </c>
      <c r="L1" s="52" t="s">
        <v>549</v>
      </c>
      <c r="M1" s="52" t="s">
        <v>550</v>
      </c>
      <c r="N1" s="52" t="s">
        <v>625</v>
      </c>
      <c r="O1" s="52" t="s">
        <v>552</v>
      </c>
      <c r="P1" s="52" t="s">
        <v>553</v>
      </c>
      <c r="Q1" s="52" t="s">
        <v>626</v>
      </c>
      <c r="R1" s="52" t="s">
        <v>627</v>
      </c>
      <c r="S1" s="52" t="s">
        <v>628</v>
      </c>
      <c r="T1" s="56" t="s">
        <v>15</v>
      </c>
      <c r="U1" s="10" t="s">
        <v>16</v>
      </c>
      <c r="V1" s="10" t="s">
        <v>555</v>
      </c>
      <c r="W1" s="10" t="s">
        <v>629</v>
      </c>
      <c r="X1" s="10" t="s">
        <v>557</v>
      </c>
      <c r="Y1" s="18" t="s">
        <v>558</v>
      </c>
      <c r="Z1" s="10" t="s">
        <v>559</v>
      </c>
      <c r="AA1" s="10" t="s">
        <v>560</v>
      </c>
      <c r="AB1" s="10" t="s">
        <v>561</v>
      </c>
      <c r="AC1" s="10" t="s">
        <v>562</v>
      </c>
      <c r="AD1" s="18" t="s">
        <v>563</v>
      </c>
    </row>
    <row r="2" s="1" customFormat="1" ht="50" customHeight="1" spans="1:30">
      <c r="A2" s="4" t="s">
        <v>630</v>
      </c>
      <c r="B2" s="7" t="s">
        <v>631</v>
      </c>
      <c r="C2" s="6" t="s">
        <v>29</v>
      </c>
      <c r="D2" s="17" t="s">
        <v>632</v>
      </c>
      <c r="E2" s="9" t="s">
        <v>674</v>
      </c>
      <c r="F2" s="9">
        <v>0</v>
      </c>
      <c r="G2" s="4" t="s">
        <v>146</v>
      </c>
      <c r="H2" s="4" t="s">
        <v>31</v>
      </c>
      <c r="I2" s="4" t="s">
        <v>32</v>
      </c>
      <c r="J2" s="4" t="s">
        <v>675</v>
      </c>
      <c r="K2" s="9" t="s">
        <v>635</v>
      </c>
      <c r="L2" s="54"/>
      <c r="M2" s="54"/>
      <c r="N2" s="4" t="s">
        <v>676</v>
      </c>
      <c r="O2" s="54"/>
      <c r="P2" s="54"/>
      <c r="Q2" s="9" t="s">
        <v>637</v>
      </c>
      <c r="R2" s="17"/>
      <c r="S2" s="17"/>
      <c r="T2" s="17" t="s">
        <v>638</v>
      </c>
      <c r="U2" s="21">
        <v>200</v>
      </c>
      <c r="V2" s="21" t="s">
        <v>161</v>
      </c>
      <c r="W2" s="21"/>
      <c r="X2" s="21" t="s">
        <v>34</v>
      </c>
      <c r="Y2" s="51" t="b">
        <v>0</v>
      </c>
      <c r="Z2" s="21" t="s">
        <v>162</v>
      </c>
      <c r="AA2" s="21" t="s">
        <v>161</v>
      </c>
      <c r="AB2" s="21" t="s">
        <v>161</v>
      </c>
      <c r="AC2" s="57" t="s">
        <v>163</v>
      </c>
      <c r="AD2" s="51" t="b">
        <v>0</v>
      </c>
    </row>
    <row r="3" s="1" customFormat="1" ht="69" customHeight="1" spans="1:30">
      <c r="A3" s="4" t="s">
        <v>639</v>
      </c>
      <c r="B3" s="7" t="s">
        <v>640</v>
      </c>
      <c r="C3" s="6" t="s">
        <v>29</v>
      </c>
      <c r="D3" s="17" t="s">
        <v>632</v>
      </c>
      <c r="E3" s="9" t="s">
        <v>674</v>
      </c>
      <c r="F3" s="9">
        <v>0</v>
      </c>
      <c r="G3" s="4" t="s">
        <v>146</v>
      </c>
      <c r="H3" s="4" t="s">
        <v>31</v>
      </c>
      <c r="I3" s="4" t="s">
        <v>32</v>
      </c>
      <c r="J3" s="4" t="s">
        <v>675</v>
      </c>
      <c r="K3" s="4" t="s">
        <v>677</v>
      </c>
      <c r="L3" s="55"/>
      <c r="M3" s="55"/>
      <c r="N3" s="4" t="s">
        <v>676</v>
      </c>
      <c r="O3" s="54" t="s">
        <v>678</v>
      </c>
      <c r="P3" s="54"/>
      <c r="Q3" s="9" t="s">
        <v>637</v>
      </c>
      <c r="R3" s="17"/>
      <c r="S3" s="17"/>
      <c r="T3" s="17" t="s">
        <v>638</v>
      </c>
      <c r="U3" s="21">
        <v>200</v>
      </c>
      <c r="V3" s="21" t="s">
        <v>161</v>
      </c>
      <c r="W3" s="21" t="str">
        <f>O3</f>
        <v>VST200</v>
      </c>
      <c r="X3" s="21" t="s">
        <v>34</v>
      </c>
      <c r="Y3" s="51" t="b">
        <v>0</v>
      </c>
      <c r="Z3" s="21" t="s">
        <v>162</v>
      </c>
      <c r="AA3" s="21" t="s">
        <v>161</v>
      </c>
      <c r="AB3" s="21" t="s">
        <v>161</v>
      </c>
      <c r="AC3" s="57" t="s">
        <v>163</v>
      </c>
      <c r="AD3" s="51" t="b">
        <v>0</v>
      </c>
    </row>
    <row r="4" s="1" customFormat="1" ht="69" customHeight="1" spans="1:30">
      <c r="A4" s="4" t="s">
        <v>643</v>
      </c>
      <c r="B4" s="7" t="s">
        <v>644</v>
      </c>
      <c r="C4" s="6" t="s">
        <v>29</v>
      </c>
      <c r="D4" s="17" t="s">
        <v>632</v>
      </c>
      <c r="E4" s="9" t="s">
        <v>674</v>
      </c>
      <c r="F4" s="9">
        <v>0</v>
      </c>
      <c r="G4" s="4" t="s">
        <v>146</v>
      </c>
      <c r="H4" s="4" t="s">
        <v>31</v>
      </c>
      <c r="I4" s="4" t="s">
        <v>32</v>
      </c>
      <c r="J4" s="4" t="s">
        <v>675</v>
      </c>
      <c r="K4" s="4" t="s">
        <v>677</v>
      </c>
      <c r="L4" s="7"/>
      <c r="M4" s="7"/>
      <c r="N4" s="4" t="s">
        <v>676</v>
      </c>
      <c r="O4" s="54"/>
      <c r="P4" s="54">
        <v>1</v>
      </c>
      <c r="Q4" s="9" t="s">
        <v>637</v>
      </c>
      <c r="R4" s="17"/>
      <c r="S4" s="17"/>
      <c r="T4" s="17" t="s">
        <v>638</v>
      </c>
      <c r="U4" s="21">
        <v>200</v>
      </c>
      <c r="V4" s="21" t="s">
        <v>161</v>
      </c>
      <c r="W4" s="21"/>
      <c r="X4" s="21" t="s">
        <v>34</v>
      </c>
      <c r="Y4" s="51" t="b">
        <v>0</v>
      </c>
      <c r="Z4" s="21" t="s">
        <v>162</v>
      </c>
      <c r="AA4" s="21" t="s">
        <v>161</v>
      </c>
      <c r="AB4" s="21" t="s">
        <v>161</v>
      </c>
      <c r="AC4" s="57" t="s">
        <v>163</v>
      </c>
      <c r="AD4" s="51" t="b">
        <v>0</v>
      </c>
    </row>
    <row r="5" s="1" customFormat="1" ht="69" customHeight="1" spans="1:30">
      <c r="A5" s="4" t="s">
        <v>645</v>
      </c>
      <c r="B5" s="7" t="s">
        <v>646</v>
      </c>
      <c r="C5" s="6" t="s">
        <v>29</v>
      </c>
      <c r="D5" s="17" t="s">
        <v>632</v>
      </c>
      <c r="E5" s="9" t="s">
        <v>674</v>
      </c>
      <c r="F5" s="9">
        <v>0</v>
      </c>
      <c r="G5" s="4" t="s">
        <v>146</v>
      </c>
      <c r="H5" s="4" t="s">
        <v>31</v>
      </c>
      <c r="I5" s="4" t="s">
        <v>32</v>
      </c>
      <c r="J5" s="4" t="s">
        <v>675</v>
      </c>
      <c r="K5" s="4" t="s">
        <v>677</v>
      </c>
      <c r="L5" s="125" t="s">
        <v>51</v>
      </c>
      <c r="M5" s="7"/>
      <c r="N5" s="4" t="s">
        <v>676</v>
      </c>
      <c r="O5" s="54"/>
      <c r="P5" s="54"/>
      <c r="Q5" s="9" t="s">
        <v>637</v>
      </c>
      <c r="R5" s="17"/>
      <c r="S5" s="17"/>
      <c r="T5" s="17" t="s">
        <v>638</v>
      </c>
      <c r="U5" s="21">
        <v>200</v>
      </c>
      <c r="V5" s="21" t="s">
        <v>161</v>
      </c>
      <c r="W5" s="21"/>
      <c r="X5" s="21" t="s">
        <v>34</v>
      </c>
      <c r="Y5" s="51" t="b">
        <v>0</v>
      </c>
      <c r="Z5" s="21" t="s">
        <v>162</v>
      </c>
      <c r="AA5" s="21" t="s">
        <v>161</v>
      </c>
      <c r="AB5" s="21" t="s">
        <v>161</v>
      </c>
      <c r="AC5" s="57" t="s">
        <v>163</v>
      </c>
      <c r="AD5" s="51" t="b">
        <v>1</v>
      </c>
    </row>
    <row r="6" s="1" customFormat="1" ht="69" customHeight="1" spans="1:30">
      <c r="A6" s="4" t="s">
        <v>647</v>
      </c>
      <c r="B6" s="7" t="s">
        <v>648</v>
      </c>
      <c r="C6" s="6" t="s">
        <v>29</v>
      </c>
      <c r="D6" s="17" t="s">
        <v>632</v>
      </c>
      <c r="E6" s="9" t="s">
        <v>674</v>
      </c>
      <c r="F6" s="9">
        <v>0</v>
      </c>
      <c r="G6" s="4" t="s">
        <v>146</v>
      </c>
      <c r="H6" s="4" t="s">
        <v>31</v>
      </c>
      <c r="I6" s="4" t="s">
        <v>32</v>
      </c>
      <c r="J6" s="4" t="s">
        <v>675</v>
      </c>
      <c r="K6" s="4" t="s">
        <v>677</v>
      </c>
      <c r="L6" s="7"/>
      <c r="M6" s="7" t="s">
        <v>649</v>
      </c>
      <c r="N6" s="4" t="s">
        <v>676</v>
      </c>
      <c r="O6" s="54"/>
      <c r="P6" s="54"/>
      <c r="Q6" s="9" t="s">
        <v>637</v>
      </c>
      <c r="R6" s="17"/>
      <c r="S6" s="17"/>
      <c r="T6" s="17" t="s">
        <v>638</v>
      </c>
      <c r="U6" s="21">
        <v>200</v>
      </c>
      <c r="V6" s="21" t="s">
        <v>161</v>
      </c>
      <c r="W6" s="21"/>
      <c r="X6" s="21" t="s">
        <v>34</v>
      </c>
      <c r="Y6" s="51" t="b">
        <v>0</v>
      </c>
      <c r="Z6" s="21" t="s">
        <v>162</v>
      </c>
      <c r="AA6" s="21" t="s">
        <v>161</v>
      </c>
      <c r="AB6" s="21" t="s">
        <v>161</v>
      </c>
      <c r="AC6" s="57" t="s">
        <v>163</v>
      </c>
      <c r="AD6" s="51" t="b">
        <v>0</v>
      </c>
    </row>
    <row r="7" s="1" customFormat="1" ht="69" customHeight="1" spans="1:30">
      <c r="A7" s="4" t="s">
        <v>650</v>
      </c>
      <c r="B7" s="7" t="s">
        <v>651</v>
      </c>
      <c r="C7" s="6" t="s">
        <v>29</v>
      </c>
      <c r="D7" s="17" t="s">
        <v>632</v>
      </c>
      <c r="E7" s="9" t="s">
        <v>674</v>
      </c>
      <c r="F7" s="9">
        <v>0</v>
      </c>
      <c r="G7" s="4" t="s">
        <v>146</v>
      </c>
      <c r="H7" s="4" t="s">
        <v>31</v>
      </c>
      <c r="I7" s="4" t="s">
        <v>32</v>
      </c>
      <c r="J7" s="4" t="s">
        <v>675</v>
      </c>
      <c r="K7" s="9" t="s">
        <v>635</v>
      </c>
      <c r="L7" s="54"/>
      <c r="M7" s="54"/>
      <c r="N7" s="4" t="s">
        <v>676</v>
      </c>
      <c r="O7" s="54"/>
      <c r="P7" s="54"/>
      <c r="Q7" s="9" t="s">
        <v>637</v>
      </c>
      <c r="R7" s="4" t="s">
        <v>679</v>
      </c>
      <c r="S7" s="4" t="s">
        <v>680</v>
      </c>
      <c r="T7" s="17" t="s">
        <v>638</v>
      </c>
      <c r="U7" s="21">
        <v>200</v>
      </c>
      <c r="V7" s="21" t="s">
        <v>161</v>
      </c>
      <c r="W7" s="21"/>
      <c r="X7" s="21">
        <v>1</v>
      </c>
      <c r="Y7" s="51" t="b">
        <v>0</v>
      </c>
      <c r="Z7" s="21" t="s">
        <v>162</v>
      </c>
      <c r="AA7" s="21" t="s">
        <v>161</v>
      </c>
      <c r="AB7" s="21" t="s">
        <v>161</v>
      </c>
      <c r="AC7" s="21" t="s">
        <v>228</v>
      </c>
      <c r="AD7" s="51" t="b">
        <v>0</v>
      </c>
    </row>
    <row r="8" s="1" customFormat="1" ht="69" customHeight="1" spans="1:30">
      <c r="A8" s="4" t="s">
        <v>654</v>
      </c>
      <c r="B8" s="7" t="s">
        <v>655</v>
      </c>
      <c r="C8" s="6" t="s">
        <v>29</v>
      </c>
      <c r="D8" s="17" t="s">
        <v>632</v>
      </c>
      <c r="E8" s="9" t="s">
        <v>674</v>
      </c>
      <c r="F8" s="9">
        <v>0</v>
      </c>
      <c r="G8" s="4" t="s">
        <v>146</v>
      </c>
      <c r="H8" s="4" t="s">
        <v>31</v>
      </c>
      <c r="I8" s="4" t="s">
        <v>32</v>
      </c>
      <c r="J8" s="4" t="s">
        <v>675</v>
      </c>
      <c r="K8" s="4" t="s">
        <v>677</v>
      </c>
      <c r="L8" s="55"/>
      <c r="M8" s="55"/>
      <c r="N8" s="4" t="s">
        <v>676</v>
      </c>
      <c r="O8" s="54" t="s">
        <v>681</v>
      </c>
      <c r="P8" s="54"/>
      <c r="Q8" s="9" t="s">
        <v>637</v>
      </c>
      <c r="R8" s="4" t="s">
        <v>679</v>
      </c>
      <c r="S8" s="4" t="s">
        <v>680</v>
      </c>
      <c r="T8" s="17" t="s">
        <v>638</v>
      </c>
      <c r="U8" s="21">
        <v>200</v>
      </c>
      <c r="V8" s="21" t="s">
        <v>161</v>
      </c>
      <c r="W8" s="21" t="str">
        <f>O8</f>
        <v>MB200</v>
      </c>
      <c r="X8" s="21">
        <v>1</v>
      </c>
      <c r="Y8" s="51" t="b">
        <v>0</v>
      </c>
      <c r="Z8" s="21" t="s">
        <v>162</v>
      </c>
      <c r="AA8" s="21" t="s">
        <v>161</v>
      </c>
      <c r="AB8" s="21" t="s">
        <v>161</v>
      </c>
      <c r="AC8" s="21" t="s">
        <v>228</v>
      </c>
      <c r="AD8" s="51" t="b">
        <v>0</v>
      </c>
    </row>
    <row r="9" s="1" customFormat="1" ht="69" customHeight="1" spans="1:30">
      <c r="A9" s="4" t="s">
        <v>657</v>
      </c>
      <c r="B9" s="7" t="s">
        <v>658</v>
      </c>
      <c r="C9" s="6" t="s">
        <v>29</v>
      </c>
      <c r="D9" s="17" t="s">
        <v>632</v>
      </c>
      <c r="E9" s="9" t="s">
        <v>674</v>
      </c>
      <c r="F9" s="9">
        <v>0</v>
      </c>
      <c r="G9" s="4" t="s">
        <v>146</v>
      </c>
      <c r="H9" s="4" t="s">
        <v>31</v>
      </c>
      <c r="I9" s="4" t="s">
        <v>32</v>
      </c>
      <c r="J9" s="4" t="s">
        <v>675</v>
      </c>
      <c r="K9" s="4" t="s">
        <v>677</v>
      </c>
      <c r="L9" s="7"/>
      <c r="M9" s="7"/>
      <c r="N9" s="4" t="s">
        <v>676</v>
      </c>
      <c r="O9" s="54"/>
      <c r="P9" s="54">
        <v>1</v>
      </c>
      <c r="Q9" s="9" t="s">
        <v>637</v>
      </c>
      <c r="R9" s="4" t="s">
        <v>679</v>
      </c>
      <c r="S9" s="4" t="s">
        <v>680</v>
      </c>
      <c r="T9" s="17" t="s">
        <v>638</v>
      </c>
      <c r="U9" s="21">
        <v>200</v>
      </c>
      <c r="V9" s="21" t="s">
        <v>161</v>
      </c>
      <c r="W9" s="21"/>
      <c r="X9" s="21">
        <v>1</v>
      </c>
      <c r="Y9" s="51" t="b">
        <v>0</v>
      </c>
      <c r="Z9" s="21" t="s">
        <v>162</v>
      </c>
      <c r="AA9" s="21" t="s">
        <v>161</v>
      </c>
      <c r="AB9" s="21" t="s">
        <v>161</v>
      </c>
      <c r="AC9" s="21" t="s">
        <v>228</v>
      </c>
      <c r="AD9" s="51" t="b">
        <v>0</v>
      </c>
    </row>
    <row r="10" s="1" customFormat="1" ht="69" customHeight="1" spans="1:30">
      <c r="A10" s="4" t="s">
        <v>659</v>
      </c>
      <c r="B10" s="7" t="s">
        <v>660</v>
      </c>
      <c r="C10" s="6" t="s">
        <v>29</v>
      </c>
      <c r="D10" s="17" t="s">
        <v>632</v>
      </c>
      <c r="E10" s="9" t="s">
        <v>674</v>
      </c>
      <c r="F10" s="9">
        <v>0</v>
      </c>
      <c r="G10" s="4" t="s">
        <v>146</v>
      </c>
      <c r="H10" s="4" t="s">
        <v>31</v>
      </c>
      <c r="I10" s="4" t="s">
        <v>32</v>
      </c>
      <c r="J10" s="4" t="s">
        <v>675</v>
      </c>
      <c r="K10" s="4" t="s">
        <v>677</v>
      </c>
      <c r="L10" s="125" t="s">
        <v>51</v>
      </c>
      <c r="M10" s="7"/>
      <c r="N10" s="4" t="s">
        <v>676</v>
      </c>
      <c r="O10" s="54"/>
      <c r="P10" s="54"/>
      <c r="Q10" s="9" t="s">
        <v>637</v>
      </c>
      <c r="R10" s="4" t="s">
        <v>679</v>
      </c>
      <c r="S10" s="4" t="s">
        <v>680</v>
      </c>
      <c r="T10" s="17" t="s">
        <v>638</v>
      </c>
      <c r="U10" s="21">
        <v>200</v>
      </c>
      <c r="V10" s="21" t="s">
        <v>161</v>
      </c>
      <c r="W10" s="21"/>
      <c r="X10" s="21">
        <v>1</v>
      </c>
      <c r="Y10" s="51" t="b">
        <v>0</v>
      </c>
      <c r="Z10" s="21" t="s">
        <v>162</v>
      </c>
      <c r="AA10" s="21" t="s">
        <v>161</v>
      </c>
      <c r="AB10" s="21" t="s">
        <v>161</v>
      </c>
      <c r="AC10" s="21" t="s">
        <v>228</v>
      </c>
      <c r="AD10" s="51" t="b">
        <v>1</v>
      </c>
    </row>
    <row r="11" s="1" customFormat="1" ht="69" customHeight="1" spans="1:30">
      <c r="A11" s="4" t="s">
        <v>661</v>
      </c>
      <c r="B11" s="7" t="s">
        <v>662</v>
      </c>
      <c r="C11" s="6" t="s">
        <v>29</v>
      </c>
      <c r="D11" s="17" t="s">
        <v>632</v>
      </c>
      <c r="E11" s="9" t="s">
        <v>674</v>
      </c>
      <c r="F11" s="9">
        <v>0</v>
      </c>
      <c r="G11" s="4" t="s">
        <v>146</v>
      </c>
      <c r="H11" s="4" t="s">
        <v>31</v>
      </c>
      <c r="I11" s="4" t="s">
        <v>32</v>
      </c>
      <c r="J11" s="4" t="s">
        <v>675</v>
      </c>
      <c r="K11" s="4" t="s">
        <v>677</v>
      </c>
      <c r="L11" s="7"/>
      <c r="M11" s="7" t="s">
        <v>649</v>
      </c>
      <c r="N11" s="4" t="s">
        <v>676</v>
      </c>
      <c r="O11" s="54"/>
      <c r="P11" s="54"/>
      <c r="Q11" s="9" t="s">
        <v>637</v>
      </c>
      <c r="R11" s="4" t="s">
        <v>679</v>
      </c>
      <c r="S11" s="4" t="s">
        <v>680</v>
      </c>
      <c r="T11" s="17" t="s">
        <v>638</v>
      </c>
      <c r="U11" s="21">
        <v>200</v>
      </c>
      <c r="V11" s="21" t="s">
        <v>161</v>
      </c>
      <c r="W11" s="21"/>
      <c r="X11" s="21">
        <v>1</v>
      </c>
      <c r="Y11" s="51" t="b">
        <v>0</v>
      </c>
      <c r="Z11" s="21" t="s">
        <v>162</v>
      </c>
      <c r="AA11" s="21" t="s">
        <v>161</v>
      </c>
      <c r="AB11" s="21" t="s">
        <v>161</v>
      </c>
      <c r="AC11" s="21" t="s">
        <v>228</v>
      </c>
      <c r="AD11" s="51" t="b">
        <v>0</v>
      </c>
    </row>
    <row r="12" s="1" customFormat="1" ht="69" customHeight="1" spans="1:30">
      <c r="A12" s="4" t="s">
        <v>663</v>
      </c>
      <c r="B12" s="7" t="s">
        <v>664</v>
      </c>
      <c r="C12" s="6" t="s">
        <v>29</v>
      </c>
      <c r="D12" s="17" t="s">
        <v>632</v>
      </c>
      <c r="E12" s="9" t="s">
        <v>674</v>
      </c>
      <c r="F12" s="53">
        <v>378</v>
      </c>
      <c r="G12" s="4" t="s">
        <v>146</v>
      </c>
      <c r="H12" s="4" t="s">
        <v>31</v>
      </c>
      <c r="I12" s="4" t="s">
        <v>32</v>
      </c>
      <c r="J12" s="4" t="s">
        <v>675</v>
      </c>
      <c r="K12" s="9" t="s">
        <v>635</v>
      </c>
      <c r="L12" s="54"/>
      <c r="M12" s="54"/>
      <c r="N12" s="4" t="s">
        <v>676</v>
      </c>
      <c r="O12" s="54"/>
      <c r="P12" s="54"/>
      <c r="Q12" s="9" t="s">
        <v>637</v>
      </c>
      <c r="R12" s="17"/>
      <c r="S12" s="17"/>
      <c r="T12" s="17" t="s">
        <v>638</v>
      </c>
      <c r="U12" s="21">
        <v>200</v>
      </c>
      <c r="V12" s="21" t="s">
        <v>161</v>
      </c>
      <c r="W12" s="21"/>
      <c r="X12" s="21" t="s">
        <v>48</v>
      </c>
      <c r="Y12" s="51" t="b">
        <v>0</v>
      </c>
      <c r="Z12" s="21" t="s">
        <v>162</v>
      </c>
      <c r="AA12" s="21" t="s">
        <v>161</v>
      </c>
      <c r="AB12" s="21" t="s">
        <v>161</v>
      </c>
      <c r="AC12" s="21" t="s">
        <v>246</v>
      </c>
      <c r="AD12" s="51" t="b">
        <v>0</v>
      </c>
    </row>
    <row r="13" s="1" customFormat="1" ht="69" customHeight="1" spans="1:30">
      <c r="A13" s="4" t="s">
        <v>665</v>
      </c>
      <c r="B13" s="7" t="s">
        <v>666</v>
      </c>
      <c r="C13" s="6" t="s">
        <v>29</v>
      </c>
      <c r="D13" s="17" t="s">
        <v>632</v>
      </c>
      <c r="E13" s="9" t="s">
        <v>674</v>
      </c>
      <c r="F13" s="53">
        <v>378</v>
      </c>
      <c r="G13" s="4" t="s">
        <v>146</v>
      </c>
      <c r="H13" s="4" t="s">
        <v>31</v>
      </c>
      <c r="I13" s="4" t="s">
        <v>32</v>
      </c>
      <c r="J13" s="4" t="s">
        <v>675</v>
      </c>
      <c r="K13" s="4" t="s">
        <v>677</v>
      </c>
      <c r="L13" s="55"/>
      <c r="M13" s="55"/>
      <c r="N13" s="4" t="s">
        <v>676</v>
      </c>
      <c r="O13" s="54" t="s">
        <v>682</v>
      </c>
      <c r="P13" s="54"/>
      <c r="Q13" s="9" t="s">
        <v>637</v>
      </c>
      <c r="R13" s="17"/>
      <c r="S13" s="17"/>
      <c r="T13" s="17" t="s">
        <v>638</v>
      </c>
      <c r="U13" s="21">
        <v>200</v>
      </c>
      <c r="V13" s="21" t="s">
        <v>161</v>
      </c>
      <c r="W13" s="21" t="str">
        <f>O13</f>
        <v>AG200</v>
      </c>
      <c r="X13" s="21" t="s">
        <v>48</v>
      </c>
      <c r="Y13" s="51" t="b">
        <v>0</v>
      </c>
      <c r="Z13" s="21" t="s">
        <v>162</v>
      </c>
      <c r="AA13" s="21" t="s">
        <v>161</v>
      </c>
      <c r="AB13" s="21" t="s">
        <v>161</v>
      </c>
      <c r="AC13" s="21" t="s">
        <v>246</v>
      </c>
      <c r="AD13" s="51" t="b">
        <v>0</v>
      </c>
    </row>
    <row r="14" s="1" customFormat="1" ht="70" customHeight="1" spans="1:30">
      <c r="A14" s="4" t="s">
        <v>668</v>
      </c>
      <c r="B14" s="7" t="s">
        <v>669</v>
      </c>
      <c r="C14" s="6" t="s">
        <v>29</v>
      </c>
      <c r="D14" s="17" t="s">
        <v>632</v>
      </c>
      <c r="E14" s="9" t="s">
        <v>674</v>
      </c>
      <c r="F14" s="53">
        <v>378</v>
      </c>
      <c r="G14" s="4" t="s">
        <v>146</v>
      </c>
      <c r="H14" s="4" t="s">
        <v>31</v>
      </c>
      <c r="I14" s="4" t="s">
        <v>32</v>
      </c>
      <c r="J14" s="4" t="s">
        <v>675</v>
      </c>
      <c r="K14" s="4" t="s">
        <v>677</v>
      </c>
      <c r="L14" s="7"/>
      <c r="M14" s="7"/>
      <c r="N14" s="4" t="s">
        <v>676</v>
      </c>
      <c r="O14" s="54"/>
      <c r="P14" s="54">
        <v>1</v>
      </c>
      <c r="Q14" s="9" t="s">
        <v>637</v>
      </c>
      <c r="R14" s="17"/>
      <c r="S14" s="17"/>
      <c r="T14" s="17" t="s">
        <v>638</v>
      </c>
      <c r="U14" s="21">
        <v>200</v>
      </c>
      <c r="V14" s="21" t="s">
        <v>161</v>
      </c>
      <c r="W14" s="21"/>
      <c r="X14" s="21" t="s">
        <v>48</v>
      </c>
      <c r="Y14" s="51" t="b">
        <v>0</v>
      </c>
      <c r="Z14" s="21" t="s">
        <v>162</v>
      </c>
      <c r="AA14" s="21" t="s">
        <v>161</v>
      </c>
      <c r="AB14" s="21" t="s">
        <v>161</v>
      </c>
      <c r="AC14" s="21" t="s">
        <v>246</v>
      </c>
      <c r="AD14" s="51" t="b">
        <v>0</v>
      </c>
    </row>
    <row r="15" s="1" customFormat="1" ht="69" customHeight="1" spans="1:30">
      <c r="A15" s="4" t="s">
        <v>670</v>
      </c>
      <c r="B15" s="7" t="s">
        <v>671</v>
      </c>
      <c r="C15" s="6" t="s">
        <v>29</v>
      </c>
      <c r="D15" s="17" t="s">
        <v>632</v>
      </c>
      <c r="E15" s="9" t="s">
        <v>674</v>
      </c>
      <c r="F15" s="53">
        <v>378</v>
      </c>
      <c r="G15" s="4" t="s">
        <v>146</v>
      </c>
      <c r="H15" s="4" t="s">
        <v>31</v>
      </c>
      <c r="I15" s="4" t="s">
        <v>32</v>
      </c>
      <c r="J15" s="4" t="s">
        <v>675</v>
      </c>
      <c r="K15" s="4" t="s">
        <v>677</v>
      </c>
      <c r="L15" s="125" t="s">
        <v>51</v>
      </c>
      <c r="M15" s="7"/>
      <c r="N15" s="4" t="s">
        <v>676</v>
      </c>
      <c r="O15" s="54"/>
      <c r="P15" s="54"/>
      <c r="Q15" s="9" t="s">
        <v>637</v>
      </c>
      <c r="R15" s="17"/>
      <c r="S15" s="17"/>
      <c r="T15" s="17" t="s">
        <v>638</v>
      </c>
      <c r="U15" s="21">
        <v>200</v>
      </c>
      <c r="V15" s="21" t="s">
        <v>161</v>
      </c>
      <c r="W15" s="21"/>
      <c r="X15" s="21" t="s">
        <v>48</v>
      </c>
      <c r="Y15" s="51" t="b">
        <v>0</v>
      </c>
      <c r="Z15" s="21" t="s">
        <v>162</v>
      </c>
      <c r="AA15" s="21" t="s">
        <v>161</v>
      </c>
      <c r="AB15" s="21" t="s">
        <v>161</v>
      </c>
      <c r="AC15" s="21" t="s">
        <v>246</v>
      </c>
      <c r="AD15" s="51" t="b">
        <v>1</v>
      </c>
    </row>
    <row r="16" s="1" customFormat="1" ht="69" customHeight="1" spans="1:30">
      <c r="A16" s="4" t="s">
        <v>672</v>
      </c>
      <c r="B16" s="7" t="s">
        <v>673</v>
      </c>
      <c r="C16" s="6" t="s">
        <v>29</v>
      </c>
      <c r="D16" s="17" t="s">
        <v>632</v>
      </c>
      <c r="E16" s="9" t="s">
        <v>674</v>
      </c>
      <c r="F16" s="53">
        <v>378</v>
      </c>
      <c r="G16" s="4" t="s">
        <v>146</v>
      </c>
      <c r="H16" s="4" t="s">
        <v>31</v>
      </c>
      <c r="I16" s="4" t="s">
        <v>32</v>
      </c>
      <c r="J16" s="4" t="s">
        <v>675</v>
      </c>
      <c r="K16" s="4" t="s">
        <v>677</v>
      </c>
      <c r="L16" s="7"/>
      <c r="M16" s="7" t="s">
        <v>649</v>
      </c>
      <c r="N16" s="4" t="s">
        <v>676</v>
      </c>
      <c r="O16" s="54"/>
      <c r="P16" s="54"/>
      <c r="Q16" s="9" t="s">
        <v>637</v>
      </c>
      <c r="R16" s="17"/>
      <c r="S16" s="17"/>
      <c r="T16" s="17" t="s">
        <v>638</v>
      </c>
      <c r="U16" s="21">
        <v>200</v>
      </c>
      <c r="V16" s="21" t="s">
        <v>161</v>
      </c>
      <c r="W16" s="21"/>
      <c r="X16" s="21" t="s">
        <v>48</v>
      </c>
      <c r="Y16" s="51" t="b">
        <v>0</v>
      </c>
      <c r="Z16" s="21" t="s">
        <v>162</v>
      </c>
      <c r="AA16" s="21" t="s">
        <v>161</v>
      </c>
      <c r="AB16" s="21" t="s">
        <v>161</v>
      </c>
      <c r="AC16" s="21" t="s">
        <v>246</v>
      </c>
      <c r="AD16" s="51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3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52" t="s">
        <v>623</v>
      </c>
      <c r="F1" s="52" t="s">
        <v>624</v>
      </c>
      <c r="G1" s="52" t="s">
        <v>546</v>
      </c>
      <c r="H1" s="52" t="s">
        <v>4</v>
      </c>
      <c r="I1" s="52" t="s">
        <v>5</v>
      </c>
      <c r="J1" s="52" t="s">
        <v>547</v>
      </c>
      <c r="K1" s="52" t="s">
        <v>548</v>
      </c>
      <c r="L1" s="52" t="s">
        <v>549</v>
      </c>
      <c r="M1" s="52" t="s">
        <v>550</v>
      </c>
      <c r="N1" s="52" t="s">
        <v>625</v>
      </c>
      <c r="O1" s="52" t="s">
        <v>552</v>
      </c>
      <c r="P1" s="52" t="s">
        <v>553</v>
      </c>
      <c r="Q1" s="52" t="s">
        <v>626</v>
      </c>
      <c r="R1" s="52" t="s">
        <v>627</v>
      </c>
      <c r="S1" s="52" t="s">
        <v>628</v>
      </c>
      <c r="T1" s="56" t="s">
        <v>15</v>
      </c>
      <c r="U1" s="10" t="s">
        <v>16</v>
      </c>
      <c r="V1" s="10" t="s">
        <v>555</v>
      </c>
      <c r="W1" s="10" t="s">
        <v>629</v>
      </c>
      <c r="X1" s="10" t="s">
        <v>557</v>
      </c>
      <c r="Y1" s="18" t="s">
        <v>558</v>
      </c>
      <c r="Z1" s="10" t="s">
        <v>559</v>
      </c>
      <c r="AA1" s="10" t="s">
        <v>560</v>
      </c>
      <c r="AB1" s="10" t="s">
        <v>561</v>
      </c>
      <c r="AC1" s="10" t="s">
        <v>562</v>
      </c>
      <c r="AD1" s="18" t="s">
        <v>563</v>
      </c>
    </row>
    <row r="2" s="1" customFormat="1" ht="50" customHeight="1" spans="1:30">
      <c r="A2" s="4" t="s">
        <v>630</v>
      </c>
      <c r="B2" s="7" t="s">
        <v>631</v>
      </c>
      <c r="C2" s="6" t="s">
        <v>29</v>
      </c>
      <c r="D2" s="17" t="s">
        <v>632</v>
      </c>
      <c r="E2" s="9" t="s">
        <v>683</v>
      </c>
      <c r="F2" s="9">
        <v>0</v>
      </c>
      <c r="G2" s="4" t="s">
        <v>146</v>
      </c>
      <c r="H2" s="4" t="s">
        <v>31</v>
      </c>
      <c r="I2" s="4" t="s">
        <v>32</v>
      </c>
      <c r="J2" s="4" t="s">
        <v>684</v>
      </c>
      <c r="K2" s="9" t="s">
        <v>635</v>
      </c>
      <c r="L2" s="54"/>
      <c r="M2" s="54"/>
      <c r="N2" s="4" t="s">
        <v>685</v>
      </c>
      <c r="O2" s="54"/>
      <c r="P2" s="54"/>
      <c r="Q2" s="9" t="s">
        <v>637</v>
      </c>
      <c r="R2" s="17"/>
      <c r="S2" s="17"/>
      <c r="T2" s="17" t="s">
        <v>638</v>
      </c>
      <c r="U2" s="21">
        <v>200</v>
      </c>
      <c r="V2" s="21" t="s">
        <v>161</v>
      </c>
      <c r="W2" s="21"/>
      <c r="X2" s="21" t="s">
        <v>34</v>
      </c>
      <c r="Y2" s="51" t="b">
        <v>0</v>
      </c>
      <c r="Z2" s="21" t="s">
        <v>162</v>
      </c>
      <c r="AA2" s="21" t="s">
        <v>161</v>
      </c>
      <c r="AB2" s="21" t="s">
        <v>161</v>
      </c>
      <c r="AC2" s="57" t="s">
        <v>163</v>
      </c>
      <c r="AD2" s="51" t="b">
        <v>0</v>
      </c>
    </row>
    <row r="3" s="1" customFormat="1" ht="69" customHeight="1" spans="1:30">
      <c r="A3" s="4" t="s">
        <v>639</v>
      </c>
      <c r="B3" s="7" t="s">
        <v>640</v>
      </c>
      <c r="C3" s="6" t="s">
        <v>29</v>
      </c>
      <c r="D3" s="17" t="s">
        <v>632</v>
      </c>
      <c r="E3" s="9" t="s">
        <v>683</v>
      </c>
      <c r="F3" s="9">
        <v>0</v>
      </c>
      <c r="G3" s="4" t="s">
        <v>146</v>
      </c>
      <c r="H3" s="4" t="s">
        <v>31</v>
      </c>
      <c r="I3" s="4" t="s">
        <v>32</v>
      </c>
      <c r="J3" s="4" t="s">
        <v>684</v>
      </c>
      <c r="K3" s="4" t="s">
        <v>686</v>
      </c>
      <c r="L3" s="55"/>
      <c r="M3" s="55"/>
      <c r="N3" s="4" t="s">
        <v>685</v>
      </c>
      <c r="O3" s="54" t="s">
        <v>687</v>
      </c>
      <c r="P3" s="54"/>
      <c r="Q3" s="9" t="s">
        <v>637</v>
      </c>
      <c r="R3" s="17"/>
      <c r="S3" s="17"/>
      <c r="T3" s="17" t="s">
        <v>638</v>
      </c>
      <c r="U3" s="21">
        <v>200</v>
      </c>
      <c r="V3" s="21" t="s">
        <v>161</v>
      </c>
      <c r="W3" s="21" t="str">
        <f>O3</f>
        <v>VST300</v>
      </c>
      <c r="X3" s="21" t="s">
        <v>34</v>
      </c>
      <c r="Y3" s="51" t="b">
        <v>0</v>
      </c>
      <c r="Z3" s="21" t="s">
        <v>162</v>
      </c>
      <c r="AA3" s="21" t="s">
        <v>161</v>
      </c>
      <c r="AB3" s="21" t="s">
        <v>161</v>
      </c>
      <c r="AC3" s="57" t="s">
        <v>163</v>
      </c>
      <c r="AD3" s="51" t="b">
        <v>0</v>
      </c>
    </row>
    <row r="4" s="1" customFormat="1" ht="69" customHeight="1" spans="1:30">
      <c r="A4" s="4" t="s">
        <v>643</v>
      </c>
      <c r="B4" s="7" t="s">
        <v>644</v>
      </c>
      <c r="C4" s="6" t="s">
        <v>29</v>
      </c>
      <c r="D4" s="17" t="s">
        <v>632</v>
      </c>
      <c r="E4" s="9" t="s">
        <v>683</v>
      </c>
      <c r="F4" s="9">
        <v>0</v>
      </c>
      <c r="G4" s="4" t="s">
        <v>146</v>
      </c>
      <c r="H4" s="4" t="s">
        <v>31</v>
      </c>
      <c r="I4" s="4" t="s">
        <v>32</v>
      </c>
      <c r="J4" s="4" t="s">
        <v>684</v>
      </c>
      <c r="K4" s="4" t="s">
        <v>686</v>
      </c>
      <c r="L4" s="7"/>
      <c r="M4" s="7"/>
      <c r="N4" s="4" t="s">
        <v>685</v>
      </c>
      <c r="O4" s="54"/>
      <c r="P4" s="54">
        <v>1</v>
      </c>
      <c r="Q4" s="9" t="s">
        <v>637</v>
      </c>
      <c r="R4" s="17"/>
      <c r="S4" s="17"/>
      <c r="T4" s="17" t="s">
        <v>638</v>
      </c>
      <c r="U4" s="21">
        <v>200</v>
      </c>
      <c r="V4" s="21" t="s">
        <v>161</v>
      </c>
      <c r="W4" s="21"/>
      <c r="X4" s="21" t="s">
        <v>34</v>
      </c>
      <c r="Y4" s="51" t="b">
        <v>0</v>
      </c>
      <c r="Z4" s="21" t="s">
        <v>162</v>
      </c>
      <c r="AA4" s="21" t="s">
        <v>161</v>
      </c>
      <c r="AB4" s="21" t="s">
        <v>161</v>
      </c>
      <c r="AC4" s="57" t="s">
        <v>163</v>
      </c>
      <c r="AD4" s="51" t="b">
        <v>0</v>
      </c>
    </row>
    <row r="5" s="1" customFormat="1" ht="69" customHeight="1" spans="1:30">
      <c r="A5" s="4" t="s">
        <v>645</v>
      </c>
      <c r="B5" s="7" t="s">
        <v>646</v>
      </c>
      <c r="C5" s="6" t="s">
        <v>29</v>
      </c>
      <c r="D5" s="17" t="s">
        <v>632</v>
      </c>
      <c r="E5" s="9" t="s">
        <v>683</v>
      </c>
      <c r="F5" s="9">
        <v>0</v>
      </c>
      <c r="G5" s="4" t="s">
        <v>146</v>
      </c>
      <c r="H5" s="4" t="s">
        <v>31</v>
      </c>
      <c r="I5" s="4" t="s">
        <v>32</v>
      </c>
      <c r="J5" s="4" t="s">
        <v>684</v>
      </c>
      <c r="K5" s="4" t="s">
        <v>686</v>
      </c>
      <c r="L5" s="125" t="s">
        <v>51</v>
      </c>
      <c r="M5" s="7"/>
      <c r="N5" s="4" t="s">
        <v>685</v>
      </c>
      <c r="O5" s="54"/>
      <c r="P5" s="54"/>
      <c r="Q5" s="9" t="s">
        <v>637</v>
      </c>
      <c r="R5" s="17"/>
      <c r="S5" s="17"/>
      <c r="T5" s="17" t="s">
        <v>638</v>
      </c>
      <c r="U5" s="21">
        <v>200</v>
      </c>
      <c r="V5" s="21" t="s">
        <v>161</v>
      </c>
      <c r="W5" s="21"/>
      <c r="X5" s="21" t="s">
        <v>34</v>
      </c>
      <c r="Y5" s="51" t="b">
        <v>0</v>
      </c>
      <c r="Z5" s="21" t="s">
        <v>162</v>
      </c>
      <c r="AA5" s="21" t="s">
        <v>161</v>
      </c>
      <c r="AB5" s="21" t="s">
        <v>161</v>
      </c>
      <c r="AC5" s="57" t="s">
        <v>163</v>
      </c>
      <c r="AD5" s="51" t="b">
        <v>1</v>
      </c>
    </row>
    <row r="6" s="1" customFormat="1" ht="69" customHeight="1" spans="1:30">
      <c r="A6" s="4" t="s">
        <v>647</v>
      </c>
      <c r="B6" s="7" t="s">
        <v>648</v>
      </c>
      <c r="C6" s="6" t="s">
        <v>29</v>
      </c>
      <c r="D6" s="17" t="s">
        <v>632</v>
      </c>
      <c r="E6" s="9" t="s">
        <v>683</v>
      </c>
      <c r="F6" s="9">
        <v>0</v>
      </c>
      <c r="G6" s="4" t="s">
        <v>146</v>
      </c>
      <c r="H6" s="4" t="s">
        <v>31</v>
      </c>
      <c r="I6" s="4" t="s">
        <v>32</v>
      </c>
      <c r="J6" s="4" t="s">
        <v>684</v>
      </c>
      <c r="K6" s="4" t="s">
        <v>686</v>
      </c>
      <c r="L6" s="7"/>
      <c r="M6" s="7" t="s">
        <v>649</v>
      </c>
      <c r="N6" s="4" t="s">
        <v>685</v>
      </c>
      <c r="O6" s="54"/>
      <c r="P6" s="54"/>
      <c r="Q6" s="9" t="s">
        <v>637</v>
      </c>
      <c r="R6" s="17"/>
      <c r="S6" s="17"/>
      <c r="T6" s="17" t="s">
        <v>638</v>
      </c>
      <c r="U6" s="21">
        <v>200</v>
      </c>
      <c r="V6" s="21" t="s">
        <v>161</v>
      </c>
      <c r="W6" s="21"/>
      <c r="X6" s="21" t="s">
        <v>34</v>
      </c>
      <c r="Y6" s="51" t="b">
        <v>0</v>
      </c>
      <c r="Z6" s="21" t="s">
        <v>162</v>
      </c>
      <c r="AA6" s="21" t="s">
        <v>161</v>
      </c>
      <c r="AB6" s="21" t="s">
        <v>161</v>
      </c>
      <c r="AC6" s="57" t="s">
        <v>163</v>
      </c>
      <c r="AD6" s="51" t="b">
        <v>0</v>
      </c>
    </row>
    <row r="7" s="1" customFormat="1" ht="69" customHeight="1" spans="1:30">
      <c r="A7" s="4" t="s">
        <v>650</v>
      </c>
      <c r="B7" s="7" t="s">
        <v>651</v>
      </c>
      <c r="C7" s="6" t="s">
        <v>29</v>
      </c>
      <c r="D7" s="17" t="s">
        <v>632</v>
      </c>
      <c r="E7" s="9" t="s">
        <v>683</v>
      </c>
      <c r="F7" s="9">
        <v>0</v>
      </c>
      <c r="G7" s="4" t="s">
        <v>146</v>
      </c>
      <c r="H7" s="4" t="s">
        <v>31</v>
      </c>
      <c r="I7" s="4" t="s">
        <v>32</v>
      </c>
      <c r="J7" s="4" t="s">
        <v>684</v>
      </c>
      <c r="K7" s="9" t="s">
        <v>635</v>
      </c>
      <c r="L7" s="54"/>
      <c r="M7" s="54"/>
      <c r="N7" s="4" t="s">
        <v>685</v>
      </c>
      <c r="O7" s="54"/>
      <c r="P7" s="54"/>
      <c r="Q7" s="9" t="s">
        <v>637</v>
      </c>
      <c r="R7" s="4" t="s">
        <v>688</v>
      </c>
      <c r="S7" s="4" t="s">
        <v>689</v>
      </c>
      <c r="T7" s="17" t="s">
        <v>638</v>
      </c>
      <c r="U7" s="21">
        <v>200</v>
      </c>
      <c r="V7" s="21" t="s">
        <v>161</v>
      </c>
      <c r="W7" s="21"/>
      <c r="X7" s="21">
        <v>1</v>
      </c>
      <c r="Y7" s="51" t="b">
        <v>0</v>
      </c>
      <c r="Z7" s="21" t="s">
        <v>162</v>
      </c>
      <c r="AA7" s="21" t="s">
        <v>161</v>
      </c>
      <c r="AB7" s="21" t="s">
        <v>161</v>
      </c>
      <c r="AC7" s="21" t="s">
        <v>228</v>
      </c>
      <c r="AD7" s="51" t="b">
        <v>0</v>
      </c>
    </row>
    <row r="8" s="1" customFormat="1" ht="69" customHeight="1" spans="1:30">
      <c r="A8" s="4" t="s">
        <v>654</v>
      </c>
      <c r="B8" s="7" t="s">
        <v>655</v>
      </c>
      <c r="C8" s="6" t="s">
        <v>29</v>
      </c>
      <c r="D8" s="17" t="s">
        <v>632</v>
      </c>
      <c r="E8" s="9" t="s">
        <v>683</v>
      </c>
      <c r="F8" s="9">
        <v>0</v>
      </c>
      <c r="G8" s="4" t="s">
        <v>146</v>
      </c>
      <c r="H8" s="4" t="s">
        <v>31</v>
      </c>
      <c r="I8" s="4" t="s">
        <v>32</v>
      </c>
      <c r="J8" s="4" t="s">
        <v>684</v>
      </c>
      <c r="K8" s="4" t="s">
        <v>686</v>
      </c>
      <c r="L8" s="55"/>
      <c r="M8" s="55"/>
      <c r="N8" s="4" t="s">
        <v>685</v>
      </c>
      <c r="O8" s="54" t="s">
        <v>690</v>
      </c>
      <c r="P8" s="54"/>
      <c r="Q8" s="9" t="s">
        <v>637</v>
      </c>
      <c r="R8" s="4" t="s">
        <v>688</v>
      </c>
      <c r="S8" s="4" t="s">
        <v>689</v>
      </c>
      <c r="T8" s="17" t="s">
        <v>638</v>
      </c>
      <c r="U8" s="21">
        <v>200</v>
      </c>
      <c r="V8" s="21" t="s">
        <v>161</v>
      </c>
      <c r="W8" s="21" t="str">
        <f>O8</f>
        <v>MB300</v>
      </c>
      <c r="X8" s="21">
        <v>1</v>
      </c>
      <c r="Y8" s="51" t="b">
        <v>0</v>
      </c>
      <c r="Z8" s="21" t="s">
        <v>162</v>
      </c>
      <c r="AA8" s="21" t="s">
        <v>161</v>
      </c>
      <c r="AB8" s="21" t="s">
        <v>161</v>
      </c>
      <c r="AC8" s="21" t="s">
        <v>228</v>
      </c>
      <c r="AD8" s="51" t="b">
        <v>0</v>
      </c>
    </row>
    <row r="9" s="1" customFormat="1" ht="69" customHeight="1" spans="1:30">
      <c r="A9" s="4" t="s">
        <v>657</v>
      </c>
      <c r="B9" s="7" t="s">
        <v>658</v>
      </c>
      <c r="C9" s="6" t="s">
        <v>29</v>
      </c>
      <c r="D9" s="17" t="s">
        <v>632</v>
      </c>
      <c r="E9" s="9" t="s">
        <v>683</v>
      </c>
      <c r="F9" s="9">
        <v>0</v>
      </c>
      <c r="G9" s="4" t="s">
        <v>146</v>
      </c>
      <c r="H9" s="4" t="s">
        <v>31</v>
      </c>
      <c r="I9" s="4" t="s">
        <v>32</v>
      </c>
      <c r="J9" s="4" t="s">
        <v>684</v>
      </c>
      <c r="K9" s="4" t="s">
        <v>686</v>
      </c>
      <c r="L9" s="7"/>
      <c r="M9" s="7"/>
      <c r="N9" s="4" t="s">
        <v>685</v>
      </c>
      <c r="O9" s="54"/>
      <c r="P9" s="54">
        <v>1</v>
      </c>
      <c r="Q9" s="9" t="s">
        <v>637</v>
      </c>
      <c r="R9" s="4" t="s">
        <v>688</v>
      </c>
      <c r="S9" s="4" t="s">
        <v>689</v>
      </c>
      <c r="T9" s="17" t="s">
        <v>638</v>
      </c>
      <c r="U9" s="21">
        <v>200</v>
      </c>
      <c r="V9" s="21" t="s">
        <v>161</v>
      </c>
      <c r="W9" s="21"/>
      <c r="X9" s="21">
        <v>1</v>
      </c>
      <c r="Y9" s="51" t="b">
        <v>0</v>
      </c>
      <c r="Z9" s="21" t="s">
        <v>162</v>
      </c>
      <c r="AA9" s="21" t="s">
        <v>161</v>
      </c>
      <c r="AB9" s="21" t="s">
        <v>161</v>
      </c>
      <c r="AC9" s="21" t="s">
        <v>228</v>
      </c>
      <c r="AD9" s="51" t="b">
        <v>0</v>
      </c>
    </row>
    <row r="10" s="1" customFormat="1" ht="69" customHeight="1" spans="1:30">
      <c r="A10" s="4" t="s">
        <v>659</v>
      </c>
      <c r="B10" s="7" t="s">
        <v>660</v>
      </c>
      <c r="C10" s="6" t="s">
        <v>29</v>
      </c>
      <c r="D10" s="17" t="s">
        <v>632</v>
      </c>
      <c r="E10" s="9" t="s">
        <v>683</v>
      </c>
      <c r="F10" s="9">
        <v>0</v>
      </c>
      <c r="G10" s="4" t="s">
        <v>146</v>
      </c>
      <c r="H10" s="4" t="s">
        <v>31</v>
      </c>
      <c r="I10" s="4" t="s">
        <v>32</v>
      </c>
      <c r="J10" s="4" t="s">
        <v>684</v>
      </c>
      <c r="K10" s="4" t="s">
        <v>686</v>
      </c>
      <c r="L10" s="125" t="s">
        <v>51</v>
      </c>
      <c r="M10" s="7"/>
      <c r="N10" s="4" t="s">
        <v>685</v>
      </c>
      <c r="O10" s="54"/>
      <c r="P10" s="54"/>
      <c r="Q10" s="9" t="s">
        <v>637</v>
      </c>
      <c r="R10" s="4" t="s">
        <v>688</v>
      </c>
      <c r="S10" s="4" t="s">
        <v>689</v>
      </c>
      <c r="T10" s="17" t="s">
        <v>638</v>
      </c>
      <c r="U10" s="21">
        <v>200</v>
      </c>
      <c r="V10" s="21" t="s">
        <v>161</v>
      </c>
      <c r="W10" s="21"/>
      <c r="X10" s="21">
        <v>1</v>
      </c>
      <c r="Y10" s="51" t="b">
        <v>0</v>
      </c>
      <c r="Z10" s="21" t="s">
        <v>162</v>
      </c>
      <c r="AA10" s="21" t="s">
        <v>161</v>
      </c>
      <c r="AB10" s="21" t="s">
        <v>161</v>
      </c>
      <c r="AC10" s="21" t="s">
        <v>228</v>
      </c>
      <c r="AD10" s="51" t="b">
        <v>1</v>
      </c>
    </row>
    <row r="11" s="1" customFormat="1" ht="69" customHeight="1" spans="1:30">
      <c r="A11" s="4" t="s">
        <v>661</v>
      </c>
      <c r="B11" s="7" t="s">
        <v>662</v>
      </c>
      <c r="C11" s="6" t="s">
        <v>29</v>
      </c>
      <c r="D11" s="17" t="s">
        <v>632</v>
      </c>
      <c r="E11" s="9" t="s">
        <v>683</v>
      </c>
      <c r="F11" s="9">
        <v>0</v>
      </c>
      <c r="G11" s="4" t="s">
        <v>146</v>
      </c>
      <c r="H11" s="4" t="s">
        <v>31</v>
      </c>
      <c r="I11" s="4" t="s">
        <v>32</v>
      </c>
      <c r="J11" s="4" t="s">
        <v>684</v>
      </c>
      <c r="K11" s="4" t="s">
        <v>686</v>
      </c>
      <c r="L11" s="7"/>
      <c r="M11" s="7" t="s">
        <v>649</v>
      </c>
      <c r="N11" s="4" t="s">
        <v>685</v>
      </c>
      <c r="O11" s="54"/>
      <c r="P11" s="54"/>
      <c r="Q11" s="9" t="s">
        <v>637</v>
      </c>
      <c r="R11" s="4" t="s">
        <v>688</v>
      </c>
      <c r="S11" s="4" t="s">
        <v>689</v>
      </c>
      <c r="T11" s="17" t="s">
        <v>638</v>
      </c>
      <c r="U11" s="21">
        <v>200</v>
      </c>
      <c r="V11" s="21" t="s">
        <v>161</v>
      </c>
      <c r="W11" s="21"/>
      <c r="X11" s="21">
        <v>1</v>
      </c>
      <c r="Y11" s="51" t="b">
        <v>0</v>
      </c>
      <c r="Z11" s="21" t="s">
        <v>162</v>
      </c>
      <c r="AA11" s="21" t="s">
        <v>161</v>
      </c>
      <c r="AB11" s="21" t="s">
        <v>161</v>
      </c>
      <c r="AC11" s="21" t="s">
        <v>228</v>
      </c>
      <c r="AD11" s="51" t="b">
        <v>0</v>
      </c>
    </row>
    <row r="12" s="1" customFormat="1" ht="69" customHeight="1" spans="1:30">
      <c r="A12" s="4" t="s">
        <v>663</v>
      </c>
      <c r="B12" s="7" t="s">
        <v>664</v>
      </c>
      <c r="C12" s="6" t="s">
        <v>29</v>
      </c>
      <c r="D12" s="17" t="s">
        <v>632</v>
      </c>
      <c r="E12" s="9" t="s">
        <v>683</v>
      </c>
      <c r="F12" s="53">
        <v>378</v>
      </c>
      <c r="G12" s="4" t="s">
        <v>146</v>
      </c>
      <c r="H12" s="4" t="s">
        <v>31</v>
      </c>
      <c r="I12" s="4" t="s">
        <v>32</v>
      </c>
      <c r="J12" s="4" t="s">
        <v>684</v>
      </c>
      <c r="K12" s="9" t="s">
        <v>635</v>
      </c>
      <c r="L12" s="54"/>
      <c r="M12" s="54"/>
      <c r="N12" s="4" t="s">
        <v>685</v>
      </c>
      <c r="O12" s="54"/>
      <c r="P12" s="54"/>
      <c r="Q12" s="9" t="s">
        <v>637</v>
      </c>
      <c r="R12" s="17"/>
      <c r="S12" s="17"/>
      <c r="T12" s="17" t="s">
        <v>638</v>
      </c>
      <c r="U12" s="21">
        <v>200</v>
      </c>
      <c r="V12" s="21" t="s">
        <v>161</v>
      </c>
      <c r="W12" s="21"/>
      <c r="X12" s="21" t="s">
        <v>48</v>
      </c>
      <c r="Y12" s="51" t="b">
        <v>0</v>
      </c>
      <c r="Z12" s="21" t="s">
        <v>162</v>
      </c>
      <c r="AA12" s="21" t="s">
        <v>161</v>
      </c>
      <c r="AB12" s="21" t="s">
        <v>161</v>
      </c>
      <c r="AC12" s="21" t="s">
        <v>246</v>
      </c>
      <c r="AD12" s="51" t="b">
        <v>0</v>
      </c>
    </row>
    <row r="13" s="1" customFormat="1" ht="69" customHeight="1" spans="1:30">
      <c r="A13" s="4" t="s">
        <v>665</v>
      </c>
      <c r="B13" s="7" t="s">
        <v>666</v>
      </c>
      <c r="C13" s="6" t="s">
        <v>29</v>
      </c>
      <c r="D13" s="17" t="s">
        <v>632</v>
      </c>
      <c r="E13" s="9" t="s">
        <v>683</v>
      </c>
      <c r="F13" s="53">
        <v>378</v>
      </c>
      <c r="G13" s="4" t="s">
        <v>146</v>
      </c>
      <c r="H13" s="4" t="s">
        <v>31</v>
      </c>
      <c r="I13" s="4" t="s">
        <v>32</v>
      </c>
      <c r="J13" s="4" t="s">
        <v>684</v>
      </c>
      <c r="K13" s="4" t="s">
        <v>686</v>
      </c>
      <c r="L13" s="55"/>
      <c r="M13" s="55"/>
      <c r="N13" s="4" t="s">
        <v>685</v>
      </c>
      <c r="O13" s="54" t="s">
        <v>691</v>
      </c>
      <c r="P13" s="54"/>
      <c r="Q13" s="9" t="s">
        <v>637</v>
      </c>
      <c r="R13" s="17"/>
      <c r="S13" s="17"/>
      <c r="T13" s="17" t="s">
        <v>638</v>
      </c>
      <c r="U13" s="21">
        <v>200</v>
      </c>
      <c r="V13" s="21" t="s">
        <v>161</v>
      </c>
      <c r="W13" s="21" t="str">
        <f>O13</f>
        <v>AG300</v>
      </c>
      <c r="X13" s="21" t="s">
        <v>48</v>
      </c>
      <c r="Y13" s="51" t="b">
        <v>0</v>
      </c>
      <c r="Z13" s="21" t="s">
        <v>162</v>
      </c>
      <c r="AA13" s="21" t="s">
        <v>161</v>
      </c>
      <c r="AB13" s="21" t="s">
        <v>161</v>
      </c>
      <c r="AC13" s="21" t="s">
        <v>246</v>
      </c>
      <c r="AD13" s="51" t="b">
        <v>0</v>
      </c>
    </row>
    <row r="14" s="1" customFormat="1" ht="70" customHeight="1" spans="1:30">
      <c r="A14" s="4" t="s">
        <v>668</v>
      </c>
      <c r="B14" s="7" t="s">
        <v>669</v>
      </c>
      <c r="C14" s="6" t="s">
        <v>29</v>
      </c>
      <c r="D14" s="17" t="s">
        <v>632</v>
      </c>
      <c r="E14" s="9" t="s">
        <v>683</v>
      </c>
      <c r="F14" s="53">
        <v>378</v>
      </c>
      <c r="G14" s="4" t="s">
        <v>146</v>
      </c>
      <c r="H14" s="4" t="s">
        <v>31</v>
      </c>
      <c r="I14" s="4" t="s">
        <v>32</v>
      </c>
      <c r="J14" s="4" t="s">
        <v>684</v>
      </c>
      <c r="K14" s="4" t="s">
        <v>686</v>
      </c>
      <c r="L14" s="7"/>
      <c r="M14" s="7"/>
      <c r="N14" s="4" t="s">
        <v>685</v>
      </c>
      <c r="O14" s="54"/>
      <c r="P14" s="54">
        <v>1</v>
      </c>
      <c r="Q14" s="9" t="s">
        <v>637</v>
      </c>
      <c r="R14" s="17"/>
      <c r="S14" s="17"/>
      <c r="T14" s="17" t="s">
        <v>638</v>
      </c>
      <c r="U14" s="21">
        <v>200</v>
      </c>
      <c r="V14" s="21" t="s">
        <v>161</v>
      </c>
      <c r="W14" s="21"/>
      <c r="X14" s="21" t="s">
        <v>48</v>
      </c>
      <c r="Y14" s="51" t="b">
        <v>0</v>
      </c>
      <c r="Z14" s="21" t="s">
        <v>162</v>
      </c>
      <c r="AA14" s="21" t="s">
        <v>161</v>
      </c>
      <c r="AB14" s="21" t="s">
        <v>161</v>
      </c>
      <c r="AC14" s="21" t="s">
        <v>246</v>
      </c>
      <c r="AD14" s="51" t="b">
        <v>0</v>
      </c>
    </row>
    <row r="15" s="1" customFormat="1" ht="69" customHeight="1" spans="1:30">
      <c r="A15" s="4" t="s">
        <v>670</v>
      </c>
      <c r="B15" s="7" t="s">
        <v>671</v>
      </c>
      <c r="C15" s="6" t="s">
        <v>29</v>
      </c>
      <c r="D15" s="17" t="s">
        <v>632</v>
      </c>
      <c r="E15" s="9" t="s">
        <v>683</v>
      </c>
      <c r="F15" s="53">
        <v>378</v>
      </c>
      <c r="G15" s="4" t="s">
        <v>146</v>
      </c>
      <c r="H15" s="4" t="s">
        <v>31</v>
      </c>
      <c r="I15" s="4" t="s">
        <v>32</v>
      </c>
      <c r="J15" s="4" t="s">
        <v>684</v>
      </c>
      <c r="K15" s="4" t="s">
        <v>686</v>
      </c>
      <c r="L15" s="125" t="s">
        <v>51</v>
      </c>
      <c r="M15" s="7"/>
      <c r="N15" s="4" t="s">
        <v>685</v>
      </c>
      <c r="O15" s="54"/>
      <c r="P15" s="54"/>
      <c r="Q15" s="9" t="s">
        <v>637</v>
      </c>
      <c r="R15" s="17"/>
      <c r="S15" s="17"/>
      <c r="T15" s="17" t="s">
        <v>638</v>
      </c>
      <c r="U15" s="21">
        <v>200</v>
      </c>
      <c r="V15" s="21" t="s">
        <v>161</v>
      </c>
      <c r="W15" s="21"/>
      <c r="X15" s="21" t="s">
        <v>48</v>
      </c>
      <c r="Y15" s="51" t="b">
        <v>0</v>
      </c>
      <c r="Z15" s="21" t="s">
        <v>162</v>
      </c>
      <c r="AA15" s="21" t="s">
        <v>161</v>
      </c>
      <c r="AB15" s="21" t="s">
        <v>161</v>
      </c>
      <c r="AC15" s="21" t="s">
        <v>246</v>
      </c>
      <c r="AD15" s="51" t="b">
        <v>1</v>
      </c>
    </row>
    <row r="16" s="1" customFormat="1" ht="69" customHeight="1" spans="1:30">
      <c r="A16" s="4" t="s">
        <v>672</v>
      </c>
      <c r="B16" s="7" t="s">
        <v>673</v>
      </c>
      <c r="C16" s="6" t="s">
        <v>29</v>
      </c>
      <c r="D16" s="17" t="s">
        <v>632</v>
      </c>
      <c r="E16" s="9" t="s">
        <v>683</v>
      </c>
      <c r="F16" s="53">
        <v>378</v>
      </c>
      <c r="G16" s="4" t="s">
        <v>146</v>
      </c>
      <c r="H16" s="4" t="s">
        <v>31</v>
      </c>
      <c r="I16" s="4" t="s">
        <v>32</v>
      </c>
      <c r="J16" s="4" t="s">
        <v>684</v>
      </c>
      <c r="K16" s="4" t="s">
        <v>686</v>
      </c>
      <c r="L16" s="7"/>
      <c r="M16" s="7" t="s">
        <v>649</v>
      </c>
      <c r="N16" s="4" t="s">
        <v>685</v>
      </c>
      <c r="O16" s="54"/>
      <c r="P16" s="54"/>
      <c r="Q16" s="9" t="s">
        <v>637</v>
      </c>
      <c r="R16" s="17"/>
      <c r="S16" s="17"/>
      <c r="T16" s="17" t="s">
        <v>638</v>
      </c>
      <c r="U16" s="21">
        <v>200</v>
      </c>
      <c r="V16" s="21" t="s">
        <v>161</v>
      </c>
      <c r="W16" s="21"/>
      <c r="X16" s="21" t="s">
        <v>48</v>
      </c>
      <c r="Y16" s="51" t="b">
        <v>0</v>
      </c>
      <c r="Z16" s="21" t="s">
        <v>162</v>
      </c>
      <c r="AA16" s="21" t="s">
        <v>161</v>
      </c>
      <c r="AB16" s="21" t="s">
        <v>161</v>
      </c>
      <c r="AC16" s="21" t="s">
        <v>246</v>
      </c>
      <c r="AD16" s="51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52" t="s">
        <v>623</v>
      </c>
      <c r="F1" s="52" t="s">
        <v>624</v>
      </c>
      <c r="G1" s="52" t="s">
        <v>546</v>
      </c>
      <c r="H1" s="52" t="s">
        <v>4</v>
      </c>
      <c r="I1" s="52" t="s">
        <v>5</v>
      </c>
      <c r="J1" s="52" t="s">
        <v>547</v>
      </c>
      <c r="K1" s="52" t="s">
        <v>548</v>
      </c>
      <c r="L1" s="52" t="s">
        <v>549</v>
      </c>
      <c r="M1" s="52" t="s">
        <v>550</v>
      </c>
      <c r="N1" s="52" t="s">
        <v>625</v>
      </c>
      <c r="O1" s="52" t="s">
        <v>552</v>
      </c>
      <c r="P1" s="52" t="s">
        <v>553</v>
      </c>
      <c r="Q1" s="52" t="s">
        <v>626</v>
      </c>
      <c r="R1" s="52" t="s">
        <v>627</v>
      </c>
      <c r="S1" s="52" t="s">
        <v>628</v>
      </c>
      <c r="T1" s="56" t="s">
        <v>15</v>
      </c>
      <c r="U1" s="10" t="s">
        <v>16</v>
      </c>
      <c r="V1" s="10" t="s">
        <v>555</v>
      </c>
      <c r="W1" s="10" t="s">
        <v>629</v>
      </c>
      <c r="X1" s="10" t="s">
        <v>557</v>
      </c>
      <c r="Y1" s="18" t="s">
        <v>558</v>
      </c>
      <c r="Z1" s="10" t="s">
        <v>559</v>
      </c>
      <c r="AA1" s="10" t="s">
        <v>560</v>
      </c>
      <c r="AB1" s="10" t="s">
        <v>561</v>
      </c>
      <c r="AC1" s="10" t="s">
        <v>562</v>
      </c>
      <c r="AD1" s="18" t="s">
        <v>563</v>
      </c>
    </row>
    <row r="2" s="1" customFormat="1" ht="50" customHeight="1" spans="1:30">
      <c r="A2" s="4" t="s">
        <v>630</v>
      </c>
      <c r="B2" s="7" t="s">
        <v>631</v>
      </c>
      <c r="C2" s="6" t="s">
        <v>29</v>
      </c>
      <c r="D2" s="17" t="s">
        <v>632</v>
      </c>
      <c r="E2" s="9" t="s">
        <v>692</v>
      </c>
      <c r="F2" s="9">
        <v>0</v>
      </c>
      <c r="G2" s="4" t="s">
        <v>146</v>
      </c>
      <c r="H2" s="4" t="s">
        <v>31</v>
      </c>
      <c r="I2" s="4" t="s">
        <v>32</v>
      </c>
      <c r="J2" s="4" t="s">
        <v>693</v>
      </c>
      <c r="K2" s="9" t="s">
        <v>635</v>
      </c>
      <c r="L2" s="54"/>
      <c r="M2" s="54"/>
      <c r="N2" s="4" t="s">
        <v>694</v>
      </c>
      <c r="O2" s="54"/>
      <c r="P2" s="54"/>
      <c r="Q2" s="9" t="s">
        <v>637</v>
      </c>
      <c r="R2" s="17"/>
      <c r="S2" s="17"/>
      <c r="T2" s="17" t="s">
        <v>638</v>
      </c>
      <c r="U2" s="21">
        <v>200</v>
      </c>
      <c r="V2" s="21" t="s">
        <v>161</v>
      </c>
      <c r="W2" s="21"/>
      <c r="X2" s="21" t="s">
        <v>34</v>
      </c>
      <c r="Y2" s="51" t="b">
        <v>0</v>
      </c>
      <c r="Z2" s="21" t="s">
        <v>162</v>
      </c>
      <c r="AA2" s="21" t="s">
        <v>161</v>
      </c>
      <c r="AB2" s="21" t="s">
        <v>161</v>
      </c>
      <c r="AC2" s="57" t="s">
        <v>163</v>
      </c>
      <c r="AD2" s="51" t="b">
        <v>0</v>
      </c>
    </row>
    <row r="3" s="1" customFormat="1" ht="69" customHeight="1" spans="1:30">
      <c r="A3" s="4" t="s">
        <v>639</v>
      </c>
      <c r="B3" s="7" t="s">
        <v>640</v>
      </c>
      <c r="C3" s="6" t="s">
        <v>29</v>
      </c>
      <c r="D3" s="17" t="s">
        <v>632</v>
      </c>
      <c r="E3" s="9" t="s">
        <v>692</v>
      </c>
      <c r="F3" s="9">
        <v>0</v>
      </c>
      <c r="G3" s="4" t="s">
        <v>146</v>
      </c>
      <c r="H3" s="4" t="s">
        <v>31</v>
      </c>
      <c r="I3" s="4" t="s">
        <v>32</v>
      </c>
      <c r="J3" s="4" t="s">
        <v>693</v>
      </c>
      <c r="K3" s="4" t="s">
        <v>695</v>
      </c>
      <c r="L3" s="55"/>
      <c r="M3" s="55"/>
      <c r="N3" s="4" t="s">
        <v>694</v>
      </c>
      <c r="O3" s="54" t="s">
        <v>696</v>
      </c>
      <c r="P3" s="54"/>
      <c r="Q3" s="9" t="s">
        <v>637</v>
      </c>
      <c r="R3" s="17"/>
      <c r="S3" s="17"/>
      <c r="T3" s="17" t="s">
        <v>638</v>
      </c>
      <c r="U3" s="21">
        <v>200</v>
      </c>
      <c r="V3" s="21" t="s">
        <v>161</v>
      </c>
      <c r="W3" s="21" t="str">
        <f>O3</f>
        <v>VST400</v>
      </c>
      <c r="X3" s="21" t="s">
        <v>34</v>
      </c>
      <c r="Y3" s="51" t="b">
        <v>0</v>
      </c>
      <c r="Z3" s="21" t="s">
        <v>162</v>
      </c>
      <c r="AA3" s="21" t="s">
        <v>161</v>
      </c>
      <c r="AB3" s="21" t="s">
        <v>161</v>
      </c>
      <c r="AC3" s="57" t="s">
        <v>163</v>
      </c>
      <c r="AD3" s="51" t="b">
        <v>0</v>
      </c>
    </row>
    <row r="4" s="1" customFormat="1" ht="69" customHeight="1" spans="1:30">
      <c r="A4" s="4" t="s">
        <v>643</v>
      </c>
      <c r="B4" s="7" t="s">
        <v>644</v>
      </c>
      <c r="C4" s="6" t="s">
        <v>29</v>
      </c>
      <c r="D4" s="17" t="s">
        <v>632</v>
      </c>
      <c r="E4" s="9" t="s">
        <v>692</v>
      </c>
      <c r="F4" s="9">
        <v>0</v>
      </c>
      <c r="G4" s="4" t="s">
        <v>146</v>
      </c>
      <c r="H4" s="4" t="s">
        <v>31</v>
      </c>
      <c r="I4" s="4" t="s">
        <v>32</v>
      </c>
      <c r="J4" s="4" t="s">
        <v>693</v>
      </c>
      <c r="K4" s="4" t="s">
        <v>695</v>
      </c>
      <c r="L4" s="7"/>
      <c r="M4" s="7"/>
      <c r="N4" s="4" t="s">
        <v>694</v>
      </c>
      <c r="O4" s="54"/>
      <c r="P4" s="54">
        <v>1</v>
      </c>
      <c r="Q4" s="9" t="s">
        <v>637</v>
      </c>
      <c r="R4" s="17"/>
      <c r="S4" s="17"/>
      <c r="T4" s="17" t="s">
        <v>638</v>
      </c>
      <c r="U4" s="21">
        <v>200</v>
      </c>
      <c r="V4" s="21" t="s">
        <v>161</v>
      </c>
      <c r="W4" s="21"/>
      <c r="X4" s="21" t="s">
        <v>34</v>
      </c>
      <c r="Y4" s="51" t="b">
        <v>0</v>
      </c>
      <c r="Z4" s="21" t="s">
        <v>162</v>
      </c>
      <c r="AA4" s="21" t="s">
        <v>161</v>
      </c>
      <c r="AB4" s="21" t="s">
        <v>161</v>
      </c>
      <c r="AC4" s="57" t="s">
        <v>163</v>
      </c>
      <c r="AD4" s="51" t="b">
        <v>0</v>
      </c>
    </row>
    <row r="5" s="1" customFormat="1" ht="69" customHeight="1" spans="1:30">
      <c r="A5" s="4" t="s">
        <v>645</v>
      </c>
      <c r="B5" s="7" t="s">
        <v>646</v>
      </c>
      <c r="C5" s="6" t="s">
        <v>29</v>
      </c>
      <c r="D5" s="17" t="s">
        <v>632</v>
      </c>
      <c r="E5" s="9" t="s">
        <v>692</v>
      </c>
      <c r="F5" s="9">
        <v>0</v>
      </c>
      <c r="G5" s="4" t="s">
        <v>146</v>
      </c>
      <c r="H5" s="4" t="s">
        <v>31</v>
      </c>
      <c r="I5" s="4" t="s">
        <v>32</v>
      </c>
      <c r="J5" s="4" t="s">
        <v>693</v>
      </c>
      <c r="K5" s="4" t="s">
        <v>695</v>
      </c>
      <c r="L5" s="125" t="s">
        <v>51</v>
      </c>
      <c r="M5" s="7"/>
      <c r="N5" s="4" t="s">
        <v>694</v>
      </c>
      <c r="O5" s="54"/>
      <c r="P5" s="54"/>
      <c r="Q5" s="9" t="s">
        <v>637</v>
      </c>
      <c r="R5" s="17"/>
      <c r="S5" s="17"/>
      <c r="T5" s="17" t="s">
        <v>638</v>
      </c>
      <c r="U5" s="21">
        <v>200</v>
      </c>
      <c r="V5" s="21" t="s">
        <v>161</v>
      </c>
      <c r="W5" s="21"/>
      <c r="X5" s="21" t="s">
        <v>34</v>
      </c>
      <c r="Y5" s="51" t="b">
        <v>0</v>
      </c>
      <c r="Z5" s="21" t="s">
        <v>162</v>
      </c>
      <c r="AA5" s="21" t="s">
        <v>161</v>
      </c>
      <c r="AB5" s="21" t="s">
        <v>161</v>
      </c>
      <c r="AC5" s="57" t="s">
        <v>163</v>
      </c>
      <c r="AD5" s="51" t="b">
        <v>1</v>
      </c>
    </row>
    <row r="6" s="1" customFormat="1" ht="69" customHeight="1" spans="1:30">
      <c r="A6" s="4" t="s">
        <v>647</v>
      </c>
      <c r="B6" s="7" t="s">
        <v>648</v>
      </c>
      <c r="C6" s="6" t="s">
        <v>29</v>
      </c>
      <c r="D6" s="17" t="s">
        <v>632</v>
      </c>
      <c r="E6" s="9" t="s">
        <v>692</v>
      </c>
      <c r="F6" s="9">
        <v>0</v>
      </c>
      <c r="G6" s="4" t="s">
        <v>146</v>
      </c>
      <c r="H6" s="4" t="s">
        <v>31</v>
      </c>
      <c r="I6" s="4" t="s">
        <v>32</v>
      </c>
      <c r="J6" s="4" t="s">
        <v>693</v>
      </c>
      <c r="K6" s="4" t="s">
        <v>695</v>
      </c>
      <c r="L6" s="7"/>
      <c r="M6" s="7" t="s">
        <v>649</v>
      </c>
      <c r="N6" s="4" t="s">
        <v>694</v>
      </c>
      <c r="O6" s="54"/>
      <c r="P6" s="54"/>
      <c r="Q6" s="9" t="s">
        <v>637</v>
      </c>
      <c r="R6" s="17"/>
      <c r="S6" s="17"/>
      <c r="T6" s="17" t="s">
        <v>638</v>
      </c>
      <c r="U6" s="21">
        <v>200</v>
      </c>
      <c r="V6" s="21" t="s">
        <v>161</v>
      </c>
      <c r="W6" s="21"/>
      <c r="X6" s="21" t="s">
        <v>34</v>
      </c>
      <c r="Y6" s="51" t="b">
        <v>0</v>
      </c>
      <c r="Z6" s="21" t="s">
        <v>162</v>
      </c>
      <c r="AA6" s="21" t="s">
        <v>161</v>
      </c>
      <c r="AB6" s="21" t="s">
        <v>161</v>
      </c>
      <c r="AC6" s="57" t="s">
        <v>163</v>
      </c>
      <c r="AD6" s="51" t="b">
        <v>0</v>
      </c>
    </row>
    <row r="7" s="1" customFormat="1" ht="69" customHeight="1" spans="1:30">
      <c r="A7" s="4" t="s">
        <v>650</v>
      </c>
      <c r="B7" s="7" t="s">
        <v>651</v>
      </c>
      <c r="C7" s="6" t="s">
        <v>29</v>
      </c>
      <c r="D7" s="17" t="s">
        <v>632</v>
      </c>
      <c r="E7" s="9" t="s">
        <v>692</v>
      </c>
      <c r="F7" s="9">
        <v>0</v>
      </c>
      <c r="G7" s="4" t="s">
        <v>146</v>
      </c>
      <c r="H7" s="4" t="s">
        <v>31</v>
      </c>
      <c r="I7" s="4" t="s">
        <v>32</v>
      </c>
      <c r="J7" s="4" t="s">
        <v>693</v>
      </c>
      <c r="K7" s="9" t="s">
        <v>635</v>
      </c>
      <c r="L7" s="54"/>
      <c r="M7" s="54"/>
      <c r="N7" s="4" t="s">
        <v>694</v>
      </c>
      <c r="O7" s="54"/>
      <c r="P7" s="54"/>
      <c r="Q7" s="9" t="s">
        <v>637</v>
      </c>
      <c r="R7" s="4" t="s">
        <v>697</v>
      </c>
      <c r="S7" s="4" t="s">
        <v>698</v>
      </c>
      <c r="T7" s="17" t="s">
        <v>638</v>
      </c>
      <c r="U7" s="21">
        <v>200</v>
      </c>
      <c r="V7" s="21" t="s">
        <v>161</v>
      </c>
      <c r="W7" s="21"/>
      <c r="X7" s="21">
        <v>1</v>
      </c>
      <c r="Y7" s="51" t="b">
        <v>0</v>
      </c>
      <c r="Z7" s="21" t="s">
        <v>162</v>
      </c>
      <c r="AA7" s="21" t="s">
        <v>161</v>
      </c>
      <c r="AB7" s="21" t="s">
        <v>161</v>
      </c>
      <c r="AC7" s="21" t="s">
        <v>228</v>
      </c>
      <c r="AD7" s="51" t="b">
        <v>0</v>
      </c>
    </row>
    <row r="8" s="1" customFormat="1" ht="69" customHeight="1" spans="1:30">
      <c r="A8" s="4" t="s">
        <v>654</v>
      </c>
      <c r="B8" s="7" t="s">
        <v>655</v>
      </c>
      <c r="C8" s="6" t="s">
        <v>29</v>
      </c>
      <c r="D8" s="17" t="s">
        <v>632</v>
      </c>
      <c r="E8" s="9" t="s">
        <v>692</v>
      </c>
      <c r="F8" s="9">
        <v>0</v>
      </c>
      <c r="G8" s="4" t="s">
        <v>146</v>
      </c>
      <c r="H8" s="4" t="s">
        <v>31</v>
      </c>
      <c r="I8" s="4" t="s">
        <v>32</v>
      </c>
      <c r="J8" s="4" t="s">
        <v>693</v>
      </c>
      <c r="K8" s="4" t="s">
        <v>695</v>
      </c>
      <c r="L8" s="55"/>
      <c r="M8" s="55"/>
      <c r="N8" s="4" t="s">
        <v>694</v>
      </c>
      <c r="O8" s="54" t="s">
        <v>699</v>
      </c>
      <c r="P8" s="54"/>
      <c r="Q8" s="9" t="s">
        <v>637</v>
      </c>
      <c r="R8" s="4" t="s">
        <v>697</v>
      </c>
      <c r="S8" s="4" t="s">
        <v>698</v>
      </c>
      <c r="T8" s="17" t="s">
        <v>638</v>
      </c>
      <c r="U8" s="21">
        <v>200</v>
      </c>
      <c r="V8" s="21" t="s">
        <v>161</v>
      </c>
      <c r="W8" s="21" t="str">
        <f>O8</f>
        <v>MB400</v>
      </c>
      <c r="X8" s="21">
        <v>1</v>
      </c>
      <c r="Y8" s="51" t="b">
        <v>0</v>
      </c>
      <c r="Z8" s="21" t="s">
        <v>162</v>
      </c>
      <c r="AA8" s="21" t="s">
        <v>161</v>
      </c>
      <c r="AB8" s="21" t="s">
        <v>161</v>
      </c>
      <c r="AC8" s="21" t="s">
        <v>228</v>
      </c>
      <c r="AD8" s="51" t="b">
        <v>0</v>
      </c>
    </row>
    <row r="9" s="1" customFormat="1" ht="69" customHeight="1" spans="1:30">
      <c r="A9" s="4" t="s">
        <v>657</v>
      </c>
      <c r="B9" s="7" t="s">
        <v>658</v>
      </c>
      <c r="C9" s="6" t="s">
        <v>29</v>
      </c>
      <c r="D9" s="17" t="s">
        <v>632</v>
      </c>
      <c r="E9" s="9" t="s">
        <v>692</v>
      </c>
      <c r="F9" s="9">
        <v>0</v>
      </c>
      <c r="G9" s="4" t="s">
        <v>146</v>
      </c>
      <c r="H9" s="4" t="s">
        <v>31</v>
      </c>
      <c r="I9" s="4" t="s">
        <v>32</v>
      </c>
      <c r="J9" s="4" t="s">
        <v>693</v>
      </c>
      <c r="K9" s="4" t="s">
        <v>695</v>
      </c>
      <c r="L9" s="7"/>
      <c r="M9" s="7"/>
      <c r="N9" s="4" t="s">
        <v>694</v>
      </c>
      <c r="O9" s="54"/>
      <c r="P9" s="54">
        <v>1</v>
      </c>
      <c r="Q9" s="9" t="s">
        <v>637</v>
      </c>
      <c r="R9" s="4" t="s">
        <v>697</v>
      </c>
      <c r="S9" s="4" t="s">
        <v>698</v>
      </c>
      <c r="T9" s="17" t="s">
        <v>638</v>
      </c>
      <c r="U9" s="21">
        <v>200</v>
      </c>
      <c r="V9" s="21" t="s">
        <v>161</v>
      </c>
      <c r="W9" s="21"/>
      <c r="X9" s="21">
        <v>1</v>
      </c>
      <c r="Y9" s="51" t="b">
        <v>0</v>
      </c>
      <c r="Z9" s="21" t="s">
        <v>162</v>
      </c>
      <c r="AA9" s="21" t="s">
        <v>161</v>
      </c>
      <c r="AB9" s="21" t="s">
        <v>161</v>
      </c>
      <c r="AC9" s="21" t="s">
        <v>228</v>
      </c>
      <c r="AD9" s="51" t="b">
        <v>0</v>
      </c>
    </row>
    <row r="10" s="1" customFormat="1" ht="69" customHeight="1" spans="1:30">
      <c r="A10" s="4" t="s">
        <v>659</v>
      </c>
      <c r="B10" s="7" t="s">
        <v>660</v>
      </c>
      <c r="C10" s="6" t="s">
        <v>29</v>
      </c>
      <c r="D10" s="17" t="s">
        <v>632</v>
      </c>
      <c r="E10" s="9" t="s">
        <v>692</v>
      </c>
      <c r="F10" s="9">
        <v>0</v>
      </c>
      <c r="G10" s="4" t="s">
        <v>146</v>
      </c>
      <c r="H10" s="4" t="s">
        <v>31</v>
      </c>
      <c r="I10" s="4" t="s">
        <v>32</v>
      </c>
      <c r="J10" s="4" t="s">
        <v>693</v>
      </c>
      <c r="K10" s="4" t="s">
        <v>695</v>
      </c>
      <c r="L10" s="125" t="s">
        <v>51</v>
      </c>
      <c r="M10" s="7"/>
      <c r="N10" s="4" t="s">
        <v>694</v>
      </c>
      <c r="O10" s="54"/>
      <c r="P10" s="54"/>
      <c r="Q10" s="9" t="s">
        <v>637</v>
      </c>
      <c r="R10" s="4" t="s">
        <v>697</v>
      </c>
      <c r="S10" s="4" t="s">
        <v>698</v>
      </c>
      <c r="T10" s="17" t="s">
        <v>638</v>
      </c>
      <c r="U10" s="21">
        <v>200</v>
      </c>
      <c r="V10" s="21" t="s">
        <v>161</v>
      </c>
      <c r="W10" s="21"/>
      <c r="X10" s="21">
        <v>1</v>
      </c>
      <c r="Y10" s="51" t="b">
        <v>0</v>
      </c>
      <c r="Z10" s="21" t="s">
        <v>162</v>
      </c>
      <c r="AA10" s="21" t="s">
        <v>161</v>
      </c>
      <c r="AB10" s="21" t="s">
        <v>161</v>
      </c>
      <c r="AC10" s="21" t="s">
        <v>228</v>
      </c>
      <c r="AD10" s="51" t="b">
        <v>1</v>
      </c>
    </row>
    <row r="11" s="1" customFormat="1" ht="69" customHeight="1" spans="1:30">
      <c r="A11" s="4" t="s">
        <v>661</v>
      </c>
      <c r="B11" s="7" t="s">
        <v>662</v>
      </c>
      <c r="C11" s="6" t="s">
        <v>29</v>
      </c>
      <c r="D11" s="17" t="s">
        <v>632</v>
      </c>
      <c r="E11" s="9" t="s">
        <v>692</v>
      </c>
      <c r="F11" s="9">
        <v>0</v>
      </c>
      <c r="G11" s="4" t="s">
        <v>146</v>
      </c>
      <c r="H11" s="4" t="s">
        <v>31</v>
      </c>
      <c r="I11" s="4" t="s">
        <v>32</v>
      </c>
      <c r="J11" s="4" t="s">
        <v>693</v>
      </c>
      <c r="K11" s="4" t="s">
        <v>695</v>
      </c>
      <c r="L11" s="7"/>
      <c r="M11" s="7" t="s">
        <v>649</v>
      </c>
      <c r="N11" s="4" t="s">
        <v>694</v>
      </c>
      <c r="O11" s="54"/>
      <c r="P11" s="54"/>
      <c r="Q11" s="9" t="s">
        <v>637</v>
      </c>
      <c r="R11" s="4" t="s">
        <v>697</v>
      </c>
      <c r="S11" s="4" t="s">
        <v>698</v>
      </c>
      <c r="T11" s="17" t="s">
        <v>638</v>
      </c>
      <c r="U11" s="21">
        <v>200</v>
      </c>
      <c r="V11" s="21" t="s">
        <v>161</v>
      </c>
      <c r="W11" s="21"/>
      <c r="X11" s="21">
        <v>1</v>
      </c>
      <c r="Y11" s="51" t="b">
        <v>0</v>
      </c>
      <c r="Z11" s="21" t="s">
        <v>162</v>
      </c>
      <c r="AA11" s="21" t="s">
        <v>161</v>
      </c>
      <c r="AB11" s="21" t="s">
        <v>161</v>
      </c>
      <c r="AC11" s="21" t="s">
        <v>228</v>
      </c>
      <c r="AD11" s="51" t="b">
        <v>0</v>
      </c>
    </row>
    <row r="12" s="1" customFormat="1" ht="69" customHeight="1" spans="1:30">
      <c r="A12" s="4" t="s">
        <v>663</v>
      </c>
      <c r="B12" s="7" t="s">
        <v>664</v>
      </c>
      <c r="C12" s="6" t="s">
        <v>29</v>
      </c>
      <c r="D12" s="17" t="s">
        <v>632</v>
      </c>
      <c r="E12" s="9" t="s">
        <v>692</v>
      </c>
      <c r="F12" s="53">
        <v>378</v>
      </c>
      <c r="G12" s="4" t="s">
        <v>146</v>
      </c>
      <c r="H12" s="4" t="s">
        <v>31</v>
      </c>
      <c r="I12" s="4" t="s">
        <v>32</v>
      </c>
      <c r="J12" s="4" t="s">
        <v>693</v>
      </c>
      <c r="K12" s="9" t="s">
        <v>635</v>
      </c>
      <c r="L12" s="54"/>
      <c r="M12" s="54"/>
      <c r="N12" s="4" t="s">
        <v>694</v>
      </c>
      <c r="O12" s="54"/>
      <c r="P12" s="54"/>
      <c r="Q12" s="9" t="s">
        <v>637</v>
      </c>
      <c r="R12" s="17"/>
      <c r="S12" s="17"/>
      <c r="T12" s="17" t="s">
        <v>638</v>
      </c>
      <c r="U12" s="21">
        <v>200</v>
      </c>
      <c r="V12" s="21" t="s">
        <v>161</v>
      </c>
      <c r="W12" s="21"/>
      <c r="X12" s="21" t="s">
        <v>48</v>
      </c>
      <c r="Y12" s="51" t="b">
        <v>0</v>
      </c>
      <c r="Z12" s="21" t="s">
        <v>162</v>
      </c>
      <c r="AA12" s="21" t="s">
        <v>161</v>
      </c>
      <c r="AB12" s="21" t="s">
        <v>161</v>
      </c>
      <c r="AC12" s="21" t="s">
        <v>246</v>
      </c>
      <c r="AD12" s="51" t="b">
        <v>0</v>
      </c>
    </row>
    <row r="13" s="1" customFormat="1" ht="69" customHeight="1" spans="1:30">
      <c r="A13" s="4" t="s">
        <v>665</v>
      </c>
      <c r="B13" s="7" t="s">
        <v>666</v>
      </c>
      <c r="C13" s="6" t="s">
        <v>29</v>
      </c>
      <c r="D13" s="17" t="s">
        <v>632</v>
      </c>
      <c r="E13" s="9" t="s">
        <v>692</v>
      </c>
      <c r="F13" s="53">
        <v>378</v>
      </c>
      <c r="G13" s="4" t="s">
        <v>146</v>
      </c>
      <c r="H13" s="4" t="s">
        <v>31</v>
      </c>
      <c r="I13" s="4" t="s">
        <v>32</v>
      </c>
      <c r="J13" s="4" t="s">
        <v>693</v>
      </c>
      <c r="K13" s="4" t="s">
        <v>695</v>
      </c>
      <c r="L13" s="55"/>
      <c r="M13" s="55"/>
      <c r="N13" s="4" t="s">
        <v>694</v>
      </c>
      <c r="O13" s="54" t="s">
        <v>700</v>
      </c>
      <c r="P13" s="54"/>
      <c r="Q13" s="9" t="s">
        <v>637</v>
      </c>
      <c r="R13" s="17"/>
      <c r="S13" s="17"/>
      <c r="T13" s="17" t="s">
        <v>638</v>
      </c>
      <c r="U13" s="21">
        <v>200</v>
      </c>
      <c r="V13" s="21" t="s">
        <v>161</v>
      </c>
      <c r="W13" s="21" t="str">
        <f>O13</f>
        <v>AG400</v>
      </c>
      <c r="X13" s="21" t="s">
        <v>48</v>
      </c>
      <c r="Y13" s="51" t="b">
        <v>0</v>
      </c>
      <c r="Z13" s="21" t="s">
        <v>162</v>
      </c>
      <c r="AA13" s="21" t="s">
        <v>161</v>
      </c>
      <c r="AB13" s="21" t="s">
        <v>161</v>
      </c>
      <c r="AC13" s="21" t="s">
        <v>246</v>
      </c>
      <c r="AD13" s="51" t="b">
        <v>0</v>
      </c>
    </row>
    <row r="14" s="1" customFormat="1" ht="70" customHeight="1" spans="1:30">
      <c r="A14" s="4" t="s">
        <v>668</v>
      </c>
      <c r="B14" s="7" t="s">
        <v>669</v>
      </c>
      <c r="C14" s="6" t="s">
        <v>29</v>
      </c>
      <c r="D14" s="17" t="s">
        <v>632</v>
      </c>
      <c r="E14" s="9" t="s">
        <v>692</v>
      </c>
      <c r="F14" s="53">
        <v>378</v>
      </c>
      <c r="G14" s="4" t="s">
        <v>146</v>
      </c>
      <c r="H14" s="4" t="s">
        <v>31</v>
      </c>
      <c r="I14" s="4" t="s">
        <v>32</v>
      </c>
      <c r="J14" s="4" t="s">
        <v>693</v>
      </c>
      <c r="K14" s="4" t="s">
        <v>695</v>
      </c>
      <c r="L14" s="7"/>
      <c r="M14" s="7"/>
      <c r="N14" s="4" t="s">
        <v>694</v>
      </c>
      <c r="O14" s="54"/>
      <c r="P14" s="54">
        <v>1</v>
      </c>
      <c r="Q14" s="9" t="s">
        <v>637</v>
      </c>
      <c r="R14" s="17"/>
      <c r="S14" s="17"/>
      <c r="T14" s="17" t="s">
        <v>638</v>
      </c>
      <c r="U14" s="21">
        <v>200</v>
      </c>
      <c r="V14" s="21" t="s">
        <v>161</v>
      </c>
      <c r="W14" s="21"/>
      <c r="X14" s="21" t="s">
        <v>48</v>
      </c>
      <c r="Y14" s="51" t="b">
        <v>0</v>
      </c>
      <c r="Z14" s="21" t="s">
        <v>162</v>
      </c>
      <c r="AA14" s="21" t="s">
        <v>161</v>
      </c>
      <c r="AB14" s="21" t="s">
        <v>161</v>
      </c>
      <c r="AC14" s="21" t="s">
        <v>246</v>
      </c>
      <c r="AD14" s="51" t="b">
        <v>0</v>
      </c>
    </row>
    <row r="15" s="1" customFormat="1" ht="69" customHeight="1" spans="1:30">
      <c r="A15" s="4" t="s">
        <v>670</v>
      </c>
      <c r="B15" s="7" t="s">
        <v>671</v>
      </c>
      <c r="C15" s="6" t="s">
        <v>29</v>
      </c>
      <c r="D15" s="17" t="s">
        <v>632</v>
      </c>
      <c r="E15" s="9" t="s">
        <v>692</v>
      </c>
      <c r="F15" s="53">
        <v>378</v>
      </c>
      <c r="G15" s="4" t="s">
        <v>146</v>
      </c>
      <c r="H15" s="4" t="s">
        <v>31</v>
      </c>
      <c r="I15" s="4" t="s">
        <v>32</v>
      </c>
      <c r="J15" s="4" t="s">
        <v>693</v>
      </c>
      <c r="K15" s="4" t="s">
        <v>695</v>
      </c>
      <c r="L15" s="125" t="s">
        <v>51</v>
      </c>
      <c r="M15" s="7"/>
      <c r="N15" s="4" t="s">
        <v>694</v>
      </c>
      <c r="O15" s="54"/>
      <c r="P15" s="54"/>
      <c r="Q15" s="9" t="s">
        <v>637</v>
      </c>
      <c r="R15" s="17"/>
      <c r="S15" s="17"/>
      <c r="T15" s="17" t="s">
        <v>638</v>
      </c>
      <c r="U15" s="21">
        <v>200</v>
      </c>
      <c r="V15" s="21" t="s">
        <v>161</v>
      </c>
      <c r="W15" s="21"/>
      <c r="X15" s="21" t="s">
        <v>48</v>
      </c>
      <c r="Y15" s="51" t="b">
        <v>0</v>
      </c>
      <c r="Z15" s="21" t="s">
        <v>162</v>
      </c>
      <c r="AA15" s="21" t="s">
        <v>161</v>
      </c>
      <c r="AB15" s="21" t="s">
        <v>161</v>
      </c>
      <c r="AC15" s="21" t="s">
        <v>246</v>
      </c>
      <c r="AD15" s="51" t="b">
        <v>1</v>
      </c>
    </row>
    <row r="16" s="1" customFormat="1" ht="69" customHeight="1" spans="1:30">
      <c r="A16" s="4" t="s">
        <v>672</v>
      </c>
      <c r="B16" s="7" t="s">
        <v>673</v>
      </c>
      <c r="C16" s="6" t="s">
        <v>29</v>
      </c>
      <c r="D16" s="17" t="s">
        <v>632</v>
      </c>
      <c r="E16" s="9" t="s">
        <v>692</v>
      </c>
      <c r="F16" s="53">
        <v>378</v>
      </c>
      <c r="G16" s="4" t="s">
        <v>146</v>
      </c>
      <c r="H16" s="4" t="s">
        <v>31</v>
      </c>
      <c r="I16" s="4" t="s">
        <v>32</v>
      </c>
      <c r="J16" s="4" t="s">
        <v>693</v>
      </c>
      <c r="K16" s="4" t="s">
        <v>695</v>
      </c>
      <c r="L16" s="7"/>
      <c r="M16" s="7" t="s">
        <v>649</v>
      </c>
      <c r="N16" s="4" t="s">
        <v>694</v>
      </c>
      <c r="O16" s="54"/>
      <c r="P16" s="54"/>
      <c r="Q16" s="9" t="s">
        <v>637</v>
      </c>
      <c r="R16" s="17"/>
      <c r="S16" s="17"/>
      <c r="T16" s="17" t="s">
        <v>638</v>
      </c>
      <c r="U16" s="21">
        <v>200</v>
      </c>
      <c r="V16" s="21" t="s">
        <v>161</v>
      </c>
      <c r="W16" s="21"/>
      <c r="X16" s="21" t="s">
        <v>48</v>
      </c>
      <c r="Y16" s="51" t="b">
        <v>0</v>
      </c>
      <c r="Z16" s="21" t="s">
        <v>162</v>
      </c>
      <c r="AA16" s="21" t="s">
        <v>161</v>
      </c>
      <c r="AB16" s="21" t="s">
        <v>161</v>
      </c>
      <c r="AC16" s="21" t="s">
        <v>246</v>
      </c>
      <c r="AD16" s="51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7"/>
  <sheetViews>
    <sheetView workbookViewId="0">
      <selection activeCell="F18" sqref="F18:F19"/>
    </sheetView>
  </sheetViews>
  <sheetFormatPr defaultColWidth="9.14285714285714" defaultRowHeight="30" customHeight="1" outlineLevelRow="6"/>
  <cols>
    <col min="1" max="1" width="20.8571428571429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19" width="17.8380952380952" style="1" customWidth="1"/>
    <col min="20" max="20" width="21.1428571428571" style="23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3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4" t="s">
        <v>3</v>
      </c>
      <c r="E1" s="29" t="s">
        <v>701</v>
      </c>
      <c r="F1" s="29" t="s">
        <v>702</v>
      </c>
      <c r="G1" s="29" t="s">
        <v>703</v>
      </c>
      <c r="H1" s="29" t="s">
        <v>704</v>
      </c>
      <c r="I1" s="29" t="s">
        <v>705</v>
      </c>
      <c r="J1" s="29" t="s">
        <v>706</v>
      </c>
      <c r="K1" s="29" t="s">
        <v>707</v>
      </c>
      <c r="L1" s="38" t="s">
        <v>708</v>
      </c>
      <c r="M1" s="39" t="s">
        <v>709</v>
      </c>
      <c r="N1" s="38" t="s">
        <v>710</v>
      </c>
      <c r="O1" s="38" t="s">
        <v>711</v>
      </c>
      <c r="P1" s="38" t="s">
        <v>712</v>
      </c>
      <c r="Q1" s="39" t="s">
        <v>713</v>
      </c>
      <c r="R1" s="29" t="s">
        <v>714</v>
      </c>
      <c r="S1" s="29" t="s">
        <v>715</v>
      </c>
      <c r="T1" s="29" t="s">
        <v>716</v>
      </c>
      <c r="U1" s="42" t="s">
        <v>717</v>
      </c>
      <c r="V1" s="42" t="s">
        <v>718</v>
      </c>
      <c r="W1" s="29" t="s">
        <v>719</v>
      </c>
      <c r="X1" s="29" t="s">
        <v>720</v>
      </c>
      <c r="Y1" s="29" t="s">
        <v>721</v>
      </c>
      <c r="Z1" s="42" t="s">
        <v>722</v>
      </c>
      <c r="AA1" s="42" t="s">
        <v>723</v>
      </c>
      <c r="AB1" s="42" t="s">
        <v>724</v>
      </c>
      <c r="AC1" s="29" t="s">
        <v>725</v>
      </c>
      <c r="AD1" s="29" t="s">
        <v>726</v>
      </c>
      <c r="AE1" s="29" t="s">
        <v>727</v>
      </c>
      <c r="AF1" s="29" t="s">
        <v>728</v>
      </c>
      <c r="AG1" s="29" t="s">
        <v>729</v>
      </c>
      <c r="AH1" s="29" t="s">
        <v>730</v>
      </c>
      <c r="AI1" s="29" t="s">
        <v>731</v>
      </c>
      <c r="AJ1" s="29" t="s">
        <v>732</v>
      </c>
      <c r="AK1" s="44" t="s">
        <v>733</v>
      </c>
      <c r="AL1" s="43" t="s">
        <v>734</v>
      </c>
      <c r="AM1" s="29" t="s">
        <v>735</v>
      </c>
      <c r="AN1" s="29" t="s">
        <v>736</v>
      </c>
      <c r="AO1" s="12" t="s">
        <v>15</v>
      </c>
      <c r="AP1" s="10" t="s">
        <v>16</v>
      </c>
    </row>
    <row r="2" s="1" customFormat="1" customHeight="1" spans="1:42">
      <c r="A2" s="4" t="s">
        <v>737</v>
      </c>
      <c r="B2" s="7" t="s">
        <v>631</v>
      </c>
      <c r="C2" s="6" t="s">
        <v>29</v>
      </c>
      <c r="D2" s="17" t="s">
        <v>738</v>
      </c>
      <c r="E2" s="4" t="s">
        <v>146</v>
      </c>
      <c r="F2" s="4" t="s">
        <v>31</v>
      </c>
      <c r="G2" s="4" t="s">
        <v>32</v>
      </c>
      <c r="H2" s="4" t="s">
        <v>739</v>
      </c>
      <c r="I2" s="4" t="s">
        <v>634</v>
      </c>
      <c r="J2" s="4" t="s">
        <v>740</v>
      </c>
      <c r="K2" s="4" t="s">
        <v>741</v>
      </c>
      <c r="L2" s="4"/>
      <c r="M2" s="41"/>
      <c r="N2" s="4"/>
      <c r="O2" s="4"/>
      <c r="P2" s="4"/>
      <c r="Q2" s="41"/>
      <c r="R2" s="4"/>
      <c r="S2" s="4" t="s">
        <v>152</v>
      </c>
      <c r="T2" s="4" t="s">
        <v>146</v>
      </c>
      <c r="U2" s="9" t="s">
        <v>633</v>
      </c>
      <c r="V2" s="4" t="s">
        <v>742</v>
      </c>
      <c r="W2" s="4" t="s">
        <v>743</v>
      </c>
      <c r="X2" s="4" t="s">
        <v>744</v>
      </c>
      <c r="Y2" s="4" t="s">
        <v>744</v>
      </c>
      <c r="Z2" s="4" t="s">
        <v>745</v>
      </c>
      <c r="AA2" s="4" t="s">
        <v>746</v>
      </c>
      <c r="AB2" s="4" t="s">
        <v>747</v>
      </c>
      <c r="AC2" s="4" t="s">
        <v>748</v>
      </c>
      <c r="AD2" s="4" t="s">
        <v>158</v>
      </c>
      <c r="AE2" s="4" t="s">
        <v>637</v>
      </c>
      <c r="AF2" s="4" t="s">
        <v>636</v>
      </c>
      <c r="AG2" s="4" t="s">
        <v>749</v>
      </c>
      <c r="AH2" s="4" t="s">
        <v>33</v>
      </c>
      <c r="AI2" s="4" t="s">
        <v>36</v>
      </c>
      <c r="AJ2" s="4" t="s">
        <v>36</v>
      </c>
      <c r="AK2" s="41" t="s">
        <v>150</v>
      </c>
      <c r="AL2" s="4" t="s">
        <v>653</v>
      </c>
      <c r="AM2" s="4" t="s">
        <v>652</v>
      </c>
      <c r="AN2" s="4" t="s">
        <v>750</v>
      </c>
      <c r="AO2" s="17" t="s">
        <v>751</v>
      </c>
      <c r="AP2" s="9">
        <v>200</v>
      </c>
    </row>
    <row r="3" customHeight="1" spans="1:42">
      <c r="A3" s="4" t="s">
        <v>752</v>
      </c>
      <c r="B3" s="7" t="s">
        <v>664</v>
      </c>
      <c r="C3" s="6" t="s">
        <v>29</v>
      </c>
      <c r="D3" s="17" t="s">
        <v>753</v>
      </c>
      <c r="E3" s="4" t="s">
        <v>146</v>
      </c>
      <c r="F3" s="4" t="s">
        <v>31</v>
      </c>
      <c r="G3" s="4" t="s">
        <v>32</v>
      </c>
      <c r="H3" s="4" t="s">
        <v>739</v>
      </c>
      <c r="I3" s="4" t="s">
        <v>634</v>
      </c>
      <c r="J3" s="4" t="s">
        <v>740</v>
      </c>
      <c r="K3" s="4" t="s">
        <v>741</v>
      </c>
      <c r="L3" s="4">
        <v>378</v>
      </c>
      <c r="M3" s="41" t="s">
        <v>150</v>
      </c>
      <c r="N3" s="41" t="s">
        <v>150</v>
      </c>
      <c r="O3" s="4">
        <v>1600000</v>
      </c>
      <c r="P3" s="4">
        <v>400000</v>
      </c>
      <c r="Q3" s="41" t="s">
        <v>244</v>
      </c>
      <c r="R3" s="4"/>
      <c r="S3" s="4" t="s">
        <v>152</v>
      </c>
      <c r="T3" s="4" t="s">
        <v>146</v>
      </c>
      <c r="U3" s="9" t="s">
        <v>633</v>
      </c>
      <c r="V3" s="4" t="s">
        <v>742</v>
      </c>
      <c r="W3" s="4" t="s">
        <v>743</v>
      </c>
      <c r="X3" s="4" t="s">
        <v>744</v>
      </c>
      <c r="Y3" s="4" t="s">
        <v>744</v>
      </c>
      <c r="Z3" s="4" t="s">
        <v>745</v>
      </c>
      <c r="AA3" s="4" t="s">
        <v>746</v>
      </c>
      <c r="AB3" s="4" t="s">
        <v>747</v>
      </c>
      <c r="AC3" s="4" t="s">
        <v>748</v>
      </c>
      <c r="AD3" s="4" t="s">
        <v>158</v>
      </c>
      <c r="AE3" s="4" t="s">
        <v>637</v>
      </c>
      <c r="AF3" s="4" t="s">
        <v>636</v>
      </c>
      <c r="AG3" s="4" t="s">
        <v>749</v>
      </c>
      <c r="AH3" s="4" t="s">
        <v>33</v>
      </c>
      <c r="AI3" s="4" t="s">
        <v>36</v>
      </c>
      <c r="AJ3" s="4" t="s">
        <v>36</v>
      </c>
      <c r="AK3" s="41" t="s">
        <v>150</v>
      </c>
      <c r="AL3" s="4" t="s">
        <v>653</v>
      </c>
      <c r="AM3" s="4" t="s">
        <v>652</v>
      </c>
      <c r="AN3" s="4" t="s">
        <v>754</v>
      </c>
      <c r="AO3" s="17" t="s">
        <v>751</v>
      </c>
      <c r="AP3" s="9">
        <v>200</v>
      </c>
    </row>
    <row r="4" s="1" customFormat="1" customHeight="1" spans="1:42">
      <c r="A4" s="4" t="s">
        <v>755</v>
      </c>
      <c r="B4" s="7" t="s">
        <v>756</v>
      </c>
      <c r="C4" s="6" t="s">
        <v>29</v>
      </c>
      <c r="D4" s="17" t="s">
        <v>738</v>
      </c>
      <c r="E4" s="4" t="s">
        <v>146</v>
      </c>
      <c r="F4" s="4" t="s">
        <v>31</v>
      </c>
      <c r="G4" s="4" t="s">
        <v>32</v>
      </c>
      <c r="H4" s="4" t="s">
        <v>739</v>
      </c>
      <c r="I4" s="4" t="s">
        <v>634</v>
      </c>
      <c r="J4" s="4" t="s">
        <v>740</v>
      </c>
      <c r="K4" s="4" t="s">
        <v>741</v>
      </c>
      <c r="L4" s="4"/>
      <c r="M4" s="41"/>
      <c r="N4" s="4"/>
      <c r="O4" s="4"/>
      <c r="P4" s="4"/>
      <c r="Q4" s="41"/>
      <c r="R4" s="4"/>
      <c r="S4" s="4" t="s">
        <v>152</v>
      </c>
      <c r="T4" s="4" t="s">
        <v>146</v>
      </c>
      <c r="U4" s="9" t="s">
        <v>633</v>
      </c>
      <c r="V4" s="4" t="s">
        <v>742</v>
      </c>
      <c r="W4" s="4" t="s">
        <v>641</v>
      </c>
      <c r="X4" s="127" t="s">
        <v>51</v>
      </c>
      <c r="Y4" s="127" t="s">
        <v>51</v>
      </c>
      <c r="Z4" s="4" t="s">
        <v>745</v>
      </c>
      <c r="AA4" s="4" t="s">
        <v>746</v>
      </c>
      <c r="AB4" s="4" t="s">
        <v>747</v>
      </c>
      <c r="AC4" s="4" t="s">
        <v>748</v>
      </c>
      <c r="AD4" s="4" t="s">
        <v>158</v>
      </c>
      <c r="AE4" s="4" t="s">
        <v>637</v>
      </c>
      <c r="AF4" s="4" t="s">
        <v>636</v>
      </c>
      <c r="AG4" s="4" t="s">
        <v>749</v>
      </c>
      <c r="AH4" s="4" t="s">
        <v>33</v>
      </c>
      <c r="AI4" s="4" t="s">
        <v>36</v>
      </c>
      <c r="AJ4" s="4" t="s">
        <v>36</v>
      </c>
      <c r="AK4" s="41" t="s">
        <v>150</v>
      </c>
      <c r="AL4" s="4" t="s">
        <v>653</v>
      </c>
      <c r="AM4" s="4" t="s">
        <v>652</v>
      </c>
      <c r="AN4" s="4" t="s">
        <v>750</v>
      </c>
      <c r="AO4" s="17" t="s">
        <v>751</v>
      </c>
      <c r="AP4" s="9">
        <v>200</v>
      </c>
    </row>
    <row r="5" customHeight="1" spans="1:42">
      <c r="A5" s="4" t="s">
        <v>757</v>
      </c>
      <c r="B5" s="7" t="s">
        <v>758</v>
      </c>
      <c r="C5" s="6" t="s">
        <v>29</v>
      </c>
      <c r="D5" s="17" t="s">
        <v>753</v>
      </c>
      <c r="E5" s="4" t="s">
        <v>146</v>
      </c>
      <c r="F5" s="4" t="s">
        <v>31</v>
      </c>
      <c r="G5" s="4" t="s">
        <v>32</v>
      </c>
      <c r="H5" s="4" t="s">
        <v>739</v>
      </c>
      <c r="I5" s="4" t="s">
        <v>634</v>
      </c>
      <c r="J5" s="4" t="s">
        <v>740</v>
      </c>
      <c r="K5" s="4" t="s">
        <v>741</v>
      </c>
      <c r="L5" s="4">
        <v>378</v>
      </c>
      <c r="M5" s="41" t="s">
        <v>150</v>
      </c>
      <c r="N5" s="41" t="s">
        <v>150</v>
      </c>
      <c r="O5" s="4">
        <v>1600000</v>
      </c>
      <c r="P5" s="4">
        <v>400000</v>
      </c>
      <c r="Q5" s="41" t="s">
        <v>244</v>
      </c>
      <c r="R5" s="4"/>
      <c r="S5" s="4" t="s">
        <v>152</v>
      </c>
      <c r="T5" s="4" t="s">
        <v>146</v>
      </c>
      <c r="U5" s="9" t="s">
        <v>633</v>
      </c>
      <c r="V5" s="4" t="s">
        <v>742</v>
      </c>
      <c r="W5" s="4" t="s">
        <v>641</v>
      </c>
      <c r="X5" s="127" t="s">
        <v>51</v>
      </c>
      <c r="Y5" s="127" t="s">
        <v>51</v>
      </c>
      <c r="Z5" s="4" t="s">
        <v>745</v>
      </c>
      <c r="AA5" s="4" t="s">
        <v>746</v>
      </c>
      <c r="AB5" s="4" t="s">
        <v>747</v>
      </c>
      <c r="AC5" s="4" t="s">
        <v>748</v>
      </c>
      <c r="AD5" s="4" t="s">
        <v>158</v>
      </c>
      <c r="AE5" s="4" t="s">
        <v>637</v>
      </c>
      <c r="AF5" s="4" t="s">
        <v>636</v>
      </c>
      <c r="AG5" s="4" t="s">
        <v>749</v>
      </c>
      <c r="AH5" s="4" t="s">
        <v>33</v>
      </c>
      <c r="AI5" s="4" t="s">
        <v>36</v>
      </c>
      <c r="AJ5" s="4" t="s">
        <v>36</v>
      </c>
      <c r="AK5" s="41" t="s">
        <v>150</v>
      </c>
      <c r="AL5" s="4" t="s">
        <v>653</v>
      </c>
      <c r="AM5" s="4" t="s">
        <v>652</v>
      </c>
      <c r="AN5" s="4" t="s">
        <v>754</v>
      </c>
      <c r="AO5" s="17" t="s">
        <v>751</v>
      </c>
      <c r="AP5" s="9">
        <v>200</v>
      </c>
    </row>
    <row r="6" s="28" customFormat="1" ht="24" customHeight="1" spans="1:65">
      <c r="A6" s="30"/>
      <c r="B6" s="31" t="s">
        <v>759</v>
      </c>
      <c r="C6" s="32"/>
      <c r="D6" s="32"/>
      <c r="E6" s="33"/>
      <c r="F6" s="33"/>
      <c r="G6" s="33"/>
      <c r="H6" s="33"/>
      <c r="I6" s="33"/>
      <c r="J6" s="33"/>
      <c r="K6" s="33"/>
      <c r="L6" s="33"/>
      <c r="M6" s="40"/>
      <c r="N6" s="40"/>
      <c r="O6" s="33"/>
      <c r="P6" s="33"/>
      <c r="Q6" s="33"/>
      <c r="R6" s="33"/>
      <c r="S6" s="33"/>
      <c r="T6" s="40"/>
      <c r="U6" s="33"/>
      <c r="V6" s="40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43"/>
      <c r="AK6" s="43"/>
      <c r="AL6" s="43"/>
      <c r="AM6" s="4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49"/>
      <c r="BB6" s="50"/>
      <c r="BC6" s="21"/>
      <c r="BD6" s="21"/>
      <c r="BE6" s="21"/>
      <c r="BF6" s="21"/>
      <c r="BG6" s="21"/>
      <c r="BH6" s="51"/>
      <c r="BI6" s="21"/>
      <c r="BJ6" s="21"/>
      <c r="BK6" s="21"/>
      <c r="BL6" s="21"/>
      <c r="BM6" s="51"/>
    </row>
    <row r="7" s="1" customFormat="1" customHeight="1" spans="1:42">
      <c r="A7" s="4" t="s">
        <v>760</v>
      </c>
      <c r="B7" s="7" t="s">
        <v>761</v>
      </c>
      <c r="C7" s="6" t="s">
        <v>29</v>
      </c>
      <c r="D7" s="17" t="s">
        <v>738</v>
      </c>
      <c r="E7" s="4" t="s">
        <v>146</v>
      </c>
      <c r="F7" s="4" t="s">
        <v>31</v>
      </c>
      <c r="G7" s="4" t="s">
        <v>32</v>
      </c>
      <c r="H7" s="4" t="s">
        <v>739</v>
      </c>
      <c r="I7" s="4" t="s">
        <v>634</v>
      </c>
      <c r="J7" s="4" t="s">
        <v>740</v>
      </c>
      <c r="K7" s="4" t="s">
        <v>741</v>
      </c>
      <c r="L7" s="4"/>
      <c r="M7" s="41"/>
      <c r="N7" s="4"/>
      <c r="O7" s="4"/>
      <c r="P7" s="4"/>
      <c r="Q7" s="41"/>
      <c r="R7" s="4"/>
      <c r="S7" s="4" t="s">
        <v>152</v>
      </c>
      <c r="T7" s="4" t="s">
        <v>146</v>
      </c>
      <c r="U7" s="9" t="s">
        <v>633</v>
      </c>
      <c r="V7" s="4" t="s">
        <v>742</v>
      </c>
      <c r="W7" s="4" t="s">
        <v>641</v>
      </c>
      <c r="X7" s="4" t="s">
        <v>744</v>
      </c>
      <c r="Y7" s="4" t="s">
        <v>744</v>
      </c>
      <c r="Z7" s="4" t="s">
        <v>745</v>
      </c>
      <c r="AA7" s="4" t="s">
        <v>746</v>
      </c>
      <c r="AB7" s="4" t="s">
        <v>747</v>
      </c>
      <c r="AC7" s="4" t="s">
        <v>748</v>
      </c>
      <c r="AD7" s="4" t="s">
        <v>158</v>
      </c>
      <c r="AE7" s="4" t="s">
        <v>637</v>
      </c>
      <c r="AF7" s="4" t="s">
        <v>636</v>
      </c>
      <c r="AG7" s="4" t="s">
        <v>749</v>
      </c>
      <c r="AH7" s="4" t="s">
        <v>33</v>
      </c>
      <c r="AI7" s="4" t="s">
        <v>36</v>
      </c>
      <c r="AJ7" s="4" t="s">
        <v>36</v>
      </c>
      <c r="AK7" s="41" t="s">
        <v>244</v>
      </c>
      <c r="AL7" s="4" t="s">
        <v>653</v>
      </c>
      <c r="AM7" s="4" t="s">
        <v>652</v>
      </c>
      <c r="AN7" s="4" t="s">
        <v>750</v>
      </c>
      <c r="AO7" s="17" t="s">
        <v>751</v>
      </c>
      <c r="AP7" s="9">
        <v>200</v>
      </c>
    </row>
  </sheetData>
  <mergeCells count="1">
    <mergeCell ref="B6:D6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1"/>
  <sheetViews>
    <sheetView tabSelected="1" topLeftCell="Z1" workbookViewId="0">
      <selection activeCell="AF16" sqref="AF16"/>
    </sheetView>
  </sheetViews>
  <sheetFormatPr defaultColWidth="9.14285714285714" defaultRowHeight="30" customHeight="1"/>
  <cols>
    <col min="1" max="1" width="22.4285714285714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19" width="17.8380952380952" style="1" customWidth="1"/>
    <col min="20" max="20" width="21.1428571428571" style="23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8" width="17.8380952380952" style="23" customWidth="1"/>
    <col min="39" max="41" width="17.8380952380952" style="1" customWidth="1"/>
    <col min="42" max="42" width="31.4285714285714" style="1" customWidth="1"/>
    <col min="43" max="43" width="18.942857142857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4" t="s">
        <v>3</v>
      </c>
      <c r="E1" s="29" t="s">
        <v>701</v>
      </c>
      <c r="F1" s="29" t="s">
        <v>702</v>
      </c>
      <c r="G1" s="29" t="s">
        <v>703</v>
      </c>
      <c r="H1" s="29" t="s">
        <v>704</v>
      </c>
      <c r="I1" s="29" t="s">
        <v>705</v>
      </c>
      <c r="J1" s="29" t="s">
        <v>706</v>
      </c>
      <c r="K1" s="29" t="s">
        <v>707</v>
      </c>
      <c r="L1" s="38" t="s">
        <v>708</v>
      </c>
      <c r="M1" s="39" t="s">
        <v>709</v>
      </c>
      <c r="N1" s="38" t="s">
        <v>710</v>
      </c>
      <c r="O1" s="38" t="s">
        <v>711</v>
      </c>
      <c r="P1" s="38" t="s">
        <v>712</v>
      </c>
      <c r="Q1" s="39" t="s">
        <v>713</v>
      </c>
      <c r="R1" s="29" t="s">
        <v>714</v>
      </c>
      <c r="S1" s="29" t="s">
        <v>715</v>
      </c>
      <c r="T1" s="29" t="s">
        <v>716</v>
      </c>
      <c r="U1" s="42" t="s">
        <v>717</v>
      </c>
      <c r="V1" s="42" t="s">
        <v>718</v>
      </c>
      <c r="W1" s="29" t="s">
        <v>719</v>
      </c>
      <c r="X1" s="29" t="s">
        <v>720</v>
      </c>
      <c r="Y1" s="29" t="s">
        <v>721</v>
      </c>
      <c r="Z1" s="42" t="s">
        <v>722</v>
      </c>
      <c r="AA1" s="42" t="s">
        <v>723</v>
      </c>
      <c r="AB1" s="42" t="s">
        <v>724</v>
      </c>
      <c r="AC1" s="29" t="s">
        <v>725</v>
      </c>
      <c r="AD1" s="29" t="s">
        <v>726</v>
      </c>
      <c r="AE1" s="29" t="s">
        <v>727</v>
      </c>
      <c r="AF1" s="29" t="s">
        <v>728</v>
      </c>
      <c r="AG1" s="29" t="s">
        <v>729</v>
      </c>
      <c r="AH1" s="29" t="s">
        <v>730</v>
      </c>
      <c r="AI1" s="29" t="s">
        <v>731</v>
      </c>
      <c r="AJ1" s="43" t="s">
        <v>762</v>
      </c>
      <c r="AK1" s="43" t="s">
        <v>763</v>
      </c>
      <c r="AL1" s="44" t="s">
        <v>733</v>
      </c>
      <c r="AM1" s="43" t="s">
        <v>734</v>
      </c>
      <c r="AN1" s="29" t="s">
        <v>735</v>
      </c>
      <c r="AO1" s="29" t="s">
        <v>736</v>
      </c>
      <c r="AP1" s="12" t="s">
        <v>15</v>
      </c>
      <c r="AQ1" s="10" t="s">
        <v>16</v>
      </c>
    </row>
    <row r="2" s="28" customFormat="1" ht="24" customHeight="1" spans="1:43">
      <c r="A2" s="30"/>
      <c r="B2" s="31" t="s">
        <v>65</v>
      </c>
      <c r="C2" s="32"/>
      <c r="D2" s="32"/>
      <c r="E2" s="33"/>
      <c r="F2" s="33"/>
      <c r="G2" s="33"/>
      <c r="H2" s="33"/>
      <c r="I2" s="33"/>
      <c r="J2" s="33"/>
      <c r="K2" s="33"/>
      <c r="L2" s="33"/>
      <c r="M2" s="40"/>
      <c r="N2" s="40"/>
      <c r="O2" s="33"/>
      <c r="P2" s="33"/>
      <c r="Q2" s="33"/>
      <c r="R2" s="33"/>
      <c r="S2" s="33"/>
      <c r="T2" s="40"/>
      <c r="U2" s="33"/>
      <c r="V2" s="40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43"/>
      <c r="AK2" s="43"/>
      <c r="AL2" s="43"/>
      <c r="AM2" s="43"/>
      <c r="AN2" s="33"/>
      <c r="AO2" s="33"/>
      <c r="AP2" s="33"/>
      <c r="AQ2" s="33"/>
    </row>
    <row r="3" s="1" customFormat="1" customHeight="1" spans="1:43">
      <c r="A3" s="4" t="s">
        <v>764</v>
      </c>
      <c r="B3" s="7" t="s">
        <v>765</v>
      </c>
      <c r="C3" s="6" t="s">
        <v>29</v>
      </c>
      <c r="D3" s="17" t="s">
        <v>766</v>
      </c>
      <c r="E3" s="4" t="s">
        <v>146</v>
      </c>
      <c r="F3" s="4" t="s">
        <v>31</v>
      </c>
      <c r="G3" s="4" t="s">
        <v>32</v>
      </c>
      <c r="H3" s="4" t="s">
        <v>739</v>
      </c>
      <c r="I3" s="4" t="s">
        <v>634</v>
      </c>
      <c r="J3" s="4" t="s">
        <v>740</v>
      </c>
      <c r="K3" s="4" t="s">
        <v>741</v>
      </c>
      <c r="L3" s="4"/>
      <c r="M3" s="41"/>
      <c r="N3" s="4"/>
      <c r="O3" s="4"/>
      <c r="P3" s="4"/>
      <c r="Q3" s="41"/>
      <c r="R3" s="4"/>
      <c r="S3" s="4" t="s">
        <v>152</v>
      </c>
      <c r="T3" s="4" t="s">
        <v>146</v>
      </c>
      <c r="U3" s="9" t="s">
        <v>633</v>
      </c>
      <c r="V3" s="4" t="s">
        <v>742</v>
      </c>
      <c r="W3" s="4" t="s">
        <v>641</v>
      </c>
      <c r="X3" s="4" t="s">
        <v>744</v>
      </c>
      <c r="Y3" s="4" t="s">
        <v>744</v>
      </c>
      <c r="Z3" s="4" t="s">
        <v>745</v>
      </c>
      <c r="AA3" s="4" t="s">
        <v>746</v>
      </c>
      <c r="AB3" s="4" t="s">
        <v>747</v>
      </c>
      <c r="AC3" s="4" t="s">
        <v>748</v>
      </c>
      <c r="AD3" s="4" t="s">
        <v>158</v>
      </c>
      <c r="AE3" s="4" t="s">
        <v>637</v>
      </c>
      <c r="AF3" s="4" t="s">
        <v>636</v>
      </c>
      <c r="AG3" s="4" t="s">
        <v>749</v>
      </c>
      <c r="AH3" s="4" t="s">
        <v>33</v>
      </c>
      <c r="AI3" s="4" t="s">
        <v>36</v>
      </c>
      <c r="AJ3" s="45">
        <v>35537</v>
      </c>
      <c r="AK3" s="46" t="s">
        <v>69</v>
      </c>
      <c r="AL3" s="41" t="s">
        <v>244</v>
      </c>
      <c r="AM3" s="4" t="s">
        <v>653</v>
      </c>
      <c r="AN3" s="4" t="s">
        <v>652</v>
      </c>
      <c r="AO3" s="4" t="s">
        <v>750</v>
      </c>
      <c r="AP3" s="17" t="s">
        <v>751</v>
      </c>
      <c r="AQ3" s="9">
        <v>200</v>
      </c>
    </row>
    <row r="4" s="28" customFormat="1" ht="24" customHeight="1" spans="1:43">
      <c r="A4" s="30"/>
      <c r="B4" s="34" t="s">
        <v>70</v>
      </c>
      <c r="C4" s="35"/>
      <c r="D4" s="35"/>
      <c r="E4" s="35"/>
      <c r="F4" s="36"/>
      <c r="G4" s="33"/>
      <c r="H4" s="33"/>
      <c r="I4" s="33"/>
      <c r="J4" s="33"/>
      <c r="K4" s="33"/>
      <c r="L4" s="33"/>
      <c r="M4" s="40"/>
      <c r="N4" s="40"/>
      <c r="O4" s="33"/>
      <c r="P4" s="33"/>
      <c r="Q4" s="33"/>
      <c r="R4" s="33"/>
      <c r="S4" s="33"/>
      <c r="T4" s="40"/>
      <c r="U4" s="33"/>
      <c r="V4" s="40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43"/>
      <c r="AK4" s="43"/>
      <c r="AL4" s="43"/>
      <c r="AM4" s="43"/>
      <c r="AN4" s="33"/>
      <c r="AO4" s="33"/>
      <c r="AP4" s="33"/>
      <c r="AQ4" s="33"/>
    </row>
    <row r="5" s="1" customFormat="1" customHeight="1" spans="1:43">
      <c r="A5" s="4" t="s">
        <v>767</v>
      </c>
      <c r="B5" s="7" t="s">
        <v>765</v>
      </c>
      <c r="C5" s="37" t="s">
        <v>29</v>
      </c>
      <c r="D5" s="7" t="s">
        <v>766</v>
      </c>
      <c r="E5" s="4" t="s">
        <v>146</v>
      </c>
      <c r="F5" s="4" t="s">
        <v>31</v>
      </c>
      <c r="G5" s="4" t="s">
        <v>32</v>
      </c>
      <c r="H5" s="4" t="s">
        <v>739</v>
      </c>
      <c r="I5" s="4" t="s">
        <v>634</v>
      </c>
      <c r="J5" s="4" t="s">
        <v>740</v>
      </c>
      <c r="K5" s="4" t="s">
        <v>741</v>
      </c>
      <c r="L5" s="4"/>
      <c r="M5" s="41"/>
      <c r="N5" s="4"/>
      <c r="O5" s="4"/>
      <c r="P5" s="4"/>
      <c r="Q5" s="41"/>
      <c r="R5" s="4"/>
      <c r="S5" s="4" t="s">
        <v>152</v>
      </c>
      <c r="T5" s="4" t="s">
        <v>146</v>
      </c>
      <c r="U5" s="9" t="s">
        <v>633</v>
      </c>
      <c r="V5" s="4" t="s">
        <v>742</v>
      </c>
      <c r="W5" s="4" t="s">
        <v>641</v>
      </c>
      <c r="X5" s="4" t="s">
        <v>744</v>
      </c>
      <c r="Y5" s="4" t="s">
        <v>744</v>
      </c>
      <c r="Z5" s="4" t="s">
        <v>745</v>
      </c>
      <c r="AA5" s="4" t="s">
        <v>746</v>
      </c>
      <c r="AB5" s="4" t="s">
        <v>747</v>
      </c>
      <c r="AC5" s="4" t="s">
        <v>748</v>
      </c>
      <c r="AD5" s="4" t="s">
        <v>158</v>
      </c>
      <c r="AE5" s="4" t="s">
        <v>637</v>
      </c>
      <c r="AF5" s="4" t="s">
        <v>636</v>
      </c>
      <c r="AG5" s="4" t="s">
        <v>749</v>
      </c>
      <c r="AH5" s="4" t="s">
        <v>33</v>
      </c>
      <c r="AI5" s="4" t="s">
        <v>36</v>
      </c>
      <c r="AJ5" s="47">
        <v>61351</v>
      </c>
      <c r="AK5" s="48" t="s">
        <v>73</v>
      </c>
      <c r="AL5" s="41" t="s">
        <v>244</v>
      </c>
      <c r="AM5" s="4" t="s">
        <v>653</v>
      </c>
      <c r="AN5" s="4" t="s">
        <v>652</v>
      </c>
      <c r="AO5" s="4" t="s">
        <v>750</v>
      </c>
      <c r="AP5" s="17" t="s">
        <v>751</v>
      </c>
      <c r="AQ5" s="9">
        <v>200</v>
      </c>
    </row>
    <row r="6" s="28" customFormat="1" ht="24" customHeight="1" spans="1:43">
      <c r="A6" s="30"/>
      <c r="B6" s="34" t="s">
        <v>281</v>
      </c>
      <c r="C6" s="35"/>
      <c r="D6" s="35"/>
      <c r="E6" s="35"/>
      <c r="F6" s="36"/>
      <c r="G6" s="33"/>
      <c r="H6" s="33"/>
      <c r="I6" s="33"/>
      <c r="J6" s="33"/>
      <c r="K6" s="33"/>
      <c r="L6" s="33"/>
      <c r="M6" s="40"/>
      <c r="N6" s="40"/>
      <c r="O6" s="33"/>
      <c r="P6" s="33"/>
      <c r="Q6" s="33"/>
      <c r="R6" s="33"/>
      <c r="S6" s="33"/>
      <c r="T6" s="40"/>
      <c r="U6" s="33"/>
      <c r="V6" s="40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43"/>
      <c r="AK6" s="43"/>
      <c r="AL6" s="43"/>
      <c r="AM6" s="43"/>
      <c r="AN6" s="33"/>
      <c r="AO6" s="33"/>
      <c r="AP6" s="33"/>
      <c r="AQ6" s="33"/>
    </row>
    <row r="7" s="1" customFormat="1" customHeight="1" spans="1:43">
      <c r="A7" s="4" t="s">
        <v>768</v>
      </c>
      <c r="B7" s="7" t="s">
        <v>769</v>
      </c>
      <c r="C7" s="37" t="s">
        <v>29</v>
      </c>
      <c r="D7" s="7" t="s">
        <v>766</v>
      </c>
      <c r="E7" s="4" t="s">
        <v>146</v>
      </c>
      <c r="F7" s="4" t="s">
        <v>31</v>
      </c>
      <c r="G7" s="4" t="s">
        <v>32</v>
      </c>
      <c r="H7" s="4" t="s">
        <v>739</v>
      </c>
      <c r="I7" s="4" t="s">
        <v>634</v>
      </c>
      <c r="J7" s="4" t="s">
        <v>740</v>
      </c>
      <c r="K7" s="4" t="s">
        <v>741</v>
      </c>
      <c r="L7" s="4"/>
      <c r="M7" s="41"/>
      <c r="N7" s="4"/>
      <c r="O7" s="4"/>
      <c r="P7" s="4"/>
      <c r="Q7" s="41"/>
      <c r="R7" s="4"/>
      <c r="S7" s="4" t="s">
        <v>152</v>
      </c>
      <c r="T7" s="4" t="s">
        <v>146</v>
      </c>
      <c r="U7" s="9" t="s">
        <v>633</v>
      </c>
      <c r="V7" s="4" t="s">
        <v>742</v>
      </c>
      <c r="W7" s="4" t="s">
        <v>641</v>
      </c>
      <c r="X7" s="4" t="s">
        <v>744</v>
      </c>
      <c r="Y7" s="4" t="s">
        <v>744</v>
      </c>
      <c r="Z7" s="4" t="s">
        <v>745</v>
      </c>
      <c r="AA7" s="4" t="s">
        <v>746</v>
      </c>
      <c r="AB7" s="4" t="s">
        <v>747</v>
      </c>
      <c r="AC7" s="4" t="s">
        <v>748</v>
      </c>
      <c r="AD7" s="4" t="s">
        <v>158</v>
      </c>
      <c r="AE7" s="4" t="s">
        <v>637</v>
      </c>
      <c r="AF7" s="4" t="s">
        <v>636</v>
      </c>
      <c r="AG7" s="4" t="s">
        <v>749</v>
      </c>
      <c r="AH7" s="4" t="s">
        <v>33</v>
      </c>
      <c r="AI7" s="4" t="s">
        <v>36</v>
      </c>
      <c r="AJ7" s="47">
        <v>35541</v>
      </c>
      <c r="AK7" s="48" t="s">
        <v>77</v>
      </c>
      <c r="AL7" s="41" t="s">
        <v>244</v>
      </c>
      <c r="AM7" s="4" t="s">
        <v>653</v>
      </c>
      <c r="AN7" s="4" t="s">
        <v>652</v>
      </c>
      <c r="AO7" s="4" t="s">
        <v>750</v>
      </c>
      <c r="AP7" s="17" t="s">
        <v>751</v>
      </c>
      <c r="AQ7" s="9">
        <v>200</v>
      </c>
    </row>
    <row r="8" s="28" customFormat="1" ht="24" customHeight="1" spans="1:43">
      <c r="A8" s="30"/>
      <c r="B8" s="34" t="s">
        <v>288</v>
      </c>
      <c r="C8" s="35"/>
      <c r="D8" s="35"/>
      <c r="E8" s="35"/>
      <c r="F8" s="36"/>
      <c r="G8" s="33"/>
      <c r="H8" s="33"/>
      <c r="I8" s="33"/>
      <c r="J8" s="33"/>
      <c r="K8" s="33"/>
      <c r="L8" s="33"/>
      <c r="M8" s="40"/>
      <c r="N8" s="40"/>
      <c r="O8" s="33"/>
      <c r="P8" s="33"/>
      <c r="Q8" s="33"/>
      <c r="R8" s="33"/>
      <c r="S8" s="33"/>
      <c r="T8" s="40"/>
      <c r="U8" s="33"/>
      <c r="V8" s="40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43"/>
      <c r="AK8" s="43"/>
      <c r="AL8" s="43"/>
      <c r="AM8" s="43"/>
      <c r="AN8" s="33"/>
      <c r="AO8" s="33"/>
      <c r="AP8" s="33"/>
      <c r="AQ8" s="33"/>
    </row>
    <row r="9" s="1" customFormat="1" customHeight="1" spans="1:43">
      <c r="A9" s="4" t="s">
        <v>770</v>
      </c>
      <c r="B9" s="7" t="s">
        <v>771</v>
      </c>
      <c r="C9" s="37" t="s">
        <v>29</v>
      </c>
      <c r="D9" s="7" t="s">
        <v>766</v>
      </c>
      <c r="E9" s="4" t="s">
        <v>146</v>
      </c>
      <c r="F9" s="4" t="s">
        <v>31</v>
      </c>
      <c r="G9" s="4" t="s">
        <v>32</v>
      </c>
      <c r="H9" s="4" t="s">
        <v>739</v>
      </c>
      <c r="I9" s="4" t="s">
        <v>634</v>
      </c>
      <c r="J9" s="4" t="s">
        <v>740</v>
      </c>
      <c r="K9" s="4" t="s">
        <v>741</v>
      </c>
      <c r="L9" s="4"/>
      <c r="M9" s="41"/>
      <c r="N9" s="4"/>
      <c r="O9" s="4"/>
      <c r="P9" s="4"/>
      <c r="Q9" s="41"/>
      <c r="R9" s="4"/>
      <c r="S9" s="4" t="s">
        <v>152</v>
      </c>
      <c r="T9" s="4" t="s">
        <v>146</v>
      </c>
      <c r="U9" s="9" t="s">
        <v>633</v>
      </c>
      <c r="V9" s="4" t="s">
        <v>742</v>
      </c>
      <c r="W9" s="4" t="s">
        <v>641</v>
      </c>
      <c r="X9" s="4" t="s">
        <v>744</v>
      </c>
      <c r="Y9" s="4" t="s">
        <v>744</v>
      </c>
      <c r="Z9" s="4" t="s">
        <v>745</v>
      </c>
      <c r="AA9" s="4" t="s">
        <v>746</v>
      </c>
      <c r="AB9" s="4" t="s">
        <v>747</v>
      </c>
      <c r="AC9" s="4" t="s">
        <v>748</v>
      </c>
      <c r="AD9" s="4" t="s">
        <v>158</v>
      </c>
      <c r="AE9" s="4" t="s">
        <v>637</v>
      </c>
      <c r="AF9" s="4" t="s">
        <v>636</v>
      </c>
      <c r="AG9" s="4" t="s">
        <v>749</v>
      </c>
      <c r="AH9" s="4" t="s">
        <v>33</v>
      </c>
      <c r="AI9" s="4" t="s">
        <v>36</v>
      </c>
      <c r="AJ9" s="47">
        <v>35540</v>
      </c>
      <c r="AK9" s="48" t="s">
        <v>81</v>
      </c>
      <c r="AL9" s="41" t="s">
        <v>244</v>
      </c>
      <c r="AM9" s="4" t="s">
        <v>653</v>
      </c>
      <c r="AN9" s="4" t="s">
        <v>652</v>
      </c>
      <c r="AO9" s="4" t="s">
        <v>750</v>
      </c>
      <c r="AP9" s="17" t="s">
        <v>751</v>
      </c>
      <c r="AQ9" s="9">
        <v>200</v>
      </c>
    </row>
    <row r="10" s="28" customFormat="1" ht="24" customHeight="1" spans="1:43">
      <c r="A10" s="30"/>
      <c r="B10" s="34" t="s">
        <v>616</v>
      </c>
      <c r="C10" s="35"/>
      <c r="D10" s="35"/>
      <c r="E10" s="35"/>
      <c r="F10" s="36"/>
      <c r="G10" s="33"/>
      <c r="H10" s="33"/>
      <c r="I10" s="33"/>
      <c r="J10" s="33"/>
      <c r="K10" s="33"/>
      <c r="L10" s="33"/>
      <c r="M10" s="40"/>
      <c r="N10" s="40"/>
      <c r="O10" s="33"/>
      <c r="P10" s="33"/>
      <c r="Q10" s="33"/>
      <c r="R10" s="33"/>
      <c r="S10" s="33"/>
      <c r="T10" s="40"/>
      <c r="U10" s="33"/>
      <c r="V10" s="40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43"/>
      <c r="AK10" s="43"/>
      <c r="AL10" s="43"/>
      <c r="AM10" s="43"/>
      <c r="AN10" s="33"/>
      <c r="AO10" s="33"/>
      <c r="AP10" s="33"/>
      <c r="AQ10" s="33"/>
    </row>
    <row r="11" s="1" customFormat="1" ht="50" customHeight="1" spans="1:43">
      <c r="A11" s="4" t="s">
        <v>772</v>
      </c>
      <c r="B11" s="7" t="s">
        <v>773</v>
      </c>
      <c r="C11" s="37" t="s">
        <v>29</v>
      </c>
      <c r="D11" s="7" t="s">
        <v>766</v>
      </c>
      <c r="E11" s="4" t="s">
        <v>146</v>
      </c>
      <c r="F11" s="4" t="s">
        <v>31</v>
      </c>
      <c r="G11" s="4" t="s">
        <v>32</v>
      </c>
      <c r="H11" s="4" t="s">
        <v>739</v>
      </c>
      <c r="I11" s="4" t="s">
        <v>634</v>
      </c>
      <c r="J11" s="4" t="s">
        <v>740</v>
      </c>
      <c r="K11" s="4" t="s">
        <v>741</v>
      </c>
      <c r="L11" s="4"/>
      <c r="M11" s="41"/>
      <c r="N11" s="4"/>
      <c r="O11" s="4"/>
      <c r="P11" s="4"/>
      <c r="Q11" s="41"/>
      <c r="R11" s="4"/>
      <c r="S11" s="4" t="s">
        <v>152</v>
      </c>
      <c r="T11" s="4" t="s">
        <v>146</v>
      </c>
      <c r="U11" s="9" t="s">
        <v>633</v>
      </c>
      <c r="V11" s="4" t="s">
        <v>742</v>
      </c>
      <c r="W11" s="4" t="s">
        <v>641</v>
      </c>
      <c r="X11" s="4" t="s">
        <v>744</v>
      </c>
      <c r="Y11" s="4" t="s">
        <v>744</v>
      </c>
      <c r="Z11" s="4" t="s">
        <v>745</v>
      </c>
      <c r="AA11" s="4" t="s">
        <v>746</v>
      </c>
      <c r="AB11" s="4" t="s">
        <v>747</v>
      </c>
      <c r="AC11" s="4" t="s">
        <v>748</v>
      </c>
      <c r="AD11" s="4" t="s">
        <v>158</v>
      </c>
      <c r="AE11" s="4" t="s">
        <v>637</v>
      </c>
      <c r="AF11" s="4" t="s">
        <v>636</v>
      </c>
      <c r="AG11" s="4" t="s">
        <v>749</v>
      </c>
      <c r="AH11" s="4" t="s">
        <v>33</v>
      </c>
      <c r="AI11" s="4" t="s">
        <v>36</v>
      </c>
      <c r="AJ11" s="47">
        <v>61353</v>
      </c>
      <c r="AK11" s="48" t="s">
        <v>85</v>
      </c>
      <c r="AL11" s="41" t="s">
        <v>244</v>
      </c>
      <c r="AM11" s="4" t="s">
        <v>653</v>
      </c>
      <c r="AN11" s="4" t="s">
        <v>652</v>
      </c>
      <c r="AO11" s="4" t="s">
        <v>750</v>
      </c>
      <c r="AP11" s="17" t="s">
        <v>751</v>
      </c>
      <c r="AQ11" s="9">
        <v>200</v>
      </c>
    </row>
  </sheetData>
  <mergeCells count="5">
    <mergeCell ref="B2:D2"/>
    <mergeCell ref="B4:F4"/>
    <mergeCell ref="B6:F6"/>
    <mergeCell ref="B8:F8"/>
    <mergeCell ref="B10:F10"/>
  </mergeCell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3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4" t="s">
        <v>3</v>
      </c>
      <c r="E1" s="25" t="s">
        <v>701</v>
      </c>
      <c r="F1" s="25" t="s">
        <v>702</v>
      </c>
      <c r="G1" s="25" t="s">
        <v>703</v>
      </c>
      <c r="H1" s="25" t="s">
        <v>704</v>
      </c>
      <c r="I1" s="25" t="s">
        <v>705</v>
      </c>
      <c r="J1" s="25" t="s">
        <v>706</v>
      </c>
      <c r="K1" s="25" t="s">
        <v>707</v>
      </c>
      <c r="L1" s="25" t="s">
        <v>708</v>
      </c>
      <c r="M1" s="25" t="s">
        <v>714</v>
      </c>
      <c r="N1" s="25" t="s">
        <v>710</v>
      </c>
      <c r="O1" s="25" t="s">
        <v>715</v>
      </c>
      <c r="P1" s="25" t="s">
        <v>716</v>
      </c>
      <c r="Q1" s="25" t="s">
        <v>717</v>
      </c>
      <c r="R1" s="25" t="s">
        <v>718</v>
      </c>
      <c r="S1" s="25" t="s">
        <v>719</v>
      </c>
      <c r="T1" s="25" t="s">
        <v>720</v>
      </c>
      <c r="U1" s="25" t="s">
        <v>721</v>
      </c>
      <c r="V1" s="25" t="s">
        <v>722</v>
      </c>
      <c r="W1" s="25" t="s">
        <v>723</v>
      </c>
      <c r="X1" s="25" t="s">
        <v>724</v>
      </c>
      <c r="Y1" s="25" t="s">
        <v>725</v>
      </c>
      <c r="Z1" s="25" t="s">
        <v>726</v>
      </c>
      <c r="AA1" s="25" t="s">
        <v>727</v>
      </c>
      <c r="AB1" s="25" t="s">
        <v>728</v>
      </c>
      <c r="AC1" s="25" t="s">
        <v>729</v>
      </c>
      <c r="AD1" s="25" t="s">
        <v>730</v>
      </c>
      <c r="AE1" s="25" t="s">
        <v>731</v>
      </c>
      <c r="AF1" s="25" t="s">
        <v>732</v>
      </c>
      <c r="AG1" s="25" t="s">
        <v>733</v>
      </c>
      <c r="AH1" s="25" t="s">
        <v>711</v>
      </c>
      <c r="AI1" s="25" t="s">
        <v>712</v>
      </c>
      <c r="AJ1" s="25" t="s">
        <v>713</v>
      </c>
      <c r="AK1" s="25" t="s">
        <v>709</v>
      </c>
      <c r="AL1" s="25" t="s">
        <v>735</v>
      </c>
      <c r="AM1" s="25" t="s">
        <v>736</v>
      </c>
      <c r="AN1" s="25" t="s">
        <v>774</v>
      </c>
      <c r="AO1" s="25" t="s">
        <v>775</v>
      </c>
      <c r="AP1" s="25" t="s">
        <v>776</v>
      </c>
      <c r="AQ1" s="25" t="s">
        <v>777</v>
      </c>
      <c r="AR1" s="25" t="s">
        <v>778</v>
      </c>
      <c r="AS1" s="25" t="s">
        <v>779</v>
      </c>
      <c r="AT1" s="25" t="s">
        <v>780</v>
      </c>
      <c r="AU1" s="25" t="s">
        <v>781</v>
      </c>
      <c r="AV1" s="25" t="s">
        <v>782</v>
      </c>
      <c r="AW1" s="25" t="s">
        <v>783</v>
      </c>
      <c r="AX1" s="25" t="s">
        <v>784</v>
      </c>
      <c r="AY1" s="25" t="s">
        <v>785</v>
      </c>
      <c r="AZ1" s="25" t="s">
        <v>786</v>
      </c>
      <c r="BA1" s="25" t="s">
        <v>787</v>
      </c>
      <c r="BB1" s="25" t="s">
        <v>788</v>
      </c>
      <c r="BC1" s="25" t="s">
        <v>789</v>
      </c>
      <c r="BD1" s="25" t="s">
        <v>790</v>
      </c>
      <c r="BE1" s="25" t="s">
        <v>791</v>
      </c>
      <c r="BF1" s="25" t="s">
        <v>792</v>
      </c>
      <c r="BG1" s="25" t="s">
        <v>793</v>
      </c>
      <c r="BH1" s="25" t="s">
        <v>794</v>
      </c>
      <c r="BI1" s="25" t="s">
        <v>795</v>
      </c>
      <c r="BJ1" s="25" t="s">
        <v>796</v>
      </c>
      <c r="BK1" s="25" t="s">
        <v>797</v>
      </c>
      <c r="BL1" s="25" t="s">
        <v>798</v>
      </c>
      <c r="BM1" s="25" t="s">
        <v>799</v>
      </c>
      <c r="BN1" s="25" t="s">
        <v>800</v>
      </c>
      <c r="BO1" s="25" t="s">
        <v>801</v>
      </c>
      <c r="BP1" s="25" t="s">
        <v>802</v>
      </c>
      <c r="BQ1" s="25" t="s">
        <v>803</v>
      </c>
      <c r="BR1" s="25" t="s">
        <v>804</v>
      </c>
      <c r="BS1" s="25" t="s">
        <v>805</v>
      </c>
      <c r="BT1" s="25" t="s">
        <v>806</v>
      </c>
      <c r="BU1" s="25" t="s">
        <v>807</v>
      </c>
      <c r="BV1" s="25" t="s">
        <v>808</v>
      </c>
      <c r="BW1" s="25" t="s">
        <v>809</v>
      </c>
      <c r="BX1" s="25" t="s">
        <v>810</v>
      </c>
      <c r="BY1" s="25" t="s">
        <v>811</v>
      </c>
      <c r="BZ1" s="25" t="s">
        <v>812</v>
      </c>
      <c r="CA1" s="25" t="s">
        <v>813</v>
      </c>
      <c r="CB1" s="25" t="s">
        <v>814</v>
      </c>
      <c r="CC1" s="25" t="s">
        <v>815</v>
      </c>
      <c r="CD1" s="25" t="s">
        <v>816</v>
      </c>
      <c r="CE1" s="25" t="s">
        <v>817</v>
      </c>
      <c r="CF1" s="25" t="s">
        <v>818</v>
      </c>
      <c r="CG1" s="25" t="s">
        <v>819</v>
      </c>
      <c r="CH1" s="25" t="s">
        <v>820</v>
      </c>
      <c r="CI1" s="25" t="s">
        <v>821</v>
      </c>
      <c r="CJ1" s="25" t="s">
        <v>822</v>
      </c>
      <c r="CK1" s="25" t="s">
        <v>823</v>
      </c>
      <c r="CL1" s="25" t="s">
        <v>824</v>
      </c>
      <c r="CM1" s="25" t="s">
        <v>825</v>
      </c>
      <c r="CN1" s="25" t="s">
        <v>826</v>
      </c>
      <c r="CO1" s="25" t="s">
        <v>827</v>
      </c>
      <c r="CP1" s="25" t="s">
        <v>828</v>
      </c>
      <c r="CQ1" s="25" t="s">
        <v>829</v>
      </c>
      <c r="CR1" s="25" t="s">
        <v>830</v>
      </c>
      <c r="CS1" s="25" t="s">
        <v>831</v>
      </c>
      <c r="CT1" s="25" t="s">
        <v>832</v>
      </c>
      <c r="CU1" s="25" t="s">
        <v>833</v>
      </c>
      <c r="CV1" s="25" t="s">
        <v>834</v>
      </c>
      <c r="CW1" s="25" t="s">
        <v>835</v>
      </c>
      <c r="CX1" s="25" t="s">
        <v>836</v>
      </c>
      <c r="CY1" s="25" t="s">
        <v>837</v>
      </c>
      <c r="CZ1" s="25" t="s">
        <v>838</v>
      </c>
      <c r="DA1" s="25" t="s">
        <v>839</v>
      </c>
      <c r="DB1" s="25" t="s">
        <v>840</v>
      </c>
      <c r="DC1" s="25" t="s">
        <v>841</v>
      </c>
      <c r="DD1" s="25" t="s">
        <v>842</v>
      </c>
      <c r="DE1" s="25" t="s">
        <v>843</v>
      </c>
      <c r="DF1" s="25" t="s">
        <v>844</v>
      </c>
      <c r="DG1" s="25" t="s">
        <v>845</v>
      </c>
      <c r="DH1" s="25" t="s">
        <v>846</v>
      </c>
      <c r="DI1" s="25" t="s">
        <v>847</v>
      </c>
      <c r="DJ1" s="25" t="s">
        <v>848</v>
      </c>
      <c r="DK1" s="25" t="s">
        <v>849</v>
      </c>
      <c r="DL1" s="25" t="s">
        <v>850</v>
      </c>
      <c r="DM1" s="25" t="s">
        <v>851</v>
      </c>
      <c r="DN1" s="25" t="s">
        <v>852</v>
      </c>
      <c r="DO1" s="25" t="s">
        <v>853</v>
      </c>
      <c r="DP1" s="25" t="s">
        <v>854</v>
      </c>
      <c r="DQ1" s="25" t="s">
        <v>855</v>
      </c>
      <c r="DR1" s="25" t="s">
        <v>856</v>
      </c>
      <c r="DS1" s="25" t="s">
        <v>857</v>
      </c>
      <c r="DT1" s="25" t="s">
        <v>858</v>
      </c>
      <c r="DU1" s="25" t="s">
        <v>859</v>
      </c>
      <c r="DV1" s="25" t="s">
        <v>860</v>
      </c>
      <c r="DW1" s="25" t="s">
        <v>861</v>
      </c>
      <c r="DX1" s="25" t="s">
        <v>862</v>
      </c>
      <c r="DY1" s="25" t="s">
        <v>863</v>
      </c>
      <c r="DZ1" s="25" t="s">
        <v>864</v>
      </c>
      <c r="EA1" s="25" t="s">
        <v>865</v>
      </c>
      <c r="EB1" s="25" t="s">
        <v>866</v>
      </c>
      <c r="EC1" s="25" t="s">
        <v>867</v>
      </c>
      <c r="ED1" s="25" t="s">
        <v>868</v>
      </c>
      <c r="EE1" s="25" t="s">
        <v>869</v>
      </c>
      <c r="EF1" s="25" t="s">
        <v>870</v>
      </c>
      <c r="EG1" s="25" t="s">
        <v>871</v>
      </c>
      <c r="EH1" s="25" t="s">
        <v>872</v>
      </c>
      <c r="EI1" s="25" t="s">
        <v>873</v>
      </c>
      <c r="EJ1" s="25" t="s">
        <v>874</v>
      </c>
      <c r="EK1" s="25" t="s">
        <v>875</v>
      </c>
      <c r="EL1" s="25" t="s">
        <v>876</v>
      </c>
      <c r="EM1" s="25" t="s">
        <v>877</v>
      </c>
      <c r="EN1" s="25" t="s">
        <v>878</v>
      </c>
    </row>
    <row r="2" s="1" customFormat="1" ht="50" customHeight="1" spans="1:144">
      <c r="A2" s="4" t="s">
        <v>879</v>
      </c>
      <c r="B2" s="7" t="s">
        <v>144</v>
      </c>
      <c r="C2" s="6" t="s">
        <v>29</v>
      </c>
      <c r="D2" s="17"/>
      <c r="E2" s="26" t="s">
        <v>880</v>
      </c>
      <c r="F2" s="26" t="s">
        <v>514</v>
      </c>
      <c r="G2" s="26" t="s">
        <v>515</v>
      </c>
      <c r="H2" s="26">
        <v>18</v>
      </c>
      <c r="I2" s="26" t="s">
        <v>241</v>
      </c>
      <c r="J2" s="26" t="s">
        <v>881</v>
      </c>
      <c r="K2" s="26" t="s">
        <v>243</v>
      </c>
      <c r="L2" s="26">
        <v>378</v>
      </c>
      <c r="M2" s="26"/>
      <c r="N2" s="26" t="b">
        <v>0</v>
      </c>
      <c r="O2" s="26" t="s">
        <v>512</v>
      </c>
      <c r="P2" s="26" t="s">
        <v>880</v>
      </c>
      <c r="Q2" s="26" t="s">
        <v>882</v>
      </c>
      <c r="R2" s="26" t="s">
        <v>162</v>
      </c>
      <c r="S2" s="26" t="s">
        <v>883</v>
      </c>
      <c r="T2" s="26"/>
      <c r="U2" s="26"/>
      <c r="V2" s="26" t="s">
        <v>154</v>
      </c>
      <c r="W2" s="26" t="s">
        <v>155</v>
      </c>
      <c r="X2" s="26" t="s">
        <v>325</v>
      </c>
      <c r="Y2" s="26"/>
      <c r="Z2" s="26" t="s">
        <v>158</v>
      </c>
      <c r="AA2" s="26" t="s">
        <v>637</v>
      </c>
      <c r="AB2" s="26" t="s">
        <v>48</v>
      </c>
      <c r="AC2" s="26">
        <v>18</v>
      </c>
      <c r="AD2" s="26" t="s">
        <v>884</v>
      </c>
      <c r="AE2" s="26" t="s">
        <v>36</v>
      </c>
      <c r="AF2" s="26" t="s">
        <v>36</v>
      </c>
      <c r="AG2" s="26" t="b">
        <v>0</v>
      </c>
      <c r="AH2" s="26">
        <v>1600000</v>
      </c>
      <c r="AI2" s="26">
        <v>400000</v>
      </c>
      <c r="AJ2" s="26" t="b">
        <v>1</v>
      </c>
      <c r="AK2" s="26" t="b">
        <v>0</v>
      </c>
      <c r="AL2" s="26"/>
      <c r="AM2" s="26" t="s">
        <v>754</v>
      </c>
      <c r="AN2" s="26" t="s">
        <v>880</v>
      </c>
      <c r="AO2" s="26" t="s">
        <v>514</v>
      </c>
      <c r="AP2" s="26" t="s">
        <v>515</v>
      </c>
      <c r="AQ2" s="26">
        <v>18</v>
      </c>
      <c r="AR2" s="26" t="s">
        <v>241</v>
      </c>
      <c r="AS2" s="26" t="s">
        <v>881</v>
      </c>
      <c r="AT2" s="26" t="s">
        <v>243</v>
      </c>
      <c r="AU2" s="26">
        <v>378</v>
      </c>
      <c r="AV2" s="26"/>
      <c r="AW2" s="26" t="b">
        <v>0</v>
      </c>
      <c r="AX2" s="26" t="s">
        <v>512</v>
      </c>
      <c r="AY2" s="26" t="s">
        <v>880</v>
      </c>
      <c r="AZ2" s="26" t="s">
        <v>885</v>
      </c>
      <c r="BA2" s="26" t="s">
        <v>162</v>
      </c>
      <c r="BB2" s="26" t="s">
        <v>886</v>
      </c>
      <c r="BC2" s="26"/>
      <c r="BD2" s="26"/>
      <c r="BE2" s="26" t="s">
        <v>154</v>
      </c>
      <c r="BF2" s="26" t="s">
        <v>155</v>
      </c>
      <c r="BG2" s="26" t="s">
        <v>325</v>
      </c>
      <c r="BH2" s="26"/>
      <c r="BI2" s="26" t="s">
        <v>158</v>
      </c>
      <c r="BJ2" s="26" t="s">
        <v>637</v>
      </c>
      <c r="BK2" s="26" t="s">
        <v>48</v>
      </c>
      <c r="BL2" s="26">
        <v>18</v>
      </c>
      <c r="BM2" s="26" t="s">
        <v>884</v>
      </c>
      <c r="BN2" s="26" t="s">
        <v>36</v>
      </c>
      <c r="BO2" s="26" t="s">
        <v>36</v>
      </c>
      <c r="BP2" s="26" t="b">
        <v>0</v>
      </c>
      <c r="BQ2" s="26">
        <v>1600000</v>
      </c>
      <c r="BR2" s="26">
        <v>400000</v>
      </c>
      <c r="BS2" s="26" t="b">
        <v>1</v>
      </c>
      <c r="BT2" s="26" t="b">
        <v>0</v>
      </c>
      <c r="BU2" s="26"/>
      <c r="BV2" s="26" t="s">
        <v>754</v>
      </c>
      <c r="BW2" s="26" t="s">
        <v>880</v>
      </c>
      <c r="BX2" s="26" t="s">
        <v>514</v>
      </c>
      <c r="BY2" s="26" t="s">
        <v>887</v>
      </c>
      <c r="BZ2" s="26">
        <v>28</v>
      </c>
      <c r="CA2" s="26" t="s">
        <v>241</v>
      </c>
      <c r="CB2" s="26" t="s">
        <v>881</v>
      </c>
      <c r="CC2" s="26" t="s">
        <v>243</v>
      </c>
      <c r="CD2" s="26">
        <v>378</v>
      </c>
      <c r="CE2" s="26"/>
      <c r="CF2" s="26" t="b">
        <v>0</v>
      </c>
      <c r="CG2" s="26" t="s">
        <v>512</v>
      </c>
      <c r="CH2" s="26" t="s">
        <v>880</v>
      </c>
      <c r="CI2" s="26" t="s">
        <v>888</v>
      </c>
      <c r="CJ2" s="26" t="s">
        <v>162</v>
      </c>
      <c r="CK2" s="26" t="s">
        <v>886</v>
      </c>
      <c r="CL2" s="26"/>
      <c r="CM2" s="26"/>
      <c r="CN2" s="26">
        <v>2</v>
      </c>
      <c r="CO2" s="26" t="s">
        <v>155</v>
      </c>
      <c r="CP2" s="27">
        <v>1.18333333333333</v>
      </c>
      <c r="CQ2" s="26"/>
      <c r="CR2" s="26" t="s">
        <v>158</v>
      </c>
      <c r="CS2" s="26" t="s">
        <v>637</v>
      </c>
      <c r="CT2" s="26" t="s">
        <v>48</v>
      </c>
      <c r="CU2" s="26">
        <v>28</v>
      </c>
      <c r="CV2" s="26" t="s">
        <v>889</v>
      </c>
      <c r="CW2" s="26" t="s">
        <v>36</v>
      </c>
      <c r="CX2" s="26" t="s">
        <v>36</v>
      </c>
      <c r="CY2" s="26" t="b">
        <v>0</v>
      </c>
      <c r="CZ2" s="26">
        <v>2600000</v>
      </c>
      <c r="DA2" s="26">
        <v>400000</v>
      </c>
      <c r="DB2" s="26" t="b">
        <v>1</v>
      </c>
      <c r="DC2" s="26" t="b">
        <v>0</v>
      </c>
      <c r="DD2" s="26"/>
      <c r="DE2" s="26" t="s">
        <v>754</v>
      </c>
      <c r="DF2" s="26" t="s">
        <v>880</v>
      </c>
      <c r="DG2" s="26" t="s">
        <v>514</v>
      </c>
      <c r="DH2" s="26" t="s">
        <v>890</v>
      </c>
      <c r="DI2" s="26">
        <v>38</v>
      </c>
      <c r="DJ2" s="26" t="s">
        <v>241</v>
      </c>
      <c r="DK2" s="26" t="s">
        <v>881</v>
      </c>
      <c r="DL2" s="26" t="s">
        <v>243</v>
      </c>
      <c r="DM2" s="26">
        <v>378</v>
      </c>
      <c r="DN2" s="26"/>
      <c r="DO2" s="26" t="b">
        <v>0</v>
      </c>
      <c r="DP2" s="26" t="s">
        <v>512</v>
      </c>
      <c r="DQ2" s="26" t="s">
        <v>880</v>
      </c>
      <c r="DR2" s="26" t="s">
        <v>891</v>
      </c>
      <c r="DS2" s="26" t="s">
        <v>162</v>
      </c>
      <c r="DT2" s="26" t="s">
        <v>892</v>
      </c>
      <c r="DU2" s="26"/>
      <c r="DV2" s="26"/>
      <c r="DW2" s="26">
        <v>3</v>
      </c>
      <c r="DX2" s="26" t="s">
        <v>155</v>
      </c>
      <c r="DY2" s="27" t="s">
        <v>893</v>
      </c>
      <c r="DZ2" s="26"/>
      <c r="EA2" s="26" t="s">
        <v>158</v>
      </c>
      <c r="EB2" s="26" t="s">
        <v>637</v>
      </c>
      <c r="EC2" s="26" t="s">
        <v>48</v>
      </c>
      <c r="ED2" s="26">
        <v>38</v>
      </c>
      <c r="EE2" s="26" t="s">
        <v>894</v>
      </c>
      <c r="EF2" s="26" t="s">
        <v>36</v>
      </c>
      <c r="EG2" s="26" t="s">
        <v>36</v>
      </c>
      <c r="EH2" s="26" t="b">
        <v>0</v>
      </c>
      <c r="EI2" s="26">
        <v>3600000</v>
      </c>
      <c r="EJ2" s="26">
        <v>400000</v>
      </c>
      <c r="EK2" s="26" t="b">
        <v>1</v>
      </c>
      <c r="EL2" s="26" t="b">
        <v>0</v>
      </c>
      <c r="EM2" s="26"/>
      <c r="EN2" s="26" t="s">
        <v>754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546</v>
      </c>
      <c r="F1" s="3" t="s">
        <v>4</v>
      </c>
      <c r="G1" s="3" t="s">
        <v>5</v>
      </c>
      <c r="H1" s="3" t="s">
        <v>551</v>
      </c>
      <c r="I1" s="3" t="s">
        <v>547</v>
      </c>
      <c r="J1" s="3" t="s">
        <v>895</v>
      </c>
      <c r="K1" s="3" t="s">
        <v>896</v>
      </c>
      <c r="L1" s="3" t="s">
        <v>624</v>
      </c>
      <c r="M1" s="3" t="s">
        <v>897</v>
      </c>
      <c r="N1" s="3" t="s">
        <v>898</v>
      </c>
      <c r="O1" s="3" t="s">
        <v>899</v>
      </c>
      <c r="P1" s="3" t="s">
        <v>900</v>
      </c>
      <c r="Q1" s="3" t="s">
        <v>901</v>
      </c>
      <c r="R1" s="3" t="s">
        <v>550</v>
      </c>
      <c r="S1" s="3" t="s">
        <v>902</v>
      </c>
      <c r="T1" s="3" t="s">
        <v>903</v>
      </c>
      <c r="U1" s="3" t="s">
        <v>904</v>
      </c>
      <c r="V1" s="3" t="s">
        <v>548</v>
      </c>
      <c r="W1" s="3" t="s">
        <v>549</v>
      </c>
      <c r="X1" s="3" t="s">
        <v>905</v>
      </c>
      <c r="Y1" s="3" t="s">
        <v>544</v>
      </c>
      <c r="Z1" s="3" t="s">
        <v>545</v>
      </c>
      <c r="AA1" s="3" t="s">
        <v>543</v>
      </c>
      <c r="AB1" s="3" t="s">
        <v>542</v>
      </c>
      <c r="AC1" s="3" t="s">
        <v>541</v>
      </c>
      <c r="AD1" s="3" t="s">
        <v>540</v>
      </c>
      <c r="AE1" s="3" t="s">
        <v>906</v>
      </c>
      <c r="AF1" s="3" t="s">
        <v>907</v>
      </c>
      <c r="AG1" s="3" t="s">
        <v>626</v>
      </c>
      <c r="AH1" s="3" t="s">
        <v>625</v>
      </c>
      <c r="AI1" s="3" t="s">
        <v>908</v>
      </c>
      <c r="AJ1" s="3" t="s">
        <v>554</v>
      </c>
      <c r="AK1" s="3" t="s">
        <v>909</v>
      </c>
      <c r="AL1" s="3" t="s">
        <v>910</v>
      </c>
      <c r="AM1" s="3" t="s">
        <v>628</v>
      </c>
      <c r="AN1" s="3" t="s">
        <v>627</v>
      </c>
      <c r="AO1" s="12" t="s">
        <v>15</v>
      </c>
      <c r="AP1" s="10" t="s">
        <v>16</v>
      </c>
      <c r="AQ1" s="10" t="s">
        <v>17</v>
      </c>
      <c r="AR1" s="10" t="s">
        <v>134</v>
      </c>
      <c r="AS1" s="10" t="s">
        <v>135</v>
      </c>
      <c r="AT1" s="10" t="s">
        <v>136</v>
      </c>
      <c r="AU1" s="18" t="s">
        <v>137</v>
      </c>
      <c r="AV1" s="10" t="s">
        <v>138</v>
      </c>
      <c r="AW1" s="10" t="s">
        <v>139</v>
      </c>
      <c r="AX1" s="10" t="s">
        <v>140</v>
      </c>
      <c r="AY1" s="10" t="s">
        <v>141</v>
      </c>
      <c r="AZ1" s="18" t="s">
        <v>142</v>
      </c>
    </row>
    <row r="2" s="1" customFormat="1" ht="50" customHeight="1" spans="1:52">
      <c r="A2" s="4" t="s">
        <v>911</v>
      </c>
      <c r="B2" s="7" t="s">
        <v>912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913</v>
      </c>
      <c r="B3" s="7" t="s">
        <v>914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915</v>
      </c>
      <c r="B4" s="7" t="s">
        <v>916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917</v>
      </c>
      <c r="B5" s="20" t="s">
        <v>918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919</v>
      </c>
      <c r="B6" s="21" t="s">
        <v>920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921</v>
      </c>
      <c r="B7" s="21" t="s">
        <v>922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923</v>
      </c>
      <c r="B8" s="21" t="s">
        <v>924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925</v>
      </c>
      <c r="B9" s="21" t="s">
        <v>926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927</v>
      </c>
      <c r="B10" s="21" t="s">
        <v>928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929</v>
      </c>
      <c r="B11" s="21" t="s">
        <v>930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931</v>
      </c>
      <c r="B12" s="21" t="s">
        <v>932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933</v>
      </c>
      <c r="B13" s="21" t="s">
        <v>934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935</v>
      </c>
      <c r="B14" s="22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936</v>
      </c>
      <c r="B15" s="21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937</v>
      </c>
      <c r="B16" s="21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938</v>
      </c>
      <c r="B17" s="21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939</v>
      </c>
      <c r="B18" s="21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940</v>
      </c>
      <c r="B19" s="21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941</v>
      </c>
      <c r="B20" s="21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942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546</v>
      </c>
      <c r="F1" s="3" t="s">
        <v>4</v>
      </c>
      <c r="G1" s="3" t="s">
        <v>5</v>
      </c>
      <c r="H1" s="3" t="s">
        <v>551</v>
      </c>
      <c r="I1" s="3" t="s">
        <v>547</v>
      </c>
      <c r="J1" s="3" t="s">
        <v>895</v>
      </c>
      <c r="K1" s="3" t="s">
        <v>896</v>
      </c>
      <c r="L1" s="3" t="s">
        <v>624</v>
      </c>
      <c r="M1" s="3" t="s">
        <v>897</v>
      </c>
      <c r="N1" s="3" t="s">
        <v>898</v>
      </c>
      <c r="O1" s="3" t="s">
        <v>899</v>
      </c>
      <c r="P1" s="3" t="s">
        <v>900</v>
      </c>
      <c r="Q1" s="3" t="s">
        <v>901</v>
      </c>
      <c r="R1" s="3" t="s">
        <v>550</v>
      </c>
      <c r="S1" s="3" t="s">
        <v>902</v>
      </c>
      <c r="T1" s="3" t="s">
        <v>903</v>
      </c>
      <c r="U1" s="3" t="s">
        <v>904</v>
      </c>
      <c r="V1" s="3" t="s">
        <v>548</v>
      </c>
      <c r="W1" s="3" t="s">
        <v>549</v>
      </c>
      <c r="X1" s="3" t="s">
        <v>905</v>
      </c>
      <c r="Y1" s="3" t="s">
        <v>544</v>
      </c>
      <c r="Z1" s="3" t="s">
        <v>545</v>
      </c>
      <c r="AA1" s="3" t="s">
        <v>543</v>
      </c>
      <c r="AB1" s="3" t="s">
        <v>542</v>
      </c>
      <c r="AC1" s="3" t="s">
        <v>541</v>
      </c>
      <c r="AD1" s="3" t="s">
        <v>540</v>
      </c>
      <c r="AE1" s="3" t="s">
        <v>906</v>
      </c>
      <c r="AF1" s="3" t="s">
        <v>907</v>
      </c>
      <c r="AG1" s="3" t="s">
        <v>626</v>
      </c>
      <c r="AH1" s="3" t="s">
        <v>625</v>
      </c>
      <c r="AI1" s="3" t="s">
        <v>908</v>
      </c>
      <c r="AJ1" s="3" t="s">
        <v>554</v>
      </c>
      <c r="AK1" s="3" t="s">
        <v>909</v>
      </c>
      <c r="AL1" s="3" t="s">
        <v>910</v>
      </c>
      <c r="AM1" s="3" t="s">
        <v>628</v>
      </c>
      <c r="AN1" s="3" t="s">
        <v>627</v>
      </c>
      <c r="AO1" s="12" t="s">
        <v>15</v>
      </c>
      <c r="AP1" s="10" t="s">
        <v>16</v>
      </c>
      <c r="AQ1" s="10" t="s">
        <v>17</v>
      </c>
      <c r="AR1" s="10" t="s">
        <v>134</v>
      </c>
      <c r="AS1" s="10" t="s">
        <v>135</v>
      </c>
      <c r="AT1" s="10" t="s">
        <v>136</v>
      </c>
      <c r="AU1" s="18" t="s">
        <v>137</v>
      </c>
      <c r="AV1" s="10" t="s">
        <v>138</v>
      </c>
      <c r="AW1" s="10" t="s">
        <v>139</v>
      </c>
      <c r="AX1" s="10" t="s">
        <v>140</v>
      </c>
      <c r="AY1" s="10" t="s">
        <v>141</v>
      </c>
      <c r="AZ1" s="18" t="s">
        <v>142</v>
      </c>
    </row>
    <row r="2" ht="50" customHeight="1" spans="1:52">
      <c r="A2" s="4" t="s">
        <v>943</v>
      </c>
      <c r="B2" s="5" t="s">
        <v>944</v>
      </c>
      <c r="C2" s="6" t="s">
        <v>29</v>
      </c>
      <c r="D2" s="17" t="s">
        <v>145</v>
      </c>
      <c r="E2" s="7" t="s">
        <v>945</v>
      </c>
      <c r="F2" s="7" t="s">
        <v>514</v>
      </c>
      <c r="G2" s="7" t="s">
        <v>946</v>
      </c>
      <c r="H2" s="7" t="s">
        <v>147</v>
      </c>
      <c r="I2" s="7" t="s">
        <v>148</v>
      </c>
      <c r="J2" s="7"/>
      <c r="K2" s="7" t="s">
        <v>149</v>
      </c>
      <c r="L2" s="7" t="s">
        <v>151</v>
      </c>
      <c r="M2" s="7" t="s">
        <v>150</v>
      </c>
      <c r="N2" s="7" t="s">
        <v>151</v>
      </c>
      <c r="O2" s="7" t="s">
        <v>150</v>
      </c>
      <c r="P2" s="7" t="s">
        <v>151</v>
      </c>
      <c r="Q2" s="7" t="s">
        <v>151</v>
      </c>
      <c r="R2" s="7"/>
      <c r="S2" s="7" t="s">
        <v>150</v>
      </c>
      <c r="T2" s="7" t="s">
        <v>512</v>
      </c>
      <c r="U2" s="7" t="s">
        <v>945</v>
      </c>
      <c r="V2" s="7" t="s">
        <v>947</v>
      </c>
      <c r="W2" s="7"/>
      <c r="X2" s="7"/>
      <c r="Y2" s="7" t="s">
        <v>154</v>
      </c>
      <c r="Z2" s="7" t="s">
        <v>513</v>
      </c>
      <c r="AA2" s="7" t="s">
        <v>156</v>
      </c>
      <c r="AB2" s="7" t="s">
        <v>948</v>
      </c>
      <c r="AC2" s="7" t="s">
        <v>949</v>
      </c>
      <c r="AD2" s="7" t="s">
        <v>151</v>
      </c>
      <c r="AE2" s="7"/>
      <c r="AF2" s="7" t="s">
        <v>950</v>
      </c>
      <c r="AG2" s="7" t="s">
        <v>637</v>
      </c>
      <c r="AH2" s="7" t="s">
        <v>34</v>
      </c>
      <c r="AI2" s="7" t="s">
        <v>147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160</v>
      </c>
      <c r="AP2" s="9">
        <v>200</v>
      </c>
      <c r="AQ2" s="9">
        <v>1</v>
      </c>
      <c r="AR2" s="9" t="s">
        <v>161</v>
      </c>
      <c r="AS2" s="9" t="s">
        <v>148</v>
      </c>
      <c r="AT2" s="9" t="s">
        <v>34</v>
      </c>
      <c r="AU2" s="19" t="b">
        <v>0</v>
      </c>
      <c r="AV2" s="9" t="s">
        <v>162</v>
      </c>
      <c r="AW2" s="9" t="s">
        <v>161</v>
      </c>
      <c r="AX2" s="9" t="s">
        <v>161</v>
      </c>
      <c r="AY2" s="9" t="s">
        <v>163</v>
      </c>
      <c r="AZ2" s="19" t="b">
        <v>0</v>
      </c>
    </row>
    <row r="3" ht="69" customHeight="1" spans="1:52">
      <c r="A3" s="4" t="s">
        <v>951</v>
      </c>
      <c r="B3" s="5" t="s">
        <v>952</v>
      </c>
      <c r="C3" s="8" t="s">
        <v>29</v>
      </c>
      <c r="D3" s="17" t="s">
        <v>145</v>
      </c>
      <c r="E3" s="7" t="s">
        <v>945</v>
      </c>
      <c r="F3" s="7" t="s">
        <v>514</v>
      </c>
      <c r="G3" s="7" t="s">
        <v>946</v>
      </c>
      <c r="H3" s="7" t="s">
        <v>147</v>
      </c>
      <c r="I3" s="7" t="s">
        <v>148</v>
      </c>
      <c r="J3" s="7"/>
      <c r="K3" s="7" t="s">
        <v>149</v>
      </c>
      <c r="L3" s="7" t="s">
        <v>151</v>
      </c>
      <c r="M3" s="7" t="s">
        <v>150</v>
      </c>
      <c r="N3" s="7" t="s">
        <v>151</v>
      </c>
      <c r="O3" s="7" t="s">
        <v>150</v>
      </c>
      <c r="P3" s="7" t="s">
        <v>151</v>
      </c>
      <c r="Q3" s="7" t="s">
        <v>151</v>
      </c>
      <c r="R3" s="7"/>
      <c r="S3" s="7" t="s">
        <v>150</v>
      </c>
      <c r="T3" s="7" t="s">
        <v>512</v>
      </c>
      <c r="U3" s="7" t="s">
        <v>945</v>
      </c>
      <c r="V3" s="7" t="s">
        <v>953</v>
      </c>
      <c r="W3" s="7"/>
      <c r="X3" s="7"/>
      <c r="Y3" s="7" t="s">
        <v>154</v>
      </c>
      <c r="Z3" s="7" t="s">
        <v>513</v>
      </c>
      <c r="AA3" s="7" t="s">
        <v>156</v>
      </c>
      <c r="AB3" s="7" t="s">
        <v>948</v>
      </c>
      <c r="AC3" s="7" t="s">
        <v>949</v>
      </c>
      <c r="AD3" s="7" t="s">
        <v>954</v>
      </c>
      <c r="AE3" s="7"/>
      <c r="AF3" s="7" t="s">
        <v>950</v>
      </c>
      <c r="AG3" s="7" t="s">
        <v>637</v>
      </c>
      <c r="AH3" s="7" t="s">
        <v>955</v>
      </c>
      <c r="AI3" s="7" t="s">
        <v>147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160</v>
      </c>
      <c r="AP3" s="9">
        <v>200</v>
      </c>
      <c r="AQ3" s="9">
        <v>1</v>
      </c>
      <c r="AR3" s="9" t="s">
        <v>161</v>
      </c>
      <c r="AS3" s="9" t="s">
        <v>148</v>
      </c>
      <c r="AT3" s="9" t="s">
        <v>955</v>
      </c>
      <c r="AU3" s="19" t="b">
        <v>0</v>
      </c>
      <c r="AV3" s="9" t="s">
        <v>162</v>
      </c>
      <c r="AW3" s="9" t="s">
        <v>161</v>
      </c>
      <c r="AX3" s="9" t="s">
        <v>161</v>
      </c>
      <c r="AY3" s="9" t="s">
        <v>163</v>
      </c>
      <c r="AZ3" s="19" t="b">
        <v>0</v>
      </c>
    </row>
    <row r="4" ht="69" customHeight="1" spans="1:52">
      <c r="A4" s="4" t="s">
        <v>956</v>
      </c>
      <c r="B4" s="9" t="s">
        <v>957</v>
      </c>
      <c r="C4" s="8" t="s">
        <v>29</v>
      </c>
      <c r="D4" s="17" t="s">
        <v>145</v>
      </c>
      <c r="E4" s="7" t="s">
        <v>945</v>
      </c>
      <c r="F4" s="7" t="s">
        <v>514</v>
      </c>
      <c r="G4" s="7" t="s">
        <v>946</v>
      </c>
      <c r="H4" s="7" t="s">
        <v>147</v>
      </c>
      <c r="I4" s="7" t="s">
        <v>148</v>
      </c>
      <c r="J4" s="7"/>
      <c r="K4" s="7" t="s">
        <v>149</v>
      </c>
      <c r="L4" s="7" t="s">
        <v>151</v>
      </c>
      <c r="M4" s="7" t="s">
        <v>150</v>
      </c>
      <c r="N4" s="7" t="s">
        <v>151</v>
      </c>
      <c r="O4" s="7" t="s">
        <v>150</v>
      </c>
      <c r="P4" s="7" t="s">
        <v>151</v>
      </c>
      <c r="Q4" s="7" t="s">
        <v>151</v>
      </c>
      <c r="R4" s="7"/>
      <c r="S4" s="7" t="s">
        <v>150</v>
      </c>
      <c r="T4" s="7" t="s">
        <v>512</v>
      </c>
      <c r="U4" s="7" t="s">
        <v>945</v>
      </c>
      <c r="V4" s="7" t="s">
        <v>958</v>
      </c>
      <c r="W4" s="7" t="s">
        <v>959</v>
      </c>
      <c r="X4" s="7" t="s">
        <v>959</v>
      </c>
      <c r="Y4" s="7" t="s">
        <v>154</v>
      </c>
      <c r="Z4" s="7" t="s">
        <v>513</v>
      </c>
      <c r="AA4" s="7" t="s">
        <v>156</v>
      </c>
      <c r="AB4" s="7" t="s">
        <v>960</v>
      </c>
      <c r="AC4" s="7" t="s">
        <v>961</v>
      </c>
      <c r="AD4" s="7" t="s">
        <v>151</v>
      </c>
      <c r="AE4" s="7"/>
      <c r="AF4" s="7" t="s">
        <v>950</v>
      </c>
      <c r="AG4" s="7" t="s">
        <v>637</v>
      </c>
      <c r="AH4" s="7" t="s">
        <v>34</v>
      </c>
      <c r="AI4" s="7" t="s">
        <v>147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160</v>
      </c>
      <c r="AP4" s="9">
        <v>200</v>
      </c>
      <c r="AQ4" s="9">
        <v>1</v>
      </c>
      <c r="AR4" s="9" t="s">
        <v>161</v>
      </c>
      <c r="AS4" s="9" t="s">
        <v>148</v>
      </c>
      <c r="AT4" s="9" t="s">
        <v>34</v>
      </c>
      <c r="AU4" s="19" t="b">
        <v>0</v>
      </c>
      <c r="AV4" s="9" t="s">
        <v>162</v>
      </c>
      <c r="AW4" s="9" t="s">
        <v>161</v>
      </c>
      <c r="AX4" s="9" t="s">
        <v>161</v>
      </c>
      <c r="AY4" s="9" t="s">
        <v>163</v>
      </c>
      <c r="AZ4" s="19" t="b">
        <v>1</v>
      </c>
    </row>
    <row r="5" ht="69" customHeight="1" spans="1:52">
      <c r="A5" s="4" t="s">
        <v>962</v>
      </c>
      <c r="B5" s="9" t="s">
        <v>963</v>
      </c>
      <c r="C5" s="8" t="s">
        <v>29</v>
      </c>
      <c r="D5" s="17" t="s">
        <v>145</v>
      </c>
      <c r="E5" s="7" t="s">
        <v>945</v>
      </c>
      <c r="F5" s="7" t="s">
        <v>514</v>
      </c>
      <c r="G5" s="7" t="s">
        <v>946</v>
      </c>
      <c r="H5" s="7" t="s">
        <v>147</v>
      </c>
      <c r="I5" s="7" t="s">
        <v>148</v>
      </c>
      <c r="J5" s="7"/>
      <c r="K5" s="7" t="s">
        <v>149</v>
      </c>
      <c r="L5" s="7" t="s">
        <v>151</v>
      </c>
      <c r="M5" s="7" t="s">
        <v>150</v>
      </c>
      <c r="N5" s="7" t="s">
        <v>151</v>
      </c>
      <c r="O5" s="7" t="s">
        <v>150</v>
      </c>
      <c r="P5" s="7" t="s">
        <v>151</v>
      </c>
      <c r="Q5" s="7" t="s">
        <v>151</v>
      </c>
      <c r="R5" s="7"/>
      <c r="S5" s="7" t="s">
        <v>150</v>
      </c>
      <c r="T5" s="7" t="s">
        <v>512</v>
      </c>
      <c r="U5" s="7" t="s">
        <v>945</v>
      </c>
      <c r="V5" s="7" t="s">
        <v>964</v>
      </c>
      <c r="W5" s="7" t="s">
        <v>965</v>
      </c>
      <c r="X5" s="7" t="s">
        <v>965</v>
      </c>
      <c r="Y5" s="7" t="s">
        <v>154</v>
      </c>
      <c r="Z5" s="7" t="s">
        <v>513</v>
      </c>
      <c r="AA5" s="7" t="s">
        <v>156</v>
      </c>
      <c r="AB5" s="7" t="s">
        <v>960</v>
      </c>
      <c r="AC5" s="7" t="s">
        <v>961</v>
      </c>
      <c r="AD5" s="7" t="s">
        <v>154</v>
      </c>
      <c r="AE5" s="7"/>
      <c r="AF5" s="7" t="s">
        <v>950</v>
      </c>
      <c r="AG5" s="7" t="s">
        <v>637</v>
      </c>
      <c r="AH5" s="7" t="s">
        <v>955</v>
      </c>
      <c r="AI5" s="7" t="s">
        <v>147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160</v>
      </c>
      <c r="AP5" s="9">
        <v>200</v>
      </c>
      <c r="AQ5" s="9">
        <v>1</v>
      </c>
      <c r="AR5" s="9" t="s">
        <v>161</v>
      </c>
      <c r="AS5" s="9" t="s">
        <v>148</v>
      </c>
      <c r="AT5" s="9" t="s">
        <v>955</v>
      </c>
      <c r="AU5" s="19" t="b">
        <v>0</v>
      </c>
      <c r="AV5" s="9" t="s">
        <v>162</v>
      </c>
      <c r="AW5" s="9" t="s">
        <v>161</v>
      </c>
      <c r="AX5" s="9" t="s">
        <v>161</v>
      </c>
      <c r="AY5" s="9" t="s">
        <v>163</v>
      </c>
      <c r="AZ5" s="19" t="b">
        <v>1</v>
      </c>
    </row>
    <row r="6" ht="234" customHeight="1" spans="1:52">
      <c r="A6" s="4" t="s">
        <v>966</v>
      </c>
      <c r="B6" s="10" t="s">
        <v>967</v>
      </c>
      <c r="C6" s="8" t="s">
        <v>29</v>
      </c>
      <c r="D6" s="17" t="s">
        <v>145</v>
      </c>
      <c r="E6" s="7" t="s">
        <v>945</v>
      </c>
      <c r="F6" s="7" t="s">
        <v>514</v>
      </c>
      <c r="G6" s="7" t="s">
        <v>946</v>
      </c>
      <c r="H6" s="7" t="s">
        <v>147</v>
      </c>
      <c r="I6" s="7" t="s">
        <v>148</v>
      </c>
      <c r="J6" s="7"/>
      <c r="K6" s="7" t="s">
        <v>149</v>
      </c>
      <c r="L6" s="7" t="s">
        <v>151</v>
      </c>
      <c r="M6" s="7" t="s">
        <v>150</v>
      </c>
      <c r="N6" s="7" t="s">
        <v>151</v>
      </c>
      <c r="O6" s="7" t="s">
        <v>150</v>
      </c>
      <c r="P6" s="7" t="s">
        <v>151</v>
      </c>
      <c r="Q6" s="7" t="s">
        <v>151</v>
      </c>
      <c r="R6" s="7"/>
      <c r="S6" s="7" t="s">
        <v>150</v>
      </c>
      <c r="T6" s="7" t="s">
        <v>512</v>
      </c>
      <c r="U6" s="7" t="s">
        <v>945</v>
      </c>
      <c r="V6" s="7" t="s">
        <v>968</v>
      </c>
      <c r="W6" s="7"/>
      <c r="X6" s="7"/>
      <c r="Y6" s="7" t="s">
        <v>154</v>
      </c>
      <c r="Z6" s="7" t="s">
        <v>513</v>
      </c>
      <c r="AA6" s="7" t="s">
        <v>156</v>
      </c>
      <c r="AB6" s="7" t="s">
        <v>960</v>
      </c>
      <c r="AC6" s="7" t="s">
        <v>961</v>
      </c>
      <c r="AD6" s="7" t="s">
        <v>969</v>
      </c>
      <c r="AE6" s="7"/>
      <c r="AF6" s="7" t="s">
        <v>950</v>
      </c>
      <c r="AG6" s="7" t="s">
        <v>637</v>
      </c>
      <c r="AH6" s="7" t="s">
        <v>34</v>
      </c>
      <c r="AI6" s="7" t="s">
        <v>147</v>
      </c>
      <c r="AJ6" s="7" t="s">
        <v>33</v>
      </c>
      <c r="AK6" s="7" t="s">
        <v>36</v>
      </c>
      <c r="AL6" s="7" t="s">
        <v>970</v>
      </c>
      <c r="AM6" s="7"/>
      <c r="AN6" s="7"/>
      <c r="AO6" s="13" t="s">
        <v>160</v>
      </c>
      <c r="AP6" s="9">
        <v>200</v>
      </c>
      <c r="AQ6" s="9">
        <v>1</v>
      </c>
      <c r="AR6" s="9" t="s">
        <v>161</v>
      </c>
      <c r="AS6" s="9" t="s">
        <v>148</v>
      </c>
      <c r="AT6" s="9" t="s">
        <v>34</v>
      </c>
      <c r="AU6" s="19" t="b">
        <v>0</v>
      </c>
      <c r="AV6" s="9" t="s">
        <v>162</v>
      </c>
      <c r="AW6" s="9" t="s">
        <v>161</v>
      </c>
      <c r="AX6" s="9" t="s">
        <v>161</v>
      </c>
      <c r="AY6" s="9" t="s">
        <v>163</v>
      </c>
      <c r="AZ6" s="19" t="b">
        <v>0</v>
      </c>
    </row>
    <row r="7" ht="69" customHeight="1" spans="1:52">
      <c r="A7" s="4" t="s">
        <v>971</v>
      </c>
      <c r="B7" s="10" t="s">
        <v>972</v>
      </c>
      <c r="C7" s="8" t="s">
        <v>29</v>
      </c>
      <c r="D7" s="17" t="s">
        <v>145</v>
      </c>
      <c r="E7" s="7" t="s">
        <v>945</v>
      </c>
      <c r="F7" s="7" t="s">
        <v>514</v>
      </c>
      <c r="G7" s="7" t="s">
        <v>946</v>
      </c>
      <c r="H7" s="7" t="s">
        <v>147</v>
      </c>
      <c r="I7" s="7" t="s">
        <v>148</v>
      </c>
      <c r="J7" s="7"/>
      <c r="K7" s="7" t="s">
        <v>149</v>
      </c>
      <c r="L7" s="7" t="s">
        <v>151</v>
      </c>
      <c r="M7" s="7" t="s">
        <v>150</v>
      </c>
      <c r="N7" s="7" t="s">
        <v>151</v>
      </c>
      <c r="O7" s="7" t="s">
        <v>150</v>
      </c>
      <c r="P7" s="7" t="s">
        <v>151</v>
      </c>
      <c r="Q7" s="7" t="s">
        <v>151</v>
      </c>
      <c r="R7" s="7"/>
      <c r="S7" s="7" t="s">
        <v>150</v>
      </c>
      <c r="T7" s="7" t="s">
        <v>512</v>
      </c>
      <c r="U7" s="7" t="s">
        <v>945</v>
      </c>
      <c r="V7" s="7" t="s">
        <v>973</v>
      </c>
      <c r="W7" s="7"/>
      <c r="X7" s="7"/>
      <c r="Y7" s="7" t="s">
        <v>154</v>
      </c>
      <c r="Z7" s="7" t="s">
        <v>513</v>
      </c>
      <c r="AA7" s="7" t="s">
        <v>156</v>
      </c>
      <c r="AB7" s="7" t="s">
        <v>960</v>
      </c>
      <c r="AC7" s="7" t="s">
        <v>961</v>
      </c>
      <c r="AD7" s="7" t="s">
        <v>954</v>
      </c>
      <c r="AE7" s="7"/>
      <c r="AF7" s="7" t="s">
        <v>950</v>
      </c>
      <c r="AG7" s="7" t="s">
        <v>637</v>
      </c>
      <c r="AH7" s="7" t="s">
        <v>34</v>
      </c>
      <c r="AI7" s="7" t="s">
        <v>147</v>
      </c>
      <c r="AJ7" s="7" t="s">
        <v>33</v>
      </c>
      <c r="AK7" s="7" t="s">
        <v>36</v>
      </c>
      <c r="AL7" s="7" t="s">
        <v>974</v>
      </c>
      <c r="AM7" s="7"/>
      <c r="AN7" s="7"/>
      <c r="AO7" s="13" t="s">
        <v>160</v>
      </c>
      <c r="AP7" s="9">
        <v>200</v>
      </c>
      <c r="AQ7" s="9">
        <v>1</v>
      </c>
      <c r="AR7" s="9" t="s">
        <v>161</v>
      </c>
      <c r="AS7" s="9" t="s">
        <v>148</v>
      </c>
      <c r="AT7" s="9" t="s">
        <v>34</v>
      </c>
      <c r="AU7" s="19" t="b">
        <v>0</v>
      </c>
      <c r="AV7" s="9" t="s">
        <v>162</v>
      </c>
      <c r="AW7" s="9" t="s">
        <v>161</v>
      </c>
      <c r="AX7" s="9" t="s">
        <v>161</v>
      </c>
      <c r="AY7" s="9" t="s">
        <v>163</v>
      </c>
      <c r="AZ7" s="19" t="b">
        <v>0</v>
      </c>
    </row>
    <row r="8" ht="69" customHeight="1" spans="1:52">
      <c r="A8" s="4" t="s">
        <v>975</v>
      </c>
      <c r="B8" s="10" t="s">
        <v>976</v>
      </c>
      <c r="C8" s="8" t="s">
        <v>29</v>
      </c>
      <c r="D8" s="17" t="s">
        <v>145</v>
      </c>
      <c r="E8" s="7" t="s">
        <v>945</v>
      </c>
      <c r="F8" s="7" t="s">
        <v>514</v>
      </c>
      <c r="G8" s="7" t="s">
        <v>946</v>
      </c>
      <c r="H8" s="7" t="s">
        <v>147</v>
      </c>
      <c r="I8" s="7" t="s">
        <v>148</v>
      </c>
      <c r="J8" s="7"/>
      <c r="K8" s="7" t="s">
        <v>149</v>
      </c>
      <c r="L8" s="7" t="s">
        <v>151</v>
      </c>
      <c r="M8" s="7" t="s">
        <v>150</v>
      </c>
      <c r="N8" s="7" t="s">
        <v>151</v>
      </c>
      <c r="O8" s="7" t="s">
        <v>150</v>
      </c>
      <c r="P8" s="7" t="s">
        <v>151</v>
      </c>
      <c r="Q8" s="7" t="s">
        <v>151</v>
      </c>
      <c r="R8" s="7"/>
      <c r="S8" s="7" t="s">
        <v>150</v>
      </c>
      <c r="T8" s="7" t="s">
        <v>512</v>
      </c>
      <c r="U8" s="7" t="s">
        <v>945</v>
      </c>
      <c r="V8" s="7" t="s">
        <v>977</v>
      </c>
      <c r="W8" s="7"/>
      <c r="X8" s="7"/>
      <c r="Y8" s="7" t="s">
        <v>154</v>
      </c>
      <c r="Z8" s="7" t="s">
        <v>513</v>
      </c>
      <c r="AA8" s="7" t="s">
        <v>156</v>
      </c>
      <c r="AB8" s="7" t="s">
        <v>978</v>
      </c>
      <c r="AC8" s="7" t="s">
        <v>979</v>
      </c>
      <c r="AD8" s="7" t="s">
        <v>151</v>
      </c>
      <c r="AE8" s="7"/>
      <c r="AF8" s="7" t="s">
        <v>950</v>
      </c>
      <c r="AG8" s="7" t="s">
        <v>637</v>
      </c>
      <c r="AH8" s="7" t="s">
        <v>34</v>
      </c>
      <c r="AI8" s="7" t="s">
        <v>147</v>
      </c>
      <c r="AJ8" s="7" t="s">
        <v>33</v>
      </c>
      <c r="AK8" s="7" t="s">
        <v>36</v>
      </c>
      <c r="AL8" s="7" t="s">
        <v>980</v>
      </c>
      <c r="AM8" s="7"/>
      <c r="AN8" s="7"/>
      <c r="AO8" s="13" t="s">
        <v>160</v>
      </c>
      <c r="AP8" s="9">
        <v>200</v>
      </c>
      <c r="AQ8" s="9">
        <v>1</v>
      </c>
      <c r="AR8" s="9" t="s">
        <v>161</v>
      </c>
      <c r="AS8" s="9" t="s">
        <v>148</v>
      </c>
      <c r="AT8" s="9" t="s">
        <v>34</v>
      </c>
      <c r="AU8" s="19" t="b">
        <v>0</v>
      </c>
      <c r="AV8" s="9" t="s">
        <v>162</v>
      </c>
      <c r="AW8" s="9" t="s">
        <v>161</v>
      </c>
      <c r="AX8" s="9" t="s">
        <v>161</v>
      </c>
      <c r="AY8" s="9" t="s">
        <v>163</v>
      </c>
      <c r="AZ8" s="19" t="b">
        <v>0</v>
      </c>
    </row>
    <row r="9" ht="69" customHeight="1" spans="1:52">
      <c r="A9" s="4" t="s">
        <v>981</v>
      </c>
      <c r="B9" s="10" t="s">
        <v>303</v>
      </c>
      <c r="C9" s="8" t="s">
        <v>29</v>
      </c>
      <c r="D9" s="17" t="s">
        <v>145</v>
      </c>
      <c r="E9" s="7" t="s">
        <v>945</v>
      </c>
      <c r="F9" s="7" t="s">
        <v>514</v>
      </c>
      <c r="G9" s="7" t="s">
        <v>946</v>
      </c>
      <c r="H9" s="7" t="s">
        <v>147</v>
      </c>
      <c r="I9" s="7" t="s">
        <v>148</v>
      </c>
      <c r="J9" s="7"/>
      <c r="K9" s="7" t="s">
        <v>149</v>
      </c>
      <c r="L9" s="7" t="s">
        <v>151</v>
      </c>
      <c r="M9" s="7" t="s">
        <v>150</v>
      </c>
      <c r="N9" s="7" t="s">
        <v>151</v>
      </c>
      <c r="O9" s="7" t="s">
        <v>150</v>
      </c>
      <c r="P9" s="7" t="s">
        <v>151</v>
      </c>
      <c r="Q9" s="7" t="s">
        <v>151</v>
      </c>
      <c r="R9" s="7"/>
      <c r="S9" s="7" t="s">
        <v>150</v>
      </c>
      <c r="T9" s="7" t="s">
        <v>512</v>
      </c>
      <c r="U9" s="7" t="s">
        <v>945</v>
      </c>
      <c r="V9" s="7" t="s">
        <v>982</v>
      </c>
      <c r="W9" s="7"/>
      <c r="X9" s="7"/>
      <c r="Y9" s="7" t="s">
        <v>154</v>
      </c>
      <c r="Z9" s="7" t="s">
        <v>513</v>
      </c>
      <c r="AA9" s="7" t="s">
        <v>156</v>
      </c>
      <c r="AB9" s="7" t="s">
        <v>978</v>
      </c>
      <c r="AC9" s="7" t="s">
        <v>979</v>
      </c>
      <c r="AD9" s="7" t="s">
        <v>154</v>
      </c>
      <c r="AE9" s="7"/>
      <c r="AF9" s="7" t="s">
        <v>950</v>
      </c>
      <c r="AG9" s="7" t="s">
        <v>637</v>
      </c>
      <c r="AH9" s="7" t="s">
        <v>34</v>
      </c>
      <c r="AI9" s="7" t="s">
        <v>147</v>
      </c>
      <c r="AJ9" s="7" t="s">
        <v>33</v>
      </c>
      <c r="AK9" s="7" t="s">
        <v>36</v>
      </c>
      <c r="AL9" s="7" t="s">
        <v>983</v>
      </c>
      <c r="AM9" s="7"/>
      <c r="AN9" s="7"/>
      <c r="AO9" s="13" t="s">
        <v>160</v>
      </c>
      <c r="AP9" s="9">
        <v>200</v>
      </c>
      <c r="AQ9" s="9">
        <v>1</v>
      </c>
      <c r="AR9" s="9" t="s">
        <v>161</v>
      </c>
      <c r="AS9" s="9" t="s">
        <v>148</v>
      </c>
      <c r="AT9" s="9" t="s">
        <v>34</v>
      </c>
      <c r="AU9" s="19" t="b">
        <v>0</v>
      </c>
      <c r="AV9" s="9" t="s">
        <v>162</v>
      </c>
      <c r="AW9" s="9" t="s">
        <v>161</v>
      </c>
      <c r="AX9" s="9" t="s">
        <v>161</v>
      </c>
      <c r="AY9" s="9" t="s">
        <v>163</v>
      </c>
      <c r="AZ9" s="19" t="b">
        <v>0</v>
      </c>
    </row>
    <row r="10" ht="69" customHeight="1" spans="1:52">
      <c r="A10" s="4" t="s">
        <v>984</v>
      </c>
      <c r="B10" s="10" t="s">
        <v>305</v>
      </c>
      <c r="C10" s="8" t="s">
        <v>29</v>
      </c>
      <c r="D10" s="17" t="s">
        <v>145</v>
      </c>
      <c r="E10" s="7" t="s">
        <v>945</v>
      </c>
      <c r="F10" s="7" t="s">
        <v>514</v>
      </c>
      <c r="G10" s="7" t="s">
        <v>946</v>
      </c>
      <c r="H10" s="7" t="s">
        <v>147</v>
      </c>
      <c r="I10" s="7" t="s">
        <v>148</v>
      </c>
      <c r="J10" s="7"/>
      <c r="K10" s="7" t="s">
        <v>149</v>
      </c>
      <c r="L10" s="7" t="s">
        <v>151</v>
      </c>
      <c r="M10" s="7" t="s">
        <v>150</v>
      </c>
      <c r="N10" s="7" t="s">
        <v>151</v>
      </c>
      <c r="O10" s="7" t="s">
        <v>150</v>
      </c>
      <c r="P10" s="7" t="s">
        <v>151</v>
      </c>
      <c r="Q10" s="7" t="s">
        <v>151</v>
      </c>
      <c r="R10" s="7"/>
      <c r="S10" s="7" t="s">
        <v>150</v>
      </c>
      <c r="T10" s="7" t="s">
        <v>512</v>
      </c>
      <c r="U10" s="7" t="s">
        <v>945</v>
      </c>
      <c r="V10" s="7" t="s">
        <v>985</v>
      </c>
      <c r="W10" s="7"/>
      <c r="X10" s="7"/>
      <c r="Y10" s="7" t="s">
        <v>154</v>
      </c>
      <c r="Z10" s="7" t="s">
        <v>513</v>
      </c>
      <c r="AA10" s="7" t="s">
        <v>156</v>
      </c>
      <c r="AB10" s="7" t="s">
        <v>978</v>
      </c>
      <c r="AC10" s="7" t="s">
        <v>979</v>
      </c>
      <c r="AD10" s="7" t="s">
        <v>969</v>
      </c>
      <c r="AE10" s="7"/>
      <c r="AF10" s="7" t="s">
        <v>950</v>
      </c>
      <c r="AG10" s="7" t="s">
        <v>637</v>
      </c>
      <c r="AH10" s="7" t="s">
        <v>34</v>
      </c>
      <c r="AI10" s="7" t="s">
        <v>147</v>
      </c>
      <c r="AJ10" s="7" t="s">
        <v>33</v>
      </c>
      <c r="AK10" s="7" t="s">
        <v>36</v>
      </c>
      <c r="AL10" s="7" t="s">
        <v>986</v>
      </c>
      <c r="AM10" s="7"/>
      <c r="AN10" s="7"/>
      <c r="AO10" s="13" t="s">
        <v>160</v>
      </c>
      <c r="AP10" s="9">
        <v>200</v>
      </c>
      <c r="AQ10" s="9">
        <v>1</v>
      </c>
      <c r="AR10" s="9" t="s">
        <v>161</v>
      </c>
      <c r="AS10" s="9" t="s">
        <v>148</v>
      </c>
      <c r="AT10" s="9" t="s">
        <v>34</v>
      </c>
      <c r="AU10" s="19" t="b">
        <v>0</v>
      </c>
      <c r="AV10" s="9" t="s">
        <v>162</v>
      </c>
      <c r="AW10" s="9" t="s">
        <v>161</v>
      </c>
      <c r="AX10" s="9" t="s">
        <v>161</v>
      </c>
      <c r="AY10" s="9" t="s">
        <v>163</v>
      </c>
      <c r="AZ10" s="19" t="b">
        <v>0</v>
      </c>
    </row>
    <row r="11" ht="69" customHeight="1" spans="1:52">
      <c r="A11" s="4" t="s">
        <v>987</v>
      </c>
      <c r="B11" s="10" t="s">
        <v>307</v>
      </c>
      <c r="C11" s="8" t="s">
        <v>29</v>
      </c>
      <c r="D11" s="17" t="s">
        <v>145</v>
      </c>
      <c r="E11" s="7" t="s">
        <v>945</v>
      </c>
      <c r="F11" s="7" t="s">
        <v>514</v>
      </c>
      <c r="G11" s="7" t="s">
        <v>946</v>
      </c>
      <c r="H11" s="7" t="s">
        <v>147</v>
      </c>
      <c r="I11" s="7" t="s">
        <v>148</v>
      </c>
      <c r="J11" s="7"/>
      <c r="K11" s="7" t="s">
        <v>149</v>
      </c>
      <c r="L11" s="7" t="s">
        <v>151</v>
      </c>
      <c r="M11" s="7" t="s">
        <v>150</v>
      </c>
      <c r="N11" s="7" t="s">
        <v>151</v>
      </c>
      <c r="O11" s="7" t="s">
        <v>150</v>
      </c>
      <c r="P11" s="7" t="s">
        <v>151</v>
      </c>
      <c r="Q11" s="7" t="s">
        <v>151</v>
      </c>
      <c r="R11" s="7"/>
      <c r="S11" s="7" t="s">
        <v>150</v>
      </c>
      <c r="T11" s="7" t="s">
        <v>512</v>
      </c>
      <c r="U11" s="7" t="s">
        <v>945</v>
      </c>
      <c r="V11" s="7" t="s">
        <v>988</v>
      </c>
      <c r="W11" s="7"/>
      <c r="X11" s="7"/>
      <c r="Y11" s="7" t="s">
        <v>154</v>
      </c>
      <c r="Z11" s="7" t="s">
        <v>513</v>
      </c>
      <c r="AA11" s="7" t="s">
        <v>156</v>
      </c>
      <c r="AB11" s="7" t="s">
        <v>978</v>
      </c>
      <c r="AC11" s="7" t="s">
        <v>979</v>
      </c>
      <c r="AD11" s="7" t="s">
        <v>954</v>
      </c>
      <c r="AE11" s="7"/>
      <c r="AF11" s="7" t="s">
        <v>950</v>
      </c>
      <c r="AG11" s="7" t="s">
        <v>637</v>
      </c>
      <c r="AH11" s="7" t="s">
        <v>34</v>
      </c>
      <c r="AI11" s="7" t="s">
        <v>147</v>
      </c>
      <c r="AJ11" s="7" t="s">
        <v>33</v>
      </c>
      <c r="AK11" s="7" t="s">
        <v>36</v>
      </c>
      <c r="AL11" s="7" t="s">
        <v>989</v>
      </c>
      <c r="AM11" s="7"/>
      <c r="AN11" s="7"/>
      <c r="AO11" s="13" t="s">
        <v>160</v>
      </c>
      <c r="AP11" s="9">
        <v>200</v>
      </c>
      <c r="AQ11" s="9">
        <v>1</v>
      </c>
      <c r="AR11" s="9" t="s">
        <v>161</v>
      </c>
      <c r="AS11" s="9" t="s">
        <v>148</v>
      </c>
      <c r="AT11" s="9" t="s">
        <v>34</v>
      </c>
      <c r="AU11" s="19" t="b">
        <v>0</v>
      </c>
      <c r="AV11" s="9" t="s">
        <v>162</v>
      </c>
      <c r="AW11" s="9" t="s">
        <v>161</v>
      </c>
      <c r="AX11" s="9" t="s">
        <v>161</v>
      </c>
      <c r="AY11" s="9" t="s">
        <v>163</v>
      </c>
      <c r="AZ11" s="19" t="b">
        <v>0</v>
      </c>
    </row>
    <row r="12" ht="69" customHeight="1" spans="1:52">
      <c r="A12" s="4" t="s">
        <v>990</v>
      </c>
      <c r="B12" s="9" t="s">
        <v>312</v>
      </c>
      <c r="C12" s="8" t="s">
        <v>29</v>
      </c>
      <c r="D12" s="17" t="s">
        <v>145</v>
      </c>
      <c r="E12" s="7" t="s">
        <v>945</v>
      </c>
      <c r="F12" s="7" t="s">
        <v>514</v>
      </c>
      <c r="G12" s="7" t="s">
        <v>946</v>
      </c>
      <c r="H12" s="7" t="s">
        <v>147</v>
      </c>
      <c r="I12" s="7" t="s">
        <v>148</v>
      </c>
      <c r="J12" s="7"/>
      <c r="K12" s="7" t="s">
        <v>149</v>
      </c>
      <c r="L12" s="7" t="s">
        <v>151</v>
      </c>
      <c r="M12" s="7" t="s">
        <v>150</v>
      </c>
      <c r="N12" s="7" t="s">
        <v>151</v>
      </c>
      <c r="O12" s="7" t="s">
        <v>150</v>
      </c>
      <c r="P12" s="7" t="s">
        <v>151</v>
      </c>
      <c r="Q12" s="7" t="s">
        <v>151</v>
      </c>
      <c r="R12" s="7"/>
      <c r="S12" s="7" t="s">
        <v>150</v>
      </c>
      <c r="T12" s="7" t="s">
        <v>512</v>
      </c>
      <c r="U12" s="7" t="s">
        <v>945</v>
      </c>
      <c r="V12" s="7" t="s">
        <v>991</v>
      </c>
      <c r="W12" s="7"/>
      <c r="X12" s="7"/>
      <c r="Y12" s="7" t="s">
        <v>154</v>
      </c>
      <c r="Z12" s="7" t="s">
        <v>513</v>
      </c>
      <c r="AA12" s="7" t="s">
        <v>156</v>
      </c>
      <c r="AB12" s="7" t="s">
        <v>992</v>
      </c>
      <c r="AC12" s="7" t="s">
        <v>993</v>
      </c>
      <c r="AD12" s="7" t="s">
        <v>151</v>
      </c>
      <c r="AE12" s="7"/>
      <c r="AF12" s="7" t="s">
        <v>950</v>
      </c>
      <c r="AG12" s="7" t="s">
        <v>637</v>
      </c>
      <c r="AH12" s="7" t="s">
        <v>34</v>
      </c>
      <c r="AI12" s="7" t="s">
        <v>147</v>
      </c>
      <c r="AJ12" s="7" t="s">
        <v>33</v>
      </c>
      <c r="AK12" s="7" t="s">
        <v>36</v>
      </c>
      <c r="AL12" s="7" t="s">
        <v>994</v>
      </c>
      <c r="AM12" s="7"/>
      <c r="AN12" s="7"/>
      <c r="AO12" s="13" t="s">
        <v>160</v>
      </c>
      <c r="AP12" s="9">
        <v>200</v>
      </c>
      <c r="AQ12" s="9">
        <v>1</v>
      </c>
      <c r="AR12" s="9" t="s">
        <v>161</v>
      </c>
      <c r="AS12" s="9" t="s">
        <v>148</v>
      </c>
      <c r="AT12" s="9" t="s">
        <v>34</v>
      </c>
      <c r="AU12" s="19" t="b">
        <v>0</v>
      </c>
      <c r="AV12" s="9" t="s">
        <v>162</v>
      </c>
      <c r="AW12" s="9" t="s">
        <v>161</v>
      </c>
      <c r="AX12" s="9" t="s">
        <v>161</v>
      </c>
      <c r="AY12" s="9" t="s">
        <v>163</v>
      </c>
      <c r="AZ12" s="19" t="b">
        <v>0</v>
      </c>
    </row>
    <row r="13" ht="69" customHeight="1" spans="1:52">
      <c r="A13" s="4" t="s">
        <v>995</v>
      </c>
      <c r="B13" s="9" t="s">
        <v>315</v>
      </c>
      <c r="C13" s="8" t="s">
        <v>29</v>
      </c>
      <c r="D13" s="17" t="s">
        <v>145</v>
      </c>
      <c r="E13" s="7" t="s">
        <v>945</v>
      </c>
      <c r="F13" s="7" t="s">
        <v>514</v>
      </c>
      <c r="G13" s="7" t="s">
        <v>946</v>
      </c>
      <c r="H13" s="7" t="s">
        <v>147</v>
      </c>
      <c r="I13" s="7" t="s">
        <v>148</v>
      </c>
      <c r="J13" s="7"/>
      <c r="K13" s="7" t="s">
        <v>149</v>
      </c>
      <c r="L13" s="7" t="s">
        <v>151</v>
      </c>
      <c r="M13" s="7" t="s">
        <v>150</v>
      </c>
      <c r="N13" s="7" t="s">
        <v>151</v>
      </c>
      <c r="O13" s="7" t="s">
        <v>150</v>
      </c>
      <c r="P13" s="7" t="s">
        <v>151</v>
      </c>
      <c r="Q13" s="7" t="s">
        <v>151</v>
      </c>
      <c r="R13" s="7"/>
      <c r="S13" s="7" t="s">
        <v>150</v>
      </c>
      <c r="T13" s="7" t="s">
        <v>512</v>
      </c>
      <c r="U13" s="7" t="s">
        <v>945</v>
      </c>
      <c r="V13" s="7" t="s">
        <v>996</v>
      </c>
      <c r="W13" s="7"/>
      <c r="X13" s="7"/>
      <c r="Y13" s="7" t="s">
        <v>154</v>
      </c>
      <c r="Z13" s="7" t="s">
        <v>513</v>
      </c>
      <c r="AA13" s="7" t="s">
        <v>156</v>
      </c>
      <c r="AB13" s="7" t="s">
        <v>992</v>
      </c>
      <c r="AC13" s="7" t="s">
        <v>993</v>
      </c>
      <c r="AD13" s="7" t="s">
        <v>154</v>
      </c>
      <c r="AE13" s="7"/>
      <c r="AF13" s="7" t="s">
        <v>950</v>
      </c>
      <c r="AG13" s="7" t="s">
        <v>637</v>
      </c>
      <c r="AH13" s="7" t="s">
        <v>34</v>
      </c>
      <c r="AI13" s="7" t="s">
        <v>147</v>
      </c>
      <c r="AJ13" s="7" t="s">
        <v>33</v>
      </c>
      <c r="AK13" s="7" t="s">
        <v>36</v>
      </c>
      <c r="AL13" s="7" t="s">
        <v>997</v>
      </c>
      <c r="AM13" s="7"/>
      <c r="AN13" s="7"/>
      <c r="AO13" s="13" t="s">
        <v>160</v>
      </c>
      <c r="AP13" s="9">
        <v>200</v>
      </c>
      <c r="AQ13" s="9">
        <v>1</v>
      </c>
      <c r="AR13" s="9" t="s">
        <v>161</v>
      </c>
      <c r="AS13" s="9" t="s">
        <v>148</v>
      </c>
      <c r="AT13" s="9" t="s">
        <v>34</v>
      </c>
      <c r="AU13" s="19" t="b">
        <v>0</v>
      </c>
      <c r="AV13" s="9" t="s">
        <v>162</v>
      </c>
      <c r="AW13" s="9" t="s">
        <v>161</v>
      </c>
      <c r="AX13" s="9" t="s">
        <v>161</v>
      </c>
      <c r="AY13" s="9" t="s">
        <v>163</v>
      </c>
      <c r="AZ13" s="19" t="b">
        <v>0</v>
      </c>
    </row>
    <row r="14" ht="69" customHeight="1" spans="1:52">
      <c r="A14" s="4" t="s">
        <v>998</v>
      </c>
      <c r="B14" s="9" t="s">
        <v>318</v>
      </c>
      <c r="C14" s="8" t="s">
        <v>29</v>
      </c>
      <c r="D14" s="17" t="s">
        <v>145</v>
      </c>
      <c r="E14" s="7" t="s">
        <v>945</v>
      </c>
      <c r="F14" s="7" t="s">
        <v>514</v>
      </c>
      <c r="G14" s="7" t="s">
        <v>946</v>
      </c>
      <c r="H14" s="7" t="s">
        <v>147</v>
      </c>
      <c r="I14" s="7" t="s">
        <v>148</v>
      </c>
      <c r="J14" s="7"/>
      <c r="K14" s="7" t="s">
        <v>149</v>
      </c>
      <c r="L14" s="7" t="s">
        <v>151</v>
      </c>
      <c r="M14" s="7" t="s">
        <v>150</v>
      </c>
      <c r="N14" s="7" t="s">
        <v>151</v>
      </c>
      <c r="O14" s="7" t="s">
        <v>150</v>
      </c>
      <c r="P14" s="7" t="s">
        <v>151</v>
      </c>
      <c r="Q14" s="7" t="s">
        <v>151</v>
      </c>
      <c r="R14" s="7"/>
      <c r="S14" s="7" t="s">
        <v>150</v>
      </c>
      <c r="T14" s="7" t="s">
        <v>512</v>
      </c>
      <c r="U14" s="7" t="s">
        <v>945</v>
      </c>
      <c r="V14" s="7" t="s">
        <v>999</v>
      </c>
      <c r="W14" s="7"/>
      <c r="X14" s="7"/>
      <c r="Y14" s="7" t="s">
        <v>154</v>
      </c>
      <c r="Z14" s="7" t="s">
        <v>513</v>
      </c>
      <c r="AA14" s="7" t="s">
        <v>156</v>
      </c>
      <c r="AB14" s="7" t="s">
        <v>992</v>
      </c>
      <c r="AC14" s="7" t="s">
        <v>993</v>
      </c>
      <c r="AD14" s="7" t="s">
        <v>969</v>
      </c>
      <c r="AE14" s="7"/>
      <c r="AF14" s="7" t="s">
        <v>950</v>
      </c>
      <c r="AG14" s="7" t="s">
        <v>637</v>
      </c>
      <c r="AH14" s="7" t="s">
        <v>34</v>
      </c>
      <c r="AI14" s="7" t="s">
        <v>147</v>
      </c>
      <c r="AJ14" s="7" t="s">
        <v>33</v>
      </c>
      <c r="AK14" s="7" t="s">
        <v>36</v>
      </c>
      <c r="AL14" s="7" t="s">
        <v>1000</v>
      </c>
      <c r="AM14" s="7"/>
      <c r="AN14" s="7"/>
      <c r="AO14" s="13" t="s">
        <v>160</v>
      </c>
      <c r="AP14" s="9">
        <v>200</v>
      </c>
      <c r="AQ14" s="9">
        <v>1</v>
      </c>
      <c r="AR14" s="9" t="s">
        <v>161</v>
      </c>
      <c r="AS14" s="9" t="s">
        <v>148</v>
      </c>
      <c r="AT14" s="9" t="s">
        <v>34</v>
      </c>
      <c r="AU14" s="19" t="b">
        <v>0</v>
      </c>
      <c r="AV14" s="9" t="s">
        <v>162</v>
      </c>
      <c r="AW14" s="9" t="s">
        <v>161</v>
      </c>
      <c r="AX14" s="9" t="s">
        <v>161</v>
      </c>
      <c r="AY14" s="9" t="s">
        <v>163</v>
      </c>
      <c r="AZ14" s="19" t="b">
        <v>0</v>
      </c>
    </row>
    <row r="15" ht="69" customHeight="1" spans="1:52">
      <c r="A15" s="4" t="s">
        <v>1001</v>
      </c>
      <c r="B15" s="9" t="s">
        <v>321</v>
      </c>
      <c r="C15" s="8" t="s">
        <v>29</v>
      </c>
      <c r="D15" s="17" t="s">
        <v>145</v>
      </c>
      <c r="E15" s="7" t="s">
        <v>945</v>
      </c>
      <c r="F15" s="7" t="s">
        <v>514</v>
      </c>
      <c r="G15" s="7" t="s">
        <v>946</v>
      </c>
      <c r="H15" s="7" t="s">
        <v>147</v>
      </c>
      <c r="I15" s="7" t="s">
        <v>148</v>
      </c>
      <c r="J15" s="7"/>
      <c r="K15" s="7" t="s">
        <v>149</v>
      </c>
      <c r="L15" s="7" t="s">
        <v>151</v>
      </c>
      <c r="M15" s="7" t="s">
        <v>150</v>
      </c>
      <c r="N15" s="7" t="s">
        <v>151</v>
      </c>
      <c r="O15" s="7" t="s">
        <v>150</v>
      </c>
      <c r="P15" s="7" t="s">
        <v>151</v>
      </c>
      <c r="Q15" s="7" t="s">
        <v>151</v>
      </c>
      <c r="R15" s="7"/>
      <c r="S15" s="7" t="s">
        <v>150</v>
      </c>
      <c r="T15" s="7" t="s">
        <v>512</v>
      </c>
      <c r="U15" s="7" t="s">
        <v>945</v>
      </c>
      <c r="V15" s="7" t="s">
        <v>1002</v>
      </c>
      <c r="W15" s="7"/>
      <c r="X15" s="7"/>
      <c r="Y15" s="7" t="s">
        <v>154</v>
      </c>
      <c r="Z15" s="7" t="s">
        <v>513</v>
      </c>
      <c r="AA15" s="7" t="s">
        <v>156</v>
      </c>
      <c r="AB15" s="7" t="s">
        <v>992</v>
      </c>
      <c r="AC15" s="7" t="s">
        <v>993</v>
      </c>
      <c r="AD15" s="7" t="s">
        <v>954</v>
      </c>
      <c r="AE15" s="7"/>
      <c r="AF15" s="7" t="s">
        <v>950</v>
      </c>
      <c r="AG15" s="7" t="s">
        <v>637</v>
      </c>
      <c r="AH15" s="7" t="s">
        <v>34</v>
      </c>
      <c r="AI15" s="7" t="s">
        <v>147</v>
      </c>
      <c r="AJ15" s="7" t="s">
        <v>33</v>
      </c>
      <c r="AK15" s="7" t="s">
        <v>36</v>
      </c>
      <c r="AL15" s="7" t="s">
        <v>1003</v>
      </c>
      <c r="AM15" s="7"/>
      <c r="AN15" s="7"/>
      <c r="AO15" s="13" t="s">
        <v>160</v>
      </c>
      <c r="AP15" s="9">
        <v>200</v>
      </c>
      <c r="AQ15" s="9">
        <v>1</v>
      </c>
      <c r="AR15" s="9" t="s">
        <v>161</v>
      </c>
      <c r="AS15" s="9" t="s">
        <v>148</v>
      </c>
      <c r="AT15" s="9" t="s">
        <v>34</v>
      </c>
      <c r="AU15" s="19" t="b">
        <v>0</v>
      </c>
      <c r="AV15" s="9" t="s">
        <v>162</v>
      </c>
      <c r="AW15" s="9" t="s">
        <v>161</v>
      </c>
      <c r="AX15" s="9" t="s">
        <v>161</v>
      </c>
      <c r="AY15" s="9" t="s">
        <v>163</v>
      </c>
      <c r="AZ15" s="19" t="b">
        <v>0</v>
      </c>
    </row>
    <row r="16" ht="69" customHeight="1" spans="1:52">
      <c r="A16" s="4" t="s">
        <v>1004</v>
      </c>
      <c r="B16" s="9" t="s">
        <v>324</v>
      </c>
      <c r="C16" s="8" t="s">
        <v>29</v>
      </c>
      <c r="D16" s="17" t="s">
        <v>145</v>
      </c>
      <c r="E16" s="7" t="s">
        <v>945</v>
      </c>
      <c r="F16" s="7" t="s">
        <v>514</v>
      </c>
      <c r="G16" s="7" t="s">
        <v>946</v>
      </c>
      <c r="H16" s="7" t="s">
        <v>147</v>
      </c>
      <c r="I16" s="7" t="s">
        <v>148</v>
      </c>
      <c r="J16" s="7"/>
      <c r="K16" s="7" t="s">
        <v>149</v>
      </c>
      <c r="L16" s="7" t="s">
        <v>151</v>
      </c>
      <c r="M16" s="7" t="s">
        <v>150</v>
      </c>
      <c r="N16" s="7" t="s">
        <v>151</v>
      </c>
      <c r="O16" s="7" t="s">
        <v>150</v>
      </c>
      <c r="P16" s="7" t="s">
        <v>151</v>
      </c>
      <c r="Q16" s="7" t="s">
        <v>151</v>
      </c>
      <c r="R16" s="7"/>
      <c r="S16" s="7" t="s">
        <v>150</v>
      </c>
      <c r="T16" s="7" t="s">
        <v>512</v>
      </c>
      <c r="U16" s="7" t="s">
        <v>945</v>
      </c>
      <c r="V16" s="7" t="s">
        <v>1005</v>
      </c>
      <c r="W16" s="7"/>
      <c r="X16" s="7"/>
      <c r="Y16" s="7" t="s">
        <v>154</v>
      </c>
      <c r="Z16" s="7" t="s">
        <v>513</v>
      </c>
      <c r="AA16" s="7" t="s">
        <v>156</v>
      </c>
      <c r="AB16" s="7" t="s">
        <v>1006</v>
      </c>
      <c r="AC16" s="7" t="s">
        <v>1007</v>
      </c>
      <c r="AD16" s="7" t="s">
        <v>151</v>
      </c>
      <c r="AE16" s="7"/>
      <c r="AF16" s="7" t="s">
        <v>950</v>
      </c>
      <c r="AG16" s="7" t="s">
        <v>637</v>
      </c>
      <c r="AH16" s="7" t="s">
        <v>34</v>
      </c>
      <c r="AI16" s="7" t="s">
        <v>147</v>
      </c>
      <c r="AJ16" s="7" t="s">
        <v>33</v>
      </c>
      <c r="AK16" s="7" t="s">
        <v>36</v>
      </c>
      <c r="AL16" s="7" t="s">
        <v>1008</v>
      </c>
      <c r="AM16" s="7"/>
      <c r="AN16" s="7"/>
      <c r="AO16" s="13" t="s">
        <v>160</v>
      </c>
      <c r="AP16" s="9">
        <v>200</v>
      </c>
      <c r="AQ16" s="9">
        <v>1</v>
      </c>
      <c r="AR16" s="9" t="s">
        <v>161</v>
      </c>
      <c r="AS16" s="9" t="s">
        <v>148</v>
      </c>
      <c r="AT16" s="9" t="s">
        <v>34</v>
      </c>
      <c r="AU16" s="19" t="b">
        <v>0</v>
      </c>
      <c r="AV16" s="9" t="s">
        <v>162</v>
      </c>
      <c r="AW16" s="9" t="s">
        <v>161</v>
      </c>
      <c r="AX16" s="9" t="s">
        <v>161</v>
      </c>
      <c r="AY16" s="9" t="s">
        <v>163</v>
      </c>
      <c r="AZ16" s="19" t="b">
        <v>0</v>
      </c>
    </row>
    <row r="17" ht="69" customHeight="1" spans="1:52">
      <c r="A17" s="4" t="s">
        <v>1009</v>
      </c>
      <c r="B17" s="10" t="s">
        <v>328</v>
      </c>
      <c r="C17" s="8" t="s">
        <v>29</v>
      </c>
      <c r="D17" s="17" t="s">
        <v>145</v>
      </c>
      <c r="E17" s="7" t="s">
        <v>945</v>
      </c>
      <c r="F17" s="7" t="s">
        <v>514</v>
      </c>
      <c r="G17" s="7" t="s">
        <v>946</v>
      </c>
      <c r="H17" s="7" t="s">
        <v>147</v>
      </c>
      <c r="I17" s="7" t="s">
        <v>148</v>
      </c>
      <c r="J17" s="7"/>
      <c r="K17" s="7" t="s">
        <v>149</v>
      </c>
      <c r="L17" s="7" t="s">
        <v>151</v>
      </c>
      <c r="M17" s="7" t="s">
        <v>150</v>
      </c>
      <c r="N17" s="7" t="s">
        <v>151</v>
      </c>
      <c r="O17" s="7" t="s">
        <v>150</v>
      </c>
      <c r="P17" s="7" t="s">
        <v>151</v>
      </c>
      <c r="Q17" s="7" t="s">
        <v>151</v>
      </c>
      <c r="R17" s="7"/>
      <c r="S17" s="7" t="s">
        <v>150</v>
      </c>
      <c r="T17" s="7" t="s">
        <v>512</v>
      </c>
      <c r="U17" s="7" t="s">
        <v>945</v>
      </c>
      <c r="V17" s="7" t="s">
        <v>1010</v>
      </c>
      <c r="W17" s="7"/>
      <c r="X17" s="7"/>
      <c r="Y17" s="7" t="s">
        <v>154</v>
      </c>
      <c r="Z17" s="7" t="s">
        <v>513</v>
      </c>
      <c r="AA17" s="7" t="s">
        <v>156</v>
      </c>
      <c r="AB17" s="7" t="s">
        <v>1006</v>
      </c>
      <c r="AC17" s="7" t="s">
        <v>1007</v>
      </c>
      <c r="AD17" s="7" t="s">
        <v>154</v>
      </c>
      <c r="AE17" s="7"/>
      <c r="AF17" s="7" t="s">
        <v>950</v>
      </c>
      <c r="AG17" s="7" t="s">
        <v>637</v>
      </c>
      <c r="AH17" s="7" t="s">
        <v>34</v>
      </c>
      <c r="AI17" s="7" t="s">
        <v>147</v>
      </c>
      <c r="AJ17" s="7" t="s">
        <v>33</v>
      </c>
      <c r="AK17" s="7" t="s">
        <v>36</v>
      </c>
      <c r="AL17" s="7" t="s">
        <v>1011</v>
      </c>
      <c r="AM17" s="7"/>
      <c r="AN17" s="7"/>
      <c r="AO17" s="13" t="s">
        <v>160</v>
      </c>
      <c r="AP17" s="9">
        <v>200</v>
      </c>
      <c r="AQ17" s="9">
        <v>1</v>
      </c>
      <c r="AR17" s="9" t="s">
        <v>161</v>
      </c>
      <c r="AS17" s="9" t="s">
        <v>148</v>
      </c>
      <c r="AT17" s="9" t="s">
        <v>34</v>
      </c>
      <c r="AU17" s="19" t="b">
        <v>0</v>
      </c>
      <c r="AV17" s="9" t="s">
        <v>162</v>
      </c>
      <c r="AW17" s="9" t="s">
        <v>161</v>
      </c>
      <c r="AX17" s="9" t="s">
        <v>161</v>
      </c>
      <c r="AY17" s="9" t="s">
        <v>163</v>
      </c>
      <c r="AZ17" s="19" t="b">
        <v>0</v>
      </c>
    </row>
    <row r="18" ht="69" customHeight="1" spans="1:52">
      <c r="A18" s="4" t="s">
        <v>1012</v>
      </c>
      <c r="B18" s="10" t="s">
        <v>330</v>
      </c>
      <c r="C18" s="8" t="s">
        <v>29</v>
      </c>
      <c r="D18" s="17" t="s">
        <v>145</v>
      </c>
      <c r="E18" s="7" t="s">
        <v>945</v>
      </c>
      <c r="F18" s="7" t="s">
        <v>514</v>
      </c>
      <c r="G18" s="7" t="s">
        <v>946</v>
      </c>
      <c r="H18" s="7" t="s">
        <v>147</v>
      </c>
      <c r="I18" s="7" t="s">
        <v>148</v>
      </c>
      <c r="J18" s="7"/>
      <c r="K18" s="7" t="s">
        <v>149</v>
      </c>
      <c r="L18" s="7" t="s">
        <v>151</v>
      </c>
      <c r="M18" s="7" t="s">
        <v>150</v>
      </c>
      <c r="N18" s="7" t="s">
        <v>151</v>
      </c>
      <c r="O18" s="7" t="s">
        <v>150</v>
      </c>
      <c r="P18" s="7" t="s">
        <v>151</v>
      </c>
      <c r="Q18" s="7" t="s">
        <v>151</v>
      </c>
      <c r="R18" s="7"/>
      <c r="S18" s="7" t="s">
        <v>150</v>
      </c>
      <c r="T18" s="7" t="s">
        <v>512</v>
      </c>
      <c r="U18" s="7" t="s">
        <v>945</v>
      </c>
      <c r="V18" s="7" t="s">
        <v>1013</v>
      </c>
      <c r="W18" s="7"/>
      <c r="X18" s="7"/>
      <c r="Y18" s="7" t="s">
        <v>154</v>
      </c>
      <c r="Z18" s="7" t="s">
        <v>513</v>
      </c>
      <c r="AA18" s="7" t="s">
        <v>156</v>
      </c>
      <c r="AB18" s="7" t="s">
        <v>1006</v>
      </c>
      <c r="AC18" s="7" t="s">
        <v>1007</v>
      </c>
      <c r="AD18" s="7" t="s">
        <v>969</v>
      </c>
      <c r="AE18" s="7"/>
      <c r="AF18" s="7" t="s">
        <v>950</v>
      </c>
      <c r="AG18" s="7" t="s">
        <v>637</v>
      </c>
      <c r="AH18" s="7" t="s">
        <v>34</v>
      </c>
      <c r="AI18" s="7" t="s">
        <v>147</v>
      </c>
      <c r="AJ18" s="7" t="s">
        <v>33</v>
      </c>
      <c r="AK18" s="7" t="s">
        <v>36</v>
      </c>
      <c r="AL18" s="7" t="s">
        <v>1014</v>
      </c>
      <c r="AM18" s="7"/>
      <c r="AN18" s="7"/>
      <c r="AO18" s="13" t="s">
        <v>160</v>
      </c>
      <c r="AP18" s="9">
        <v>200</v>
      </c>
      <c r="AQ18" s="9">
        <v>1</v>
      </c>
      <c r="AR18" s="9" t="s">
        <v>161</v>
      </c>
      <c r="AS18" s="9" t="s">
        <v>148</v>
      </c>
      <c r="AT18" s="9" t="s">
        <v>34</v>
      </c>
      <c r="AU18" s="19" t="b">
        <v>0</v>
      </c>
      <c r="AV18" s="9" t="s">
        <v>162</v>
      </c>
      <c r="AW18" s="9" t="s">
        <v>161</v>
      </c>
      <c r="AX18" s="9" t="s">
        <v>161</v>
      </c>
      <c r="AY18" s="9" t="s">
        <v>163</v>
      </c>
      <c r="AZ18" s="19" t="b">
        <v>0</v>
      </c>
    </row>
    <row r="19" ht="69" customHeight="1" spans="1:52">
      <c r="A19" s="4" t="s">
        <v>1015</v>
      </c>
      <c r="B19" s="10" t="s">
        <v>332</v>
      </c>
      <c r="C19" s="8" t="s">
        <v>29</v>
      </c>
      <c r="D19" s="17" t="s">
        <v>145</v>
      </c>
      <c r="E19" s="7" t="s">
        <v>945</v>
      </c>
      <c r="F19" s="7" t="s">
        <v>514</v>
      </c>
      <c r="G19" s="7" t="s">
        <v>946</v>
      </c>
      <c r="H19" s="7" t="s">
        <v>147</v>
      </c>
      <c r="I19" s="7" t="s">
        <v>148</v>
      </c>
      <c r="J19" s="7"/>
      <c r="K19" s="7" t="s">
        <v>149</v>
      </c>
      <c r="L19" s="7" t="s">
        <v>151</v>
      </c>
      <c r="M19" s="7" t="s">
        <v>150</v>
      </c>
      <c r="N19" s="7" t="s">
        <v>151</v>
      </c>
      <c r="O19" s="7" t="s">
        <v>150</v>
      </c>
      <c r="P19" s="7" t="s">
        <v>151</v>
      </c>
      <c r="Q19" s="7" t="s">
        <v>151</v>
      </c>
      <c r="R19" s="7"/>
      <c r="S19" s="7" t="s">
        <v>150</v>
      </c>
      <c r="T19" s="7" t="s">
        <v>512</v>
      </c>
      <c r="U19" s="7" t="s">
        <v>945</v>
      </c>
      <c r="V19" s="7" t="s">
        <v>1016</v>
      </c>
      <c r="W19" s="7"/>
      <c r="X19" s="7"/>
      <c r="Y19" s="7" t="s">
        <v>154</v>
      </c>
      <c r="Z19" s="7" t="s">
        <v>513</v>
      </c>
      <c r="AA19" s="7" t="s">
        <v>156</v>
      </c>
      <c r="AB19" s="7" t="s">
        <v>1006</v>
      </c>
      <c r="AC19" s="7" t="s">
        <v>1007</v>
      </c>
      <c r="AD19" s="7" t="s">
        <v>954</v>
      </c>
      <c r="AE19" s="7"/>
      <c r="AF19" s="7" t="s">
        <v>950</v>
      </c>
      <c r="AG19" s="7" t="s">
        <v>637</v>
      </c>
      <c r="AH19" s="7" t="s">
        <v>34</v>
      </c>
      <c r="AI19" s="7" t="s">
        <v>147</v>
      </c>
      <c r="AJ19" s="7" t="s">
        <v>33</v>
      </c>
      <c r="AK19" s="7" t="s">
        <v>36</v>
      </c>
      <c r="AL19" s="7" t="s">
        <v>1017</v>
      </c>
      <c r="AM19" s="7"/>
      <c r="AN19" s="7"/>
      <c r="AO19" s="13" t="s">
        <v>160</v>
      </c>
      <c r="AP19" s="9">
        <v>200</v>
      </c>
      <c r="AQ19" s="9">
        <v>1</v>
      </c>
      <c r="AR19" s="9" t="s">
        <v>161</v>
      </c>
      <c r="AS19" s="9" t="s">
        <v>148</v>
      </c>
      <c r="AT19" s="9" t="s">
        <v>34</v>
      </c>
      <c r="AU19" s="19" t="b">
        <v>0</v>
      </c>
      <c r="AV19" s="9" t="s">
        <v>162</v>
      </c>
      <c r="AW19" s="9" t="s">
        <v>161</v>
      </c>
      <c r="AX19" s="9" t="s">
        <v>161</v>
      </c>
      <c r="AY19" s="9" t="s">
        <v>163</v>
      </c>
      <c r="AZ19" s="19" t="b">
        <v>0</v>
      </c>
    </row>
    <row r="20" ht="69" customHeight="1" spans="1:52">
      <c r="A20" s="4" t="s">
        <v>1018</v>
      </c>
      <c r="B20" s="10" t="s">
        <v>333</v>
      </c>
      <c r="C20" s="8" t="s">
        <v>29</v>
      </c>
      <c r="D20" s="17" t="s">
        <v>145</v>
      </c>
      <c r="E20" s="7" t="s">
        <v>945</v>
      </c>
      <c r="F20" s="7" t="s">
        <v>514</v>
      </c>
      <c r="G20" s="7" t="s">
        <v>946</v>
      </c>
      <c r="H20" s="7" t="s">
        <v>147</v>
      </c>
      <c r="I20" s="7" t="s">
        <v>148</v>
      </c>
      <c r="J20" s="7"/>
      <c r="K20" s="7" t="s">
        <v>149</v>
      </c>
      <c r="L20" s="7" t="s">
        <v>151</v>
      </c>
      <c r="M20" s="7" t="s">
        <v>150</v>
      </c>
      <c r="N20" s="7" t="s">
        <v>151</v>
      </c>
      <c r="O20" s="7" t="s">
        <v>150</v>
      </c>
      <c r="P20" s="7" t="s">
        <v>151</v>
      </c>
      <c r="Q20" s="7" t="s">
        <v>151</v>
      </c>
      <c r="R20" s="7"/>
      <c r="S20" s="7" t="s">
        <v>150</v>
      </c>
      <c r="T20" s="7" t="s">
        <v>512</v>
      </c>
      <c r="U20" s="7" t="s">
        <v>945</v>
      </c>
      <c r="V20" s="7" t="s">
        <v>1019</v>
      </c>
      <c r="W20" s="7"/>
      <c r="X20" s="7"/>
      <c r="Y20" s="7" t="s">
        <v>154</v>
      </c>
      <c r="Z20" s="7" t="s">
        <v>513</v>
      </c>
      <c r="AA20" s="7" t="s">
        <v>156</v>
      </c>
      <c r="AB20" s="7" t="s">
        <v>1020</v>
      </c>
      <c r="AC20" s="7" t="s">
        <v>1021</v>
      </c>
      <c r="AD20" s="7" t="s">
        <v>151</v>
      </c>
      <c r="AE20" s="7"/>
      <c r="AF20" s="7" t="s">
        <v>950</v>
      </c>
      <c r="AG20" s="7" t="s">
        <v>637</v>
      </c>
      <c r="AH20" s="7" t="s">
        <v>34</v>
      </c>
      <c r="AI20" s="7" t="s">
        <v>147</v>
      </c>
      <c r="AJ20" s="7" t="s">
        <v>33</v>
      </c>
      <c r="AK20" s="7" t="s">
        <v>36</v>
      </c>
      <c r="AL20" s="7" t="s">
        <v>1022</v>
      </c>
      <c r="AM20" s="7"/>
      <c r="AN20" s="7"/>
      <c r="AO20" s="13" t="s">
        <v>160</v>
      </c>
      <c r="AP20" s="9">
        <v>200</v>
      </c>
      <c r="AQ20" s="9">
        <v>1</v>
      </c>
      <c r="AR20" s="9" t="s">
        <v>161</v>
      </c>
      <c r="AS20" s="9" t="s">
        <v>148</v>
      </c>
      <c r="AT20" s="9" t="s">
        <v>34</v>
      </c>
      <c r="AU20" s="19" t="b">
        <v>0</v>
      </c>
      <c r="AV20" s="9" t="s">
        <v>162</v>
      </c>
      <c r="AW20" s="9" t="s">
        <v>161</v>
      </c>
      <c r="AX20" s="9" t="s">
        <v>161</v>
      </c>
      <c r="AY20" s="9" t="s">
        <v>163</v>
      </c>
      <c r="AZ20" s="19" t="b">
        <v>0</v>
      </c>
    </row>
    <row r="21" ht="69" customHeight="1" spans="1:52">
      <c r="A21" s="4" t="s">
        <v>1023</v>
      </c>
      <c r="B21" s="10" t="s">
        <v>337</v>
      </c>
      <c r="C21" s="8" t="s">
        <v>29</v>
      </c>
      <c r="D21" s="17" t="s">
        <v>145</v>
      </c>
      <c r="E21" s="7" t="s">
        <v>945</v>
      </c>
      <c r="F21" s="7" t="s">
        <v>514</v>
      </c>
      <c r="G21" s="7" t="s">
        <v>946</v>
      </c>
      <c r="H21" s="7" t="s">
        <v>147</v>
      </c>
      <c r="I21" s="7" t="s">
        <v>148</v>
      </c>
      <c r="J21" s="7"/>
      <c r="K21" s="7" t="s">
        <v>149</v>
      </c>
      <c r="L21" s="7" t="s">
        <v>151</v>
      </c>
      <c r="M21" s="7" t="s">
        <v>150</v>
      </c>
      <c r="N21" s="7" t="s">
        <v>151</v>
      </c>
      <c r="O21" s="7" t="s">
        <v>150</v>
      </c>
      <c r="P21" s="7" t="s">
        <v>151</v>
      </c>
      <c r="Q21" s="7" t="s">
        <v>151</v>
      </c>
      <c r="R21" s="7"/>
      <c r="S21" s="7" t="s">
        <v>150</v>
      </c>
      <c r="T21" s="7" t="s">
        <v>512</v>
      </c>
      <c r="U21" s="7" t="s">
        <v>945</v>
      </c>
      <c r="V21" s="7" t="s">
        <v>1024</v>
      </c>
      <c r="W21" s="7"/>
      <c r="X21" s="7"/>
      <c r="Y21" s="7" t="s">
        <v>154</v>
      </c>
      <c r="Z21" s="7" t="s">
        <v>513</v>
      </c>
      <c r="AA21" s="7" t="s">
        <v>156</v>
      </c>
      <c r="AB21" s="7" t="s">
        <v>1020</v>
      </c>
      <c r="AC21" s="7" t="s">
        <v>1021</v>
      </c>
      <c r="AD21" s="7" t="s">
        <v>154</v>
      </c>
      <c r="AE21" s="7"/>
      <c r="AF21" s="7" t="s">
        <v>950</v>
      </c>
      <c r="AG21" s="7" t="s">
        <v>637</v>
      </c>
      <c r="AH21" s="7" t="s">
        <v>34</v>
      </c>
      <c r="AI21" s="7" t="s">
        <v>147</v>
      </c>
      <c r="AJ21" s="7" t="s">
        <v>33</v>
      </c>
      <c r="AK21" s="7" t="s">
        <v>36</v>
      </c>
      <c r="AL21" s="7" t="s">
        <v>1025</v>
      </c>
      <c r="AM21" s="7"/>
      <c r="AN21" s="7"/>
      <c r="AO21" s="13" t="s">
        <v>160</v>
      </c>
      <c r="AP21" s="9">
        <v>200</v>
      </c>
      <c r="AQ21" s="9">
        <v>1</v>
      </c>
      <c r="AR21" s="9" t="s">
        <v>161</v>
      </c>
      <c r="AS21" s="9" t="s">
        <v>148</v>
      </c>
      <c r="AT21" s="9" t="s">
        <v>34</v>
      </c>
      <c r="AU21" s="19" t="b">
        <v>0</v>
      </c>
      <c r="AV21" s="9" t="s">
        <v>162</v>
      </c>
      <c r="AW21" s="9" t="s">
        <v>161</v>
      </c>
      <c r="AX21" s="9" t="s">
        <v>161</v>
      </c>
      <c r="AY21" s="9" t="s">
        <v>163</v>
      </c>
      <c r="AZ21" s="19" t="b">
        <v>0</v>
      </c>
    </row>
    <row r="22" ht="69" customHeight="1" spans="1:52">
      <c r="A22" s="4" t="s">
        <v>1026</v>
      </c>
      <c r="B22" s="4" t="s">
        <v>1027</v>
      </c>
      <c r="C22" s="11" t="s">
        <v>596</v>
      </c>
      <c r="D22" s="17" t="s">
        <v>145</v>
      </c>
      <c r="E22" s="7" t="s">
        <v>945</v>
      </c>
      <c r="F22" s="7" t="s">
        <v>514</v>
      </c>
      <c r="G22" s="7" t="s">
        <v>946</v>
      </c>
      <c r="H22" s="7" t="s">
        <v>147</v>
      </c>
      <c r="I22" s="7" t="s">
        <v>148</v>
      </c>
      <c r="J22" s="7"/>
      <c r="K22" s="7" t="s">
        <v>149</v>
      </c>
      <c r="L22" s="7" t="s">
        <v>151</v>
      </c>
      <c r="M22" s="7" t="s">
        <v>150</v>
      </c>
      <c r="N22" s="7" t="s">
        <v>151</v>
      </c>
      <c r="O22" s="7" t="s">
        <v>150</v>
      </c>
      <c r="P22" s="7" t="s">
        <v>151</v>
      </c>
      <c r="Q22" s="7" t="s">
        <v>151</v>
      </c>
      <c r="R22" s="7"/>
      <c r="S22" s="7" t="s">
        <v>150</v>
      </c>
      <c r="T22" s="7" t="s">
        <v>512</v>
      </c>
      <c r="U22" s="7" t="s">
        <v>945</v>
      </c>
      <c r="V22" s="7"/>
      <c r="W22" s="7"/>
      <c r="X22" s="7"/>
      <c r="Y22" s="7" t="s">
        <v>154</v>
      </c>
      <c r="Z22" s="7" t="s">
        <v>513</v>
      </c>
      <c r="AA22" s="7" t="s">
        <v>156</v>
      </c>
      <c r="AB22" s="7" t="s">
        <v>948</v>
      </c>
      <c r="AC22" s="7" t="s">
        <v>949</v>
      </c>
      <c r="AD22" s="7" t="s">
        <v>954</v>
      </c>
      <c r="AE22" s="7"/>
      <c r="AF22" s="7" t="s">
        <v>950</v>
      </c>
      <c r="AG22" s="7" t="s">
        <v>637</v>
      </c>
      <c r="AH22" s="7" t="s">
        <v>34</v>
      </c>
      <c r="AI22" s="7" t="s">
        <v>147</v>
      </c>
      <c r="AJ22" s="7"/>
      <c r="AK22" s="7" t="s">
        <v>36</v>
      </c>
      <c r="AL22" s="7" t="s">
        <v>36</v>
      </c>
      <c r="AM22" s="7"/>
      <c r="AN22" s="7"/>
      <c r="AO22" s="13" t="s">
        <v>1028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1029</v>
      </c>
      <c r="B23" s="4" t="s">
        <v>1030</v>
      </c>
      <c r="C23" s="11" t="s">
        <v>596</v>
      </c>
      <c r="D23" s="17" t="s">
        <v>145</v>
      </c>
      <c r="E23" s="7" t="s">
        <v>945</v>
      </c>
      <c r="F23" s="7" t="s">
        <v>514</v>
      </c>
      <c r="G23" s="7" t="s">
        <v>946</v>
      </c>
      <c r="H23" s="7" t="s">
        <v>147</v>
      </c>
      <c r="I23" s="7" t="s">
        <v>148</v>
      </c>
      <c r="J23" s="7"/>
      <c r="K23" s="7" t="s">
        <v>149</v>
      </c>
      <c r="L23" s="7" t="s">
        <v>151</v>
      </c>
      <c r="M23" s="7" t="s">
        <v>150</v>
      </c>
      <c r="N23" s="7" t="s">
        <v>151</v>
      </c>
      <c r="O23" s="7" t="s">
        <v>150</v>
      </c>
      <c r="P23" s="7" t="s">
        <v>151</v>
      </c>
      <c r="Q23" s="7" t="s">
        <v>151</v>
      </c>
      <c r="R23" s="7"/>
      <c r="S23" s="7" t="s">
        <v>150</v>
      </c>
      <c r="T23" s="7" t="s">
        <v>512</v>
      </c>
      <c r="U23" s="7" t="s">
        <v>945</v>
      </c>
      <c r="V23" s="7"/>
      <c r="W23" s="7"/>
      <c r="X23" s="7"/>
      <c r="Y23" s="7" t="s">
        <v>154</v>
      </c>
      <c r="Z23" s="7" t="s">
        <v>513</v>
      </c>
      <c r="AA23" s="7" t="s">
        <v>156</v>
      </c>
      <c r="AB23" s="7" t="s">
        <v>948</v>
      </c>
      <c r="AC23" s="7" t="s">
        <v>949</v>
      </c>
      <c r="AD23" s="7" t="s">
        <v>1031</v>
      </c>
      <c r="AE23" s="7"/>
      <c r="AF23" s="7" t="s">
        <v>950</v>
      </c>
      <c r="AG23" s="7" t="s">
        <v>637</v>
      </c>
      <c r="AH23" s="7" t="s">
        <v>34</v>
      </c>
      <c r="AI23" s="7" t="s">
        <v>147</v>
      </c>
      <c r="AJ23" s="7" t="s">
        <v>1032</v>
      </c>
      <c r="AK23" s="7" t="s">
        <v>36</v>
      </c>
      <c r="AL23" s="7" t="s">
        <v>36</v>
      </c>
      <c r="AM23" s="7"/>
      <c r="AN23" s="7"/>
      <c r="AO23" s="13" t="s">
        <v>1028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1033</v>
      </c>
      <c r="B24" s="4" t="s">
        <v>1034</v>
      </c>
      <c r="C24" s="11" t="s">
        <v>596</v>
      </c>
      <c r="D24" s="17" t="s">
        <v>145</v>
      </c>
      <c r="E24" s="7" t="s">
        <v>945</v>
      </c>
      <c r="F24" s="7" t="s">
        <v>514</v>
      </c>
      <c r="G24" s="7" t="s">
        <v>946</v>
      </c>
      <c r="H24" s="7" t="s">
        <v>147</v>
      </c>
      <c r="I24" s="7" t="s">
        <v>148</v>
      </c>
      <c r="J24" s="7"/>
      <c r="K24" s="7" t="s">
        <v>149</v>
      </c>
      <c r="L24" s="7" t="s">
        <v>151</v>
      </c>
      <c r="M24" s="7" t="s">
        <v>150</v>
      </c>
      <c r="N24" s="7" t="s">
        <v>151</v>
      </c>
      <c r="O24" s="7" t="s">
        <v>150</v>
      </c>
      <c r="P24" s="7" t="s">
        <v>151</v>
      </c>
      <c r="Q24" s="7" t="s">
        <v>151</v>
      </c>
      <c r="R24" s="7"/>
      <c r="S24" s="7" t="s">
        <v>150</v>
      </c>
      <c r="T24" s="7" t="s">
        <v>512</v>
      </c>
      <c r="U24" s="7" t="s">
        <v>945</v>
      </c>
      <c r="V24" s="7"/>
      <c r="W24" s="7"/>
      <c r="X24" s="7"/>
      <c r="Y24" s="7" t="s">
        <v>154</v>
      </c>
      <c r="Z24" s="7" t="s">
        <v>513</v>
      </c>
      <c r="AA24" s="7" t="s">
        <v>156</v>
      </c>
      <c r="AB24" s="7" t="s">
        <v>948</v>
      </c>
      <c r="AC24" s="7" t="s">
        <v>949</v>
      </c>
      <c r="AD24" s="7" t="s">
        <v>1035</v>
      </c>
      <c r="AE24" s="7"/>
      <c r="AF24" s="7" t="s">
        <v>950</v>
      </c>
      <c r="AG24" s="7" t="s">
        <v>637</v>
      </c>
      <c r="AH24" s="7" t="s">
        <v>1036</v>
      </c>
      <c r="AI24" s="7" t="s">
        <v>147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1028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546</v>
      </c>
      <c r="E1" s="3" t="s">
        <v>4</v>
      </c>
      <c r="F1" s="3" t="s">
        <v>5</v>
      </c>
      <c r="G1" s="3" t="s">
        <v>551</v>
      </c>
      <c r="H1" s="3" t="s">
        <v>547</v>
      </c>
      <c r="I1" s="3" t="s">
        <v>895</v>
      </c>
      <c r="J1" s="3" t="s">
        <v>896</v>
      </c>
      <c r="K1" s="3" t="s">
        <v>624</v>
      </c>
      <c r="L1" s="3" t="s">
        <v>897</v>
      </c>
      <c r="M1" s="3" t="s">
        <v>898</v>
      </c>
      <c r="N1" s="3" t="s">
        <v>899</v>
      </c>
      <c r="O1" s="3" t="s">
        <v>900</v>
      </c>
      <c r="P1" s="3" t="s">
        <v>901</v>
      </c>
      <c r="Q1" s="3" t="s">
        <v>550</v>
      </c>
      <c r="R1" s="3" t="s">
        <v>902</v>
      </c>
      <c r="S1" s="3" t="s">
        <v>903</v>
      </c>
      <c r="T1" s="3" t="s">
        <v>904</v>
      </c>
      <c r="U1" s="3" t="s">
        <v>548</v>
      </c>
      <c r="V1" s="3" t="s">
        <v>549</v>
      </c>
      <c r="W1" s="3" t="s">
        <v>905</v>
      </c>
      <c r="X1" s="3" t="s">
        <v>544</v>
      </c>
      <c r="Y1" s="3" t="s">
        <v>545</v>
      </c>
      <c r="Z1" s="3" t="s">
        <v>543</v>
      </c>
      <c r="AA1" s="3" t="s">
        <v>542</v>
      </c>
      <c r="AB1" s="3" t="s">
        <v>541</v>
      </c>
      <c r="AC1" s="3" t="s">
        <v>540</v>
      </c>
      <c r="AD1" s="3" t="s">
        <v>906</v>
      </c>
      <c r="AE1" s="3" t="s">
        <v>907</v>
      </c>
      <c r="AF1" s="3" t="s">
        <v>626</v>
      </c>
      <c r="AG1" s="3" t="s">
        <v>625</v>
      </c>
      <c r="AH1" s="3" t="s">
        <v>908</v>
      </c>
      <c r="AI1" s="3" t="s">
        <v>554</v>
      </c>
      <c r="AJ1" s="3" t="s">
        <v>909</v>
      </c>
      <c r="AK1" s="3" t="s">
        <v>910</v>
      </c>
      <c r="AL1" s="3" t="s">
        <v>628</v>
      </c>
      <c r="AM1" s="3" t="s">
        <v>627</v>
      </c>
      <c r="AN1" s="12" t="s">
        <v>15</v>
      </c>
      <c r="AO1" s="12" t="s">
        <v>1037</v>
      </c>
      <c r="AP1" s="15" t="s">
        <v>1038</v>
      </c>
      <c r="AQ1" s="15" t="s">
        <v>1039</v>
      </c>
      <c r="AR1" s="15" t="s">
        <v>1040</v>
      </c>
    </row>
    <row r="2" s="1" customFormat="1" ht="50" customHeight="1" spans="1:44">
      <c r="A2" s="4" t="s">
        <v>943</v>
      </c>
      <c r="B2" s="5" t="s">
        <v>944</v>
      </c>
      <c r="C2" s="6" t="s">
        <v>29</v>
      </c>
      <c r="D2" s="7" t="s">
        <v>945</v>
      </c>
      <c r="E2" s="7" t="s">
        <v>514</v>
      </c>
      <c r="F2" s="7" t="s">
        <v>946</v>
      </c>
      <c r="G2" s="7" t="s">
        <v>147</v>
      </c>
      <c r="H2" s="7" t="s">
        <v>148</v>
      </c>
      <c r="I2" s="7"/>
      <c r="J2" s="7" t="s">
        <v>149</v>
      </c>
      <c r="K2" s="7" t="s">
        <v>151</v>
      </c>
      <c r="L2" s="7" t="s">
        <v>150</v>
      </c>
      <c r="M2" s="7" t="s">
        <v>151</v>
      </c>
      <c r="N2" s="7" t="s">
        <v>150</v>
      </c>
      <c r="O2" s="7" t="s">
        <v>151</v>
      </c>
      <c r="P2" s="7" t="s">
        <v>151</v>
      </c>
      <c r="Q2" s="7"/>
      <c r="R2" s="7" t="s">
        <v>150</v>
      </c>
      <c r="S2" s="7" t="s">
        <v>512</v>
      </c>
      <c r="T2" s="7" t="s">
        <v>945</v>
      </c>
      <c r="U2" s="7" t="s">
        <v>947</v>
      </c>
      <c r="V2" s="7"/>
      <c r="W2" s="7"/>
      <c r="X2" s="7" t="s">
        <v>154</v>
      </c>
      <c r="Y2" s="7" t="s">
        <v>513</v>
      </c>
      <c r="Z2" s="7" t="s">
        <v>156</v>
      </c>
      <c r="AA2" s="7" t="s">
        <v>948</v>
      </c>
      <c r="AB2" s="7" t="s">
        <v>949</v>
      </c>
      <c r="AC2" s="7" t="s">
        <v>151</v>
      </c>
      <c r="AD2" s="7"/>
      <c r="AE2" s="7" t="s">
        <v>950</v>
      </c>
      <c r="AF2" s="7" t="s">
        <v>637</v>
      </c>
      <c r="AG2" s="7" t="s">
        <v>34</v>
      </c>
      <c r="AH2" s="7" t="s">
        <v>147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1041</v>
      </c>
      <c r="AO2" s="13" t="s">
        <v>1042</v>
      </c>
      <c r="AP2" s="1" t="s">
        <v>1043</v>
      </c>
      <c r="AQ2" s="1" t="s">
        <v>162</v>
      </c>
      <c r="AR2" s="1" t="s">
        <v>162</v>
      </c>
    </row>
    <row r="3" s="1" customFormat="1" ht="69" customHeight="1" spans="1:44">
      <c r="A3" s="4" t="s">
        <v>951</v>
      </c>
      <c r="B3" s="5" t="s">
        <v>952</v>
      </c>
      <c r="C3" s="8" t="s">
        <v>29</v>
      </c>
      <c r="D3" s="7" t="s">
        <v>945</v>
      </c>
      <c r="E3" s="7" t="s">
        <v>514</v>
      </c>
      <c r="F3" s="7" t="s">
        <v>946</v>
      </c>
      <c r="G3" s="7" t="s">
        <v>147</v>
      </c>
      <c r="H3" s="7" t="s">
        <v>148</v>
      </c>
      <c r="I3" s="7"/>
      <c r="J3" s="7" t="s">
        <v>149</v>
      </c>
      <c r="K3" s="7" t="s">
        <v>151</v>
      </c>
      <c r="L3" s="7" t="s">
        <v>150</v>
      </c>
      <c r="M3" s="7" t="s">
        <v>151</v>
      </c>
      <c r="N3" s="7" t="s">
        <v>150</v>
      </c>
      <c r="O3" s="7" t="s">
        <v>151</v>
      </c>
      <c r="P3" s="7" t="s">
        <v>151</v>
      </c>
      <c r="Q3" s="7"/>
      <c r="R3" s="7" t="s">
        <v>150</v>
      </c>
      <c r="S3" s="7" t="s">
        <v>512</v>
      </c>
      <c r="T3" s="7" t="s">
        <v>945</v>
      </c>
      <c r="U3" s="7" t="s">
        <v>953</v>
      </c>
      <c r="V3" s="7"/>
      <c r="W3" s="7"/>
      <c r="X3" s="7" t="s">
        <v>154</v>
      </c>
      <c r="Y3" s="7" t="s">
        <v>513</v>
      </c>
      <c r="Z3" s="7" t="s">
        <v>156</v>
      </c>
      <c r="AA3" s="7" t="s">
        <v>948</v>
      </c>
      <c r="AB3" s="7" t="s">
        <v>949</v>
      </c>
      <c r="AC3" s="7" t="s">
        <v>954</v>
      </c>
      <c r="AD3" s="7"/>
      <c r="AE3" s="7" t="s">
        <v>950</v>
      </c>
      <c r="AF3" s="7" t="s">
        <v>637</v>
      </c>
      <c r="AG3" s="7" t="s">
        <v>955</v>
      </c>
      <c r="AH3" s="7" t="s">
        <v>147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1044</v>
      </c>
      <c r="AO3" s="13" t="s">
        <v>1042</v>
      </c>
      <c r="AP3" s="1" t="s">
        <v>1043</v>
      </c>
      <c r="AQ3" s="1" t="s">
        <v>162</v>
      </c>
      <c r="AR3" s="1" t="s">
        <v>162</v>
      </c>
    </row>
    <row r="4" s="1" customFormat="1" ht="69" customHeight="1" spans="1:44">
      <c r="A4" s="4" t="s">
        <v>956</v>
      </c>
      <c r="B4" s="9" t="s">
        <v>957</v>
      </c>
      <c r="C4" s="8" t="s">
        <v>29</v>
      </c>
      <c r="D4" s="7" t="s">
        <v>945</v>
      </c>
      <c r="E4" s="7" t="s">
        <v>514</v>
      </c>
      <c r="F4" s="7" t="s">
        <v>946</v>
      </c>
      <c r="G4" s="7" t="s">
        <v>147</v>
      </c>
      <c r="H4" s="7" t="s">
        <v>148</v>
      </c>
      <c r="I4" s="7"/>
      <c r="J4" s="7" t="s">
        <v>149</v>
      </c>
      <c r="K4" s="7" t="s">
        <v>151</v>
      </c>
      <c r="L4" s="7" t="s">
        <v>150</v>
      </c>
      <c r="M4" s="7" t="s">
        <v>151</v>
      </c>
      <c r="N4" s="7" t="s">
        <v>150</v>
      </c>
      <c r="O4" s="7" t="s">
        <v>151</v>
      </c>
      <c r="P4" s="7" t="s">
        <v>151</v>
      </c>
      <c r="Q4" s="7"/>
      <c r="R4" s="7" t="s">
        <v>150</v>
      </c>
      <c r="S4" s="7" t="s">
        <v>512</v>
      </c>
      <c r="T4" s="7" t="s">
        <v>945</v>
      </c>
      <c r="U4" s="7" t="s">
        <v>958</v>
      </c>
      <c r="V4" s="7" t="s">
        <v>959</v>
      </c>
      <c r="W4" s="7" t="s">
        <v>959</v>
      </c>
      <c r="X4" s="7" t="s">
        <v>154</v>
      </c>
      <c r="Y4" s="7" t="s">
        <v>513</v>
      </c>
      <c r="Z4" s="7" t="s">
        <v>156</v>
      </c>
      <c r="AA4" s="7" t="s">
        <v>960</v>
      </c>
      <c r="AB4" s="7" t="s">
        <v>961</v>
      </c>
      <c r="AC4" s="7" t="s">
        <v>151</v>
      </c>
      <c r="AD4" s="7"/>
      <c r="AE4" s="7" t="s">
        <v>950</v>
      </c>
      <c r="AF4" s="7" t="s">
        <v>637</v>
      </c>
      <c r="AG4" s="7" t="s">
        <v>34</v>
      </c>
      <c r="AH4" s="7" t="s">
        <v>147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1045</v>
      </c>
      <c r="AO4" s="13" t="s">
        <v>1042</v>
      </c>
      <c r="AP4" s="1" t="s">
        <v>1043</v>
      </c>
      <c r="AQ4" s="1" t="s">
        <v>162</v>
      </c>
      <c r="AR4" s="1" t="s">
        <v>162</v>
      </c>
    </row>
    <row r="5" s="1" customFormat="1" ht="69" customHeight="1" spans="1:44">
      <c r="A5" s="4" t="s">
        <v>962</v>
      </c>
      <c r="B5" s="9" t="s">
        <v>963</v>
      </c>
      <c r="C5" s="8" t="s">
        <v>29</v>
      </c>
      <c r="D5" s="7" t="s">
        <v>945</v>
      </c>
      <c r="E5" s="7" t="s">
        <v>514</v>
      </c>
      <c r="F5" s="7" t="s">
        <v>946</v>
      </c>
      <c r="G5" s="7" t="s">
        <v>147</v>
      </c>
      <c r="H5" s="7" t="s">
        <v>148</v>
      </c>
      <c r="I5" s="7"/>
      <c r="J5" s="7" t="s">
        <v>149</v>
      </c>
      <c r="K5" s="7" t="s">
        <v>151</v>
      </c>
      <c r="L5" s="7" t="s">
        <v>150</v>
      </c>
      <c r="M5" s="7" t="s">
        <v>151</v>
      </c>
      <c r="N5" s="7" t="s">
        <v>150</v>
      </c>
      <c r="O5" s="7" t="s">
        <v>151</v>
      </c>
      <c r="P5" s="7" t="s">
        <v>151</v>
      </c>
      <c r="Q5" s="7"/>
      <c r="R5" s="7" t="s">
        <v>150</v>
      </c>
      <c r="S5" s="7" t="s">
        <v>512</v>
      </c>
      <c r="T5" s="7" t="s">
        <v>945</v>
      </c>
      <c r="U5" s="7" t="s">
        <v>964</v>
      </c>
      <c r="V5" s="7" t="s">
        <v>965</v>
      </c>
      <c r="W5" s="7" t="s">
        <v>965</v>
      </c>
      <c r="X5" s="7" t="s">
        <v>154</v>
      </c>
      <c r="Y5" s="7" t="s">
        <v>513</v>
      </c>
      <c r="Z5" s="7" t="s">
        <v>156</v>
      </c>
      <c r="AA5" s="7" t="s">
        <v>960</v>
      </c>
      <c r="AB5" s="7" t="s">
        <v>961</v>
      </c>
      <c r="AC5" s="7" t="s">
        <v>154</v>
      </c>
      <c r="AD5" s="7"/>
      <c r="AE5" s="7" t="s">
        <v>950</v>
      </c>
      <c r="AF5" s="7" t="s">
        <v>637</v>
      </c>
      <c r="AG5" s="7" t="s">
        <v>955</v>
      </c>
      <c r="AH5" s="7" t="s">
        <v>147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1045</v>
      </c>
      <c r="AO5" s="13" t="s">
        <v>1042</v>
      </c>
      <c r="AP5" s="1" t="s">
        <v>1043</v>
      </c>
      <c r="AQ5" s="1" t="s">
        <v>162</v>
      </c>
      <c r="AR5" s="1" t="s">
        <v>162</v>
      </c>
    </row>
    <row r="6" s="1" customFormat="1" ht="69" customHeight="1" spans="1:44">
      <c r="A6" s="4" t="s">
        <v>966</v>
      </c>
      <c r="B6" s="10" t="s">
        <v>967</v>
      </c>
      <c r="C6" s="8" t="s">
        <v>29</v>
      </c>
      <c r="D6" s="7" t="s">
        <v>945</v>
      </c>
      <c r="E6" s="7" t="s">
        <v>514</v>
      </c>
      <c r="F6" s="7" t="s">
        <v>946</v>
      </c>
      <c r="G6" s="7" t="s">
        <v>147</v>
      </c>
      <c r="H6" s="7" t="s">
        <v>148</v>
      </c>
      <c r="I6" s="7"/>
      <c r="J6" s="7" t="s">
        <v>149</v>
      </c>
      <c r="K6" s="7" t="s">
        <v>151</v>
      </c>
      <c r="L6" s="7" t="s">
        <v>150</v>
      </c>
      <c r="M6" s="7" t="s">
        <v>151</v>
      </c>
      <c r="N6" s="7" t="s">
        <v>150</v>
      </c>
      <c r="O6" s="7" t="s">
        <v>151</v>
      </c>
      <c r="P6" s="7" t="s">
        <v>151</v>
      </c>
      <c r="Q6" s="7"/>
      <c r="R6" s="7" t="s">
        <v>150</v>
      </c>
      <c r="S6" s="7" t="s">
        <v>512</v>
      </c>
      <c r="T6" s="7" t="s">
        <v>945</v>
      </c>
      <c r="U6" s="7" t="s">
        <v>968</v>
      </c>
      <c r="V6" s="7"/>
      <c r="W6" s="7"/>
      <c r="X6" s="7" t="s">
        <v>154</v>
      </c>
      <c r="Y6" s="7" t="s">
        <v>513</v>
      </c>
      <c r="Z6" s="7" t="s">
        <v>156</v>
      </c>
      <c r="AA6" s="7" t="s">
        <v>960</v>
      </c>
      <c r="AB6" s="7" t="s">
        <v>961</v>
      </c>
      <c r="AC6" s="7" t="s">
        <v>969</v>
      </c>
      <c r="AD6" s="7"/>
      <c r="AE6" s="7" t="s">
        <v>950</v>
      </c>
      <c r="AF6" s="7" t="s">
        <v>637</v>
      </c>
      <c r="AG6" s="7" t="s">
        <v>34</v>
      </c>
      <c r="AH6" s="7" t="s">
        <v>147</v>
      </c>
      <c r="AI6" s="7" t="s">
        <v>33</v>
      </c>
      <c r="AJ6" s="7" t="s">
        <v>36</v>
      </c>
      <c r="AK6" s="7" t="s">
        <v>970</v>
      </c>
      <c r="AL6" s="7"/>
      <c r="AM6" s="7"/>
      <c r="AN6" s="14" t="s">
        <v>1046</v>
      </c>
      <c r="AO6" s="13" t="s">
        <v>1042</v>
      </c>
      <c r="AP6" s="1" t="s">
        <v>1043</v>
      </c>
      <c r="AQ6" s="1" t="s">
        <v>162</v>
      </c>
      <c r="AR6" s="1" t="s">
        <v>162</v>
      </c>
    </row>
    <row r="7" s="1" customFormat="1" ht="69" customHeight="1" spans="1:44">
      <c r="A7" s="4" t="s">
        <v>971</v>
      </c>
      <c r="B7" s="10" t="s">
        <v>972</v>
      </c>
      <c r="C7" s="8" t="s">
        <v>29</v>
      </c>
      <c r="D7" s="7" t="s">
        <v>945</v>
      </c>
      <c r="E7" s="7" t="s">
        <v>514</v>
      </c>
      <c r="F7" s="7" t="s">
        <v>946</v>
      </c>
      <c r="G7" s="7" t="s">
        <v>147</v>
      </c>
      <c r="H7" s="7" t="s">
        <v>148</v>
      </c>
      <c r="I7" s="7"/>
      <c r="J7" s="7" t="s">
        <v>149</v>
      </c>
      <c r="K7" s="7" t="s">
        <v>151</v>
      </c>
      <c r="L7" s="7" t="s">
        <v>150</v>
      </c>
      <c r="M7" s="7" t="s">
        <v>151</v>
      </c>
      <c r="N7" s="7" t="s">
        <v>150</v>
      </c>
      <c r="O7" s="7" t="s">
        <v>151</v>
      </c>
      <c r="P7" s="7" t="s">
        <v>151</v>
      </c>
      <c r="Q7" s="7"/>
      <c r="R7" s="7" t="s">
        <v>150</v>
      </c>
      <c r="S7" s="7" t="s">
        <v>512</v>
      </c>
      <c r="T7" s="7" t="s">
        <v>945</v>
      </c>
      <c r="U7" s="7" t="s">
        <v>973</v>
      </c>
      <c r="V7" s="7"/>
      <c r="W7" s="7"/>
      <c r="X7" s="7" t="s">
        <v>154</v>
      </c>
      <c r="Y7" s="7" t="s">
        <v>513</v>
      </c>
      <c r="Z7" s="7" t="s">
        <v>156</v>
      </c>
      <c r="AA7" s="7" t="s">
        <v>960</v>
      </c>
      <c r="AB7" s="7" t="s">
        <v>961</v>
      </c>
      <c r="AC7" s="7" t="s">
        <v>954</v>
      </c>
      <c r="AD7" s="7"/>
      <c r="AE7" s="7" t="s">
        <v>950</v>
      </c>
      <c r="AF7" s="7" t="s">
        <v>637</v>
      </c>
      <c r="AG7" s="7" t="s">
        <v>34</v>
      </c>
      <c r="AH7" s="7" t="s">
        <v>147</v>
      </c>
      <c r="AI7" s="7" t="s">
        <v>33</v>
      </c>
      <c r="AJ7" s="7" t="s">
        <v>36</v>
      </c>
      <c r="AK7" s="7" t="s">
        <v>974</v>
      </c>
      <c r="AL7" s="7"/>
      <c r="AM7" s="7"/>
      <c r="AN7" s="14" t="s">
        <v>1046</v>
      </c>
      <c r="AO7" s="13" t="s">
        <v>1042</v>
      </c>
      <c r="AP7" s="1" t="s">
        <v>1043</v>
      </c>
      <c r="AQ7" s="1" t="s">
        <v>162</v>
      </c>
      <c r="AR7" s="1" t="s">
        <v>162</v>
      </c>
    </row>
    <row r="8" s="1" customFormat="1" ht="69" customHeight="1" spans="1:44">
      <c r="A8" s="4" t="s">
        <v>975</v>
      </c>
      <c r="B8" s="10" t="s">
        <v>976</v>
      </c>
      <c r="C8" s="8" t="s">
        <v>29</v>
      </c>
      <c r="D8" s="7" t="s">
        <v>945</v>
      </c>
      <c r="E8" s="7" t="s">
        <v>514</v>
      </c>
      <c r="F8" s="7" t="s">
        <v>946</v>
      </c>
      <c r="G8" s="7" t="s">
        <v>147</v>
      </c>
      <c r="H8" s="7" t="s">
        <v>148</v>
      </c>
      <c r="I8" s="7"/>
      <c r="J8" s="7" t="s">
        <v>149</v>
      </c>
      <c r="K8" s="7" t="s">
        <v>151</v>
      </c>
      <c r="L8" s="7" t="s">
        <v>150</v>
      </c>
      <c r="M8" s="7" t="s">
        <v>151</v>
      </c>
      <c r="N8" s="7" t="s">
        <v>150</v>
      </c>
      <c r="O8" s="7" t="s">
        <v>151</v>
      </c>
      <c r="P8" s="7" t="s">
        <v>151</v>
      </c>
      <c r="Q8" s="7"/>
      <c r="R8" s="7" t="s">
        <v>150</v>
      </c>
      <c r="S8" s="7" t="s">
        <v>512</v>
      </c>
      <c r="T8" s="7" t="s">
        <v>945</v>
      </c>
      <c r="U8" s="7" t="s">
        <v>977</v>
      </c>
      <c r="V8" s="7"/>
      <c r="W8" s="7"/>
      <c r="X8" s="7" t="s">
        <v>154</v>
      </c>
      <c r="Y8" s="7" t="s">
        <v>513</v>
      </c>
      <c r="Z8" s="7" t="s">
        <v>156</v>
      </c>
      <c r="AA8" s="7" t="s">
        <v>978</v>
      </c>
      <c r="AB8" s="7" t="s">
        <v>979</v>
      </c>
      <c r="AC8" s="7" t="s">
        <v>151</v>
      </c>
      <c r="AD8" s="7"/>
      <c r="AE8" s="7" t="s">
        <v>950</v>
      </c>
      <c r="AF8" s="7" t="s">
        <v>637</v>
      </c>
      <c r="AG8" s="7" t="s">
        <v>34</v>
      </c>
      <c r="AH8" s="7" t="s">
        <v>147</v>
      </c>
      <c r="AI8" s="7" t="s">
        <v>33</v>
      </c>
      <c r="AJ8" s="7" t="s">
        <v>36</v>
      </c>
      <c r="AK8" s="7" t="s">
        <v>980</v>
      </c>
      <c r="AL8" s="7"/>
      <c r="AM8" s="7"/>
      <c r="AN8" s="14" t="s">
        <v>1046</v>
      </c>
      <c r="AO8" s="13" t="s">
        <v>1042</v>
      </c>
      <c r="AP8" s="1" t="s">
        <v>1043</v>
      </c>
      <c r="AQ8" s="1" t="s">
        <v>162</v>
      </c>
      <c r="AR8" s="1" t="s">
        <v>162</v>
      </c>
    </row>
    <row r="9" s="1" customFormat="1" ht="69" customHeight="1" spans="1:44">
      <c r="A9" s="4" t="s">
        <v>981</v>
      </c>
      <c r="B9" s="10" t="s">
        <v>303</v>
      </c>
      <c r="C9" s="8" t="s">
        <v>29</v>
      </c>
      <c r="D9" s="7" t="s">
        <v>945</v>
      </c>
      <c r="E9" s="7" t="s">
        <v>514</v>
      </c>
      <c r="F9" s="7" t="s">
        <v>946</v>
      </c>
      <c r="G9" s="7" t="s">
        <v>147</v>
      </c>
      <c r="H9" s="7" t="s">
        <v>148</v>
      </c>
      <c r="I9" s="7"/>
      <c r="J9" s="7" t="s">
        <v>149</v>
      </c>
      <c r="K9" s="7" t="s">
        <v>151</v>
      </c>
      <c r="L9" s="7" t="s">
        <v>150</v>
      </c>
      <c r="M9" s="7" t="s">
        <v>151</v>
      </c>
      <c r="N9" s="7" t="s">
        <v>150</v>
      </c>
      <c r="O9" s="7" t="s">
        <v>151</v>
      </c>
      <c r="P9" s="7" t="s">
        <v>151</v>
      </c>
      <c r="Q9" s="7"/>
      <c r="R9" s="7" t="s">
        <v>150</v>
      </c>
      <c r="S9" s="7" t="s">
        <v>512</v>
      </c>
      <c r="T9" s="7" t="s">
        <v>945</v>
      </c>
      <c r="U9" s="7" t="s">
        <v>982</v>
      </c>
      <c r="V9" s="7"/>
      <c r="W9" s="7"/>
      <c r="X9" s="7" t="s">
        <v>154</v>
      </c>
      <c r="Y9" s="7" t="s">
        <v>513</v>
      </c>
      <c r="Z9" s="7" t="s">
        <v>156</v>
      </c>
      <c r="AA9" s="7" t="s">
        <v>978</v>
      </c>
      <c r="AB9" s="7" t="s">
        <v>979</v>
      </c>
      <c r="AC9" s="7" t="s">
        <v>154</v>
      </c>
      <c r="AD9" s="7"/>
      <c r="AE9" s="7" t="s">
        <v>950</v>
      </c>
      <c r="AF9" s="7" t="s">
        <v>637</v>
      </c>
      <c r="AG9" s="7" t="s">
        <v>34</v>
      </c>
      <c r="AH9" s="7" t="s">
        <v>147</v>
      </c>
      <c r="AI9" s="7" t="s">
        <v>33</v>
      </c>
      <c r="AJ9" s="7" t="s">
        <v>36</v>
      </c>
      <c r="AK9" s="7" t="s">
        <v>983</v>
      </c>
      <c r="AL9" s="7"/>
      <c r="AM9" s="7"/>
      <c r="AN9" s="14" t="s">
        <v>1046</v>
      </c>
      <c r="AO9" s="13" t="s">
        <v>1042</v>
      </c>
      <c r="AP9" s="1" t="s">
        <v>1043</v>
      </c>
      <c r="AQ9" s="1" t="s">
        <v>162</v>
      </c>
      <c r="AR9" s="1" t="s">
        <v>162</v>
      </c>
    </row>
    <row r="10" s="1" customFormat="1" ht="69" customHeight="1" spans="1:44">
      <c r="A10" s="4" t="s">
        <v>984</v>
      </c>
      <c r="B10" s="10" t="s">
        <v>305</v>
      </c>
      <c r="C10" s="8" t="s">
        <v>29</v>
      </c>
      <c r="D10" s="7" t="s">
        <v>945</v>
      </c>
      <c r="E10" s="7" t="s">
        <v>514</v>
      </c>
      <c r="F10" s="7" t="s">
        <v>946</v>
      </c>
      <c r="G10" s="7" t="s">
        <v>147</v>
      </c>
      <c r="H10" s="7" t="s">
        <v>148</v>
      </c>
      <c r="I10" s="7"/>
      <c r="J10" s="7" t="s">
        <v>149</v>
      </c>
      <c r="K10" s="7" t="s">
        <v>151</v>
      </c>
      <c r="L10" s="7" t="s">
        <v>150</v>
      </c>
      <c r="M10" s="7" t="s">
        <v>151</v>
      </c>
      <c r="N10" s="7" t="s">
        <v>150</v>
      </c>
      <c r="O10" s="7" t="s">
        <v>151</v>
      </c>
      <c r="P10" s="7" t="s">
        <v>151</v>
      </c>
      <c r="Q10" s="7"/>
      <c r="R10" s="7" t="s">
        <v>150</v>
      </c>
      <c r="S10" s="7" t="s">
        <v>512</v>
      </c>
      <c r="T10" s="7" t="s">
        <v>945</v>
      </c>
      <c r="U10" s="7" t="s">
        <v>985</v>
      </c>
      <c r="V10" s="7"/>
      <c r="W10" s="7"/>
      <c r="X10" s="7" t="s">
        <v>154</v>
      </c>
      <c r="Y10" s="7" t="s">
        <v>513</v>
      </c>
      <c r="Z10" s="7" t="s">
        <v>156</v>
      </c>
      <c r="AA10" s="7" t="s">
        <v>978</v>
      </c>
      <c r="AB10" s="7" t="s">
        <v>979</v>
      </c>
      <c r="AC10" s="7" t="s">
        <v>969</v>
      </c>
      <c r="AD10" s="7"/>
      <c r="AE10" s="7" t="s">
        <v>950</v>
      </c>
      <c r="AF10" s="7" t="s">
        <v>637</v>
      </c>
      <c r="AG10" s="7" t="s">
        <v>34</v>
      </c>
      <c r="AH10" s="7" t="s">
        <v>147</v>
      </c>
      <c r="AI10" s="7" t="s">
        <v>33</v>
      </c>
      <c r="AJ10" s="7" t="s">
        <v>36</v>
      </c>
      <c r="AK10" s="7" t="s">
        <v>986</v>
      </c>
      <c r="AL10" s="7"/>
      <c r="AM10" s="7"/>
      <c r="AN10" s="14" t="s">
        <v>1046</v>
      </c>
      <c r="AO10" s="13" t="s">
        <v>1042</v>
      </c>
      <c r="AP10" s="1" t="s">
        <v>1043</v>
      </c>
      <c r="AQ10" s="1" t="s">
        <v>162</v>
      </c>
      <c r="AR10" s="1" t="s">
        <v>162</v>
      </c>
    </row>
    <row r="11" s="1" customFormat="1" ht="69" customHeight="1" spans="1:44">
      <c r="A11" s="4" t="s">
        <v>987</v>
      </c>
      <c r="B11" s="10" t="s">
        <v>307</v>
      </c>
      <c r="C11" s="8" t="s">
        <v>29</v>
      </c>
      <c r="D11" s="7" t="s">
        <v>945</v>
      </c>
      <c r="E11" s="7" t="s">
        <v>514</v>
      </c>
      <c r="F11" s="7" t="s">
        <v>946</v>
      </c>
      <c r="G11" s="7" t="s">
        <v>147</v>
      </c>
      <c r="H11" s="7" t="s">
        <v>148</v>
      </c>
      <c r="I11" s="7"/>
      <c r="J11" s="7" t="s">
        <v>149</v>
      </c>
      <c r="K11" s="7" t="s">
        <v>151</v>
      </c>
      <c r="L11" s="7" t="s">
        <v>150</v>
      </c>
      <c r="M11" s="7" t="s">
        <v>151</v>
      </c>
      <c r="N11" s="7" t="s">
        <v>150</v>
      </c>
      <c r="O11" s="7" t="s">
        <v>151</v>
      </c>
      <c r="P11" s="7" t="s">
        <v>151</v>
      </c>
      <c r="Q11" s="7"/>
      <c r="R11" s="7" t="s">
        <v>150</v>
      </c>
      <c r="S11" s="7" t="s">
        <v>512</v>
      </c>
      <c r="T11" s="7" t="s">
        <v>945</v>
      </c>
      <c r="U11" s="7" t="s">
        <v>988</v>
      </c>
      <c r="V11" s="7"/>
      <c r="W11" s="7"/>
      <c r="X11" s="7" t="s">
        <v>154</v>
      </c>
      <c r="Y11" s="7" t="s">
        <v>513</v>
      </c>
      <c r="Z11" s="7" t="s">
        <v>156</v>
      </c>
      <c r="AA11" s="7" t="s">
        <v>978</v>
      </c>
      <c r="AB11" s="7" t="s">
        <v>979</v>
      </c>
      <c r="AC11" s="7" t="s">
        <v>954</v>
      </c>
      <c r="AD11" s="7"/>
      <c r="AE11" s="7" t="s">
        <v>950</v>
      </c>
      <c r="AF11" s="7" t="s">
        <v>637</v>
      </c>
      <c r="AG11" s="7" t="s">
        <v>34</v>
      </c>
      <c r="AH11" s="7" t="s">
        <v>147</v>
      </c>
      <c r="AI11" s="7" t="s">
        <v>33</v>
      </c>
      <c r="AJ11" s="7" t="s">
        <v>36</v>
      </c>
      <c r="AK11" s="7" t="s">
        <v>989</v>
      </c>
      <c r="AL11" s="7"/>
      <c r="AM11" s="7"/>
      <c r="AN11" s="14" t="s">
        <v>1046</v>
      </c>
      <c r="AO11" s="13" t="s">
        <v>1042</v>
      </c>
      <c r="AP11" s="1" t="s">
        <v>1043</v>
      </c>
      <c r="AQ11" s="1" t="s">
        <v>162</v>
      </c>
      <c r="AR11" s="1" t="s">
        <v>162</v>
      </c>
    </row>
    <row r="12" s="1" customFormat="1" ht="69" customHeight="1" spans="1:44">
      <c r="A12" s="4" t="s">
        <v>990</v>
      </c>
      <c r="B12" s="9" t="s">
        <v>312</v>
      </c>
      <c r="C12" s="8" t="s">
        <v>29</v>
      </c>
      <c r="D12" s="7" t="s">
        <v>945</v>
      </c>
      <c r="E12" s="7" t="s">
        <v>514</v>
      </c>
      <c r="F12" s="7" t="s">
        <v>946</v>
      </c>
      <c r="G12" s="7" t="s">
        <v>147</v>
      </c>
      <c r="H12" s="7" t="s">
        <v>148</v>
      </c>
      <c r="I12" s="7"/>
      <c r="J12" s="7" t="s">
        <v>149</v>
      </c>
      <c r="K12" s="7" t="s">
        <v>151</v>
      </c>
      <c r="L12" s="7" t="s">
        <v>150</v>
      </c>
      <c r="M12" s="7" t="s">
        <v>151</v>
      </c>
      <c r="N12" s="7" t="s">
        <v>150</v>
      </c>
      <c r="O12" s="7" t="s">
        <v>151</v>
      </c>
      <c r="P12" s="7" t="s">
        <v>151</v>
      </c>
      <c r="Q12" s="7"/>
      <c r="R12" s="7" t="s">
        <v>150</v>
      </c>
      <c r="S12" s="7" t="s">
        <v>512</v>
      </c>
      <c r="T12" s="7" t="s">
        <v>945</v>
      </c>
      <c r="U12" s="7" t="s">
        <v>991</v>
      </c>
      <c r="V12" s="7"/>
      <c r="W12" s="7"/>
      <c r="X12" s="7" t="s">
        <v>154</v>
      </c>
      <c r="Y12" s="7" t="s">
        <v>513</v>
      </c>
      <c r="Z12" s="7" t="s">
        <v>156</v>
      </c>
      <c r="AA12" s="7" t="s">
        <v>992</v>
      </c>
      <c r="AB12" s="7" t="s">
        <v>993</v>
      </c>
      <c r="AC12" s="7" t="s">
        <v>151</v>
      </c>
      <c r="AD12" s="7"/>
      <c r="AE12" s="7" t="s">
        <v>950</v>
      </c>
      <c r="AF12" s="7" t="s">
        <v>637</v>
      </c>
      <c r="AG12" s="7" t="s">
        <v>34</v>
      </c>
      <c r="AH12" s="7" t="s">
        <v>147</v>
      </c>
      <c r="AI12" s="7" t="s">
        <v>33</v>
      </c>
      <c r="AJ12" s="7" t="s">
        <v>36</v>
      </c>
      <c r="AK12" s="7" t="s">
        <v>994</v>
      </c>
      <c r="AL12" s="7"/>
      <c r="AM12" s="7"/>
      <c r="AN12" s="14" t="s">
        <v>1046</v>
      </c>
      <c r="AO12" s="13" t="s">
        <v>1042</v>
      </c>
      <c r="AP12" s="1" t="s">
        <v>1043</v>
      </c>
      <c r="AQ12" s="1" t="s">
        <v>162</v>
      </c>
      <c r="AR12" s="1" t="s">
        <v>162</v>
      </c>
    </row>
    <row r="13" s="1" customFormat="1" ht="69" customHeight="1" spans="1:44">
      <c r="A13" s="4" t="s">
        <v>995</v>
      </c>
      <c r="B13" s="9" t="s">
        <v>315</v>
      </c>
      <c r="C13" s="8" t="s">
        <v>29</v>
      </c>
      <c r="D13" s="7" t="s">
        <v>945</v>
      </c>
      <c r="E13" s="7" t="s">
        <v>514</v>
      </c>
      <c r="F13" s="7" t="s">
        <v>946</v>
      </c>
      <c r="G13" s="7" t="s">
        <v>147</v>
      </c>
      <c r="H13" s="7" t="s">
        <v>148</v>
      </c>
      <c r="I13" s="7"/>
      <c r="J13" s="7" t="s">
        <v>149</v>
      </c>
      <c r="K13" s="7" t="s">
        <v>151</v>
      </c>
      <c r="L13" s="7" t="s">
        <v>150</v>
      </c>
      <c r="M13" s="7" t="s">
        <v>151</v>
      </c>
      <c r="N13" s="7" t="s">
        <v>150</v>
      </c>
      <c r="O13" s="7" t="s">
        <v>151</v>
      </c>
      <c r="P13" s="7" t="s">
        <v>151</v>
      </c>
      <c r="Q13" s="7"/>
      <c r="R13" s="7" t="s">
        <v>150</v>
      </c>
      <c r="S13" s="7" t="s">
        <v>512</v>
      </c>
      <c r="T13" s="7" t="s">
        <v>945</v>
      </c>
      <c r="U13" s="7" t="s">
        <v>996</v>
      </c>
      <c r="V13" s="7"/>
      <c r="W13" s="7"/>
      <c r="X13" s="7" t="s">
        <v>154</v>
      </c>
      <c r="Y13" s="7" t="s">
        <v>513</v>
      </c>
      <c r="Z13" s="7" t="s">
        <v>156</v>
      </c>
      <c r="AA13" s="7" t="s">
        <v>992</v>
      </c>
      <c r="AB13" s="7" t="s">
        <v>993</v>
      </c>
      <c r="AC13" s="7" t="s">
        <v>154</v>
      </c>
      <c r="AD13" s="7"/>
      <c r="AE13" s="7" t="s">
        <v>950</v>
      </c>
      <c r="AF13" s="7" t="s">
        <v>637</v>
      </c>
      <c r="AG13" s="7" t="s">
        <v>34</v>
      </c>
      <c r="AH13" s="7" t="s">
        <v>147</v>
      </c>
      <c r="AI13" s="7" t="s">
        <v>33</v>
      </c>
      <c r="AJ13" s="7" t="s">
        <v>36</v>
      </c>
      <c r="AK13" s="7" t="s">
        <v>997</v>
      </c>
      <c r="AL13" s="7"/>
      <c r="AM13" s="7"/>
      <c r="AN13" s="14" t="s">
        <v>1046</v>
      </c>
      <c r="AO13" s="13" t="s">
        <v>1042</v>
      </c>
      <c r="AP13" s="1" t="s">
        <v>1043</v>
      </c>
      <c r="AQ13" s="1" t="s">
        <v>162</v>
      </c>
      <c r="AR13" s="1" t="s">
        <v>162</v>
      </c>
    </row>
    <row r="14" s="1" customFormat="1" ht="69" customHeight="1" spans="1:44">
      <c r="A14" s="4" t="s">
        <v>998</v>
      </c>
      <c r="B14" s="9" t="s">
        <v>318</v>
      </c>
      <c r="C14" s="8" t="s">
        <v>29</v>
      </c>
      <c r="D14" s="7" t="s">
        <v>945</v>
      </c>
      <c r="E14" s="7" t="s">
        <v>514</v>
      </c>
      <c r="F14" s="7" t="s">
        <v>946</v>
      </c>
      <c r="G14" s="7" t="s">
        <v>147</v>
      </c>
      <c r="H14" s="7" t="s">
        <v>148</v>
      </c>
      <c r="I14" s="7"/>
      <c r="J14" s="7" t="s">
        <v>149</v>
      </c>
      <c r="K14" s="7" t="s">
        <v>151</v>
      </c>
      <c r="L14" s="7" t="s">
        <v>150</v>
      </c>
      <c r="M14" s="7" t="s">
        <v>151</v>
      </c>
      <c r="N14" s="7" t="s">
        <v>150</v>
      </c>
      <c r="O14" s="7" t="s">
        <v>151</v>
      </c>
      <c r="P14" s="7" t="s">
        <v>151</v>
      </c>
      <c r="Q14" s="7"/>
      <c r="R14" s="7" t="s">
        <v>150</v>
      </c>
      <c r="S14" s="7" t="s">
        <v>512</v>
      </c>
      <c r="T14" s="7" t="s">
        <v>945</v>
      </c>
      <c r="U14" s="7" t="s">
        <v>999</v>
      </c>
      <c r="V14" s="7"/>
      <c r="W14" s="7"/>
      <c r="X14" s="7" t="s">
        <v>154</v>
      </c>
      <c r="Y14" s="7" t="s">
        <v>513</v>
      </c>
      <c r="Z14" s="7" t="s">
        <v>156</v>
      </c>
      <c r="AA14" s="7" t="s">
        <v>992</v>
      </c>
      <c r="AB14" s="7" t="s">
        <v>993</v>
      </c>
      <c r="AC14" s="7" t="s">
        <v>969</v>
      </c>
      <c r="AD14" s="7"/>
      <c r="AE14" s="7" t="s">
        <v>950</v>
      </c>
      <c r="AF14" s="7" t="s">
        <v>637</v>
      </c>
      <c r="AG14" s="7" t="s">
        <v>34</v>
      </c>
      <c r="AH14" s="7" t="s">
        <v>147</v>
      </c>
      <c r="AI14" s="7" t="s">
        <v>33</v>
      </c>
      <c r="AJ14" s="7" t="s">
        <v>36</v>
      </c>
      <c r="AK14" s="7" t="s">
        <v>1000</v>
      </c>
      <c r="AL14" s="7"/>
      <c r="AM14" s="7"/>
      <c r="AN14" s="14" t="s">
        <v>1046</v>
      </c>
      <c r="AO14" s="13" t="s">
        <v>1042</v>
      </c>
      <c r="AP14" s="1" t="s">
        <v>1043</v>
      </c>
      <c r="AQ14" s="1" t="s">
        <v>162</v>
      </c>
      <c r="AR14" s="1" t="s">
        <v>162</v>
      </c>
    </row>
    <row r="15" s="1" customFormat="1" ht="69" customHeight="1" spans="1:44">
      <c r="A15" s="4" t="s">
        <v>1001</v>
      </c>
      <c r="B15" s="9" t="s">
        <v>321</v>
      </c>
      <c r="C15" s="8" t="s">
        <v>29</v>
      </c>
      <c r="D15" s="7" t="s">
        <v>945</v>
      </c>
      <c r="E15" s="7" t="s">
        <v>514</v>
      </c>
      <c r="F15" s="7" t="s">
        <v>946</v>
      </c>
      <c r="G15" s="7" t="s">
        <v>147</v>
      </c>
      <c r="H15" s="7" t="s">
        <v>148</v>
      </c>
      <c r="I15" s="7"/>
      <c r="J15" s="7" t="s">
        <v>149</v>
      </c>
      <c r="K15" s="7" t="s">
        <v>151</v>
      </c>
      <c r="L15" s="7" t="s">
        <v>150</v>
      </c>
      <c r="M15" s="7" t="s">
        <v>151</v>
      </c>
      <c r="N15" s="7" t="s">
        <v>150</v>
      </c>
      <c r="O15" s="7" t="s">
        <v>151</v>
      </c>
      <c r="P15" s="7" t="s">
        <v>151</v>
      </c>
      <c r="Q15" s="7"/>
      <c r="R15" s="7" t="s">
        <v>150</v>
      </c>
      <c r="S15" s="7" t="s">
        <v>512</v>
      </c>
      <c r="T15" s="7" t="s">
        <v>945</v>
      </c>
      <c r="U15" s="7" t="s">
        <v>1002</v>
      </c>
      <c r="V15" s="7"/>
      <c r="W15" s="7"/>
      <c r="X15" s="7" t="s">
        <v>154</v>
      </c>
      <c r="Y15" s="7" t="s">
        <v>513</v>
      </c>
      <c r="Z15" s="7" t="s">
        <v>156</v>
      </c>
      <c r="AA15" s="7" t="s">
        <v>992</v>
      </c>
      <c r="AB15" s="7" t="s">
        <v>993</v>
      </c>
      <c r="AC15" s="7" t="s">
        <v>954</v>
      </c>
      <c r="AD15" s="7"/>
      <c r="AE15" s="7" t="s">
        <v>950</v>
      </c>
      <c r="AF15" s="7" t="s">
        <v>637</v>
      </c>
      <c r="AG15" s="7" t="s">
        <v>34</v>
      </c>
      <c r="AH15" s="7" t="s">
        <v>147</v>
      </c>
      <c r="AI15" s="7" t="s">
        <v>33</v>
      </c>
      <c r="AJ15" s="7" t="s">
        <v>36</v>
      </c>
      <c r="AK15" s="7" t="s">
        <v>1003</v>
      </c>
      <c r="AL15" s="7"/>
      <c r="AM15" s="7"/>
      <c r="AN15" s="14" t="s">
        <v>1046</v>
      </c>
      <c r="AO15" s="13" t="s">
        <v>1042</v>
      </c>
      <c r="AP15" s="1" t="s">
        <v>1043</v>
      </c>
      <c r="AQ15" s="1" t="s">
        <v>162</v>
      </c>
      <c r="AR15" s="1" t="s">
        <v>162</v>
      </c>
    </row>
    <row r="16" s="1" customFormat="1" ht="69" customHeight="1" spans="1:44">
      <c r="A16" s="4" t="s">
        <v>1004</v>
      </c>
      <c r="B16" s="9" t="s">
        <v>324</v>
      </c>
      <c r="C16" s="8" t="s">
        <v>29</v>
      </c>
      <c r="D16" s="7" t="s">
        <v>945</v>
      </c>
      <c r="E16" s="7" t="s">
        <v>514</v>
      </c>
      <c r="F16" s="7" t="s">
        <v>946</v>
      </c>
      <c r="G16" s="7" t="s">
        <v>147</v>
      </c>
      <c r="H16" s="7" t="s">
        <v>148</v>
      </c>
      <c r="I16" s="7"/>
      <c r="J16" s="7" t="s">
        <v>149</v>
      </c>
      <c r="K16" s="7" t="s">
        <v>151</v>
      </c>
      <c r="L16" s="7" t="s">
        <v>150</v>
      </c>
      <c r="M16" s="7" t="s">
        <v>151</v>
      </c>
      <c r="N16" s="7" t="s">
        <v>150</v>
      </c>
      <c r="O16" s="7" t="s">
        <v>151</v>
      </c>
      <c r="P16" s="7" t="s">
        <v>151</v>
      </c>
      <c r="Q16" s="7"/>
      <c r="R16" s="7" t="s">
        <v>150</v>
      </c>
      <c r="S16" s="7" t="s">
        <v>512</v>
      </c>
      <c r="T16" s="7" t="s">
        <v>945</v>
      </c>
      <c r="U16" s="7" t="s">
        <v>1005</v>
      </c>
      <c r="V16" s="7"/>
      <c r="W16" s="7"/>
      <c r="X16" s="7" t="s">
        <v>154</v>
      </c>
      <c r="Y16" s="7" t="s">
        <v>513</v>
      </c>
      <c r="Z16" s="7" t="s">
        <v>156</v>
      </c>
      <c r="AA16" s="7" t="s">
        <v>1006</v>
      </c>
      <c r="AB16" s="7" t="s">
        <v>1007</v>
      </c>
      <c r="AC16" s="7" t="s">
        <v>151</v>
      </c>
      <c r="AD16" s="7"/>
      <c r="AE16" s="7" t="s">
        <v>950</v>
      </c>
      <c r="AF16" s="7" t="s">
        <v>637</v>
      </c>
      <c r="AG16" s="7" t="s">
        <v>34</v>
      </c>
      <c r="AH16" s="7" t="s">
        <v>147</v>
      </c>
      <c r="AI16" s="7" t="s">
        <v>33</v>
      </c>
      <c r="AJ16" s="7" t="s">
        <v>36</v>
      </c>
      <c r="AK16" s="7" t="s">
        <v>1008</v>
      </c>
      <c r="AL16" s="7"/>
      <c r="AM16" s="7"/>
      <c r="AN16" s="14" t="s">
        <v>1046</v>
      </c>
      <c r="AO16" s="13" t="s">
        <v>1042</v>
      </c>
      <c r="AP16" s="1" t="s">
        <v>1043</v>
      </c>
      <c r="AQ16" s="1" t="s">
        <v>162</v>
      </c>
      <c r="AR16" s="1" t="s">
        <v>162</v>
      </c>
    </row>
    <row r="17" s="1" customFormat="1" ht="69" customHeight="1" spans="1:44">
      <c r="A17" s="4" t="s">
        <v>1009</v>
      </c>
      <c r="B17" s="10" t="s">
        <v>328</v>
      </c>
      <c r="C17" s="8" t="s">
        <v>29</v>
      </c>
      <c r="D17" s="7" t="s">
        <v>945</v>
      </c>
      <c r="E17" s="7" t="s">
        <v>514</v>
      </c>
      <c r="F17" s="7" t="s">
        <v>946</v>
      </c>
      <c r="G17" s="7" t="s">
        <v>147</v>
      </c>
      <c r="H17" s="7" t="s">
        <v>148</v>
      </c>
      <c r="I17" s="7"/>
      <c r="J17" s="7" t="s">
        <v>149</v>
      </c>
      <c r="K17" s="7" t="s">
        <v>151</v>
      </c>
      <c r="L17" s="7" t="s">
        <v>150</v>
      </c>
      <c r="M17" s="7" t="s">
        <v>151</v>
      </c>
      <c r="N17" s="7" t="s">
        <v>150</v>
      </c>
      <c r="O17" s="7" t="s">
        <v>151</v>
      </c>
      <c r="P17" s="7" t="s">
        <v>151</v>
      </c>
      <c r="Q17" s="7"/>
      <c r="R17" s="7" t="s">
        <v>150</v>
      </c>
      <c r="S17" s="7" t="s">
        <v>512</v>
      </c>
      <c r="T17" s="7" t="s">
        <v>945</v>
      </c>
      <c r="U17" s="7" t="s">
        <v>1010</v>
      </c>
      <c r="V17" s="7"/>
      <c r="W17" s="7"/>
      <c r="X17" s="7" t="s">
        <v>154</v>
      </c>
      <c r="Y17" s="7" t="s">
        <v>513</v>
      </c>
      <c r="Z17" s="7" t="s">
        <v>156</v>
      </c>
      <c r="AA17" s="7" t="s">
        <v>1006</v>
      </c>
      <c r="AB17" s="7" t="s">
        <v>1007</v>
      </c>
      <c r="AC17" s="7" t="s">
        <v>154</v>
      </c>
      <c r="AD17" s="7"/>
      <c r="AE17" s="7" t="s">
        <v>950</v>
      </c>
      <c r="AF17" s="7" t="s">
        <v>637</v>
      </c>
      <c r="AG17" s="7" t="s">
        <v>34</v>
      </c>
      <c r="AH17" s="7" t="s">
        <v>147</v>
      </c>
      <c r="AI17" s="7" t="s">
        <v>33</v>
      </c>
      <c r="AJ17" s="7" t="s">
        <v>36</v>
      </c>
      <c r="AK17" s="7" t="s">
        <v>1011</v>
      </c>
      <c r="AL17" s="7"/>
      <c r="AM17" s="7"/>
      <c r="AN17" s="14" t="s">
        <v>1046</v>
      </c>
      <c r="AO17" s="13" t="s">
        <v>1042</v>
      </c>
      <c r="AP17" s="1" t="s">
        <v>1043</v>
      </c>
      <c r="AQ17" s="1" t="s">
        <v>162</v>
      </c>
      <c r="AR17" s="1" t="s">
        <v>162</v>
      </c>
    </row>
    <row r="18" s="1" customFormat="1" ht="69" customHeight="1" spans="1:44">
      <c r="A18" s="4" t="s">
        <v>1012</v>
      </c>
      <c r="B18" s="10" t="s">
        <v>330</v>
      </c>
      <c r="C18" s="8" t="s">
        <v>29</v>
      </c>
      <c r="D18" s="7" t="s">
        <v>945</v>
      </c>
      <c r="E18" s="7" t="s">
        <v>514</v>
      </c>
      <c r="F18" s="7" t="s">
        <v>946</v>
      </c>
      <c r="G18" s="7" t="s">
        <v>147</v>
      </c>
      <c r="H18" s="7" t="s">
        <v>148</v>
      </c>
      <c r="I18" s="7"/>
      <c r="J18" s="7" t="s">
        <v>149</v>
      </c>
      <c r="K18" s="7" t="s">
        <v>151</v>
      </c>
      <c r="L18" s="7" t="s">
        <v>150</v>
      </c>
      <c r="M18" s="7" t="s">
        <v>151</v>
      </c>
      <c r="N18" s="7" t="s">
        <v>150</v>
      </c>
      <c r="O18" s="7" t="s">
        <v>151</v>
      </c>
      <c r="P18" s="7" t="s">
        <v>151</v>
      </c>
      <c r="Q18" s="7"/>
      <c r="R18" s="7" t="s">
        <v>150</v>
      </c>
      <c r="S18" s="7" t="s">
        <v>512</v>
      </c>
      <c r="T18" s="7" t="s">
        <v>945</v>
      </c>
      <c r="U18" s="7" t="s">
        <v>1013</v>
      </c>
      <c r="V18" s="7"/>
      <c r="W18" s="7"/>
      <c r="X18" s="7" t="s">
        <v>154</v>
      </c>
      <c r="Y18" s="7" t="s">
        <v>513</v>
      </c>
      <c r="Z18" s="7" t="s">
        <v>156</v>
      </c>
      <c r="AA18" s="7" t="s">
        <v>1006</v>
      </c>
      <c r="AB18" s="7" t="s">
        <v>1007</v>
      </c>
      <c r="AC18" s="7" t="s">
        <v>969</v>
      </c>
      <c r="AD18" s="7"/>
      <c r="AE18" s="7" t="s">
        <v>950</v>
      </c>
      <c r="AF18" s="7" t="s">
        <v>637</v>
      </c>
      <c r="AG18" s="7" t="s">
        <v>34</v>
      </c>
      <c r="AH18" s="7" t="s">
        <v>147</v>
      </c>
      <c r="AI18" s="7" t="s">
        <v>33</v>
      </c>
      <c r="AJ18" s="7" t="s">
        <v>36</v>
      </c>
      <c r="AK18" s="7" t="s">
        <v>1014</v>
      </c>
      <c r="AL18" s="7"/>
      <c r="AM18" s="7"/>
      <c r="AN18" s="14" t="s">
        <v>1046</v>
      </c>
      <c r="AO18" s="13" t="s">
        <v>1042</v>
      </c>
      <c r="AP18" s="1" t="s">
        <v>1043</v>
      </c>
      <c r="AQ18" s="1" t="s">
        <v>162</v>
      </c>
      <c r="AR18" s="1" t="s">
        <v>162</v>
      </c>
    </row>
    <row r="19" s="1" customFormat="1" ht="69" customHeight="1" spans="1:44">
      <c r="A19" s="4" t="s">
        <v>1015</v>
      </c>
      <c r="B19" s="10" t="s">
        <v>332</v>
      </c>
      <c r="C19" s="8" t="s">
        <v>29</v>
      </c>
      <c r="D19" s="7" t="s">
        <v>945</v>
      </c>
      <c r="E19" s="7" t="s">
        <v>514</v>
      </c>
      <c r="F19" s="7" t="s">
        <v>946</v>
      </c>
      <c r="G19" s="7" t="s">
        <v>147</v>
      </c>
      <c r="H19" s="7" t="s">
        <v>148</v>
      </c>
      <c r="I19" s="7"/>
      <c r="J19" s="7" t="s">
        <v>149</v>
      </c>
      <c r="K19" s="7" t="s">
        <v>151</v>
      </c>
      <c r="L19" s="7" t="s">
        <v>150</v>
      </c>
      <c r="M19" s="7" t="s">
        <v>151</v>
      </c>
      <c r="N19" s="7" t="s">
        <v>150</v>
      </c>
      <c r="O19" s="7" t="s">
        <v>151</v>
      </c>
      <c r="P19" s="7" t="s">
        <v>151</v>
      </c>
      <c r="Q19" s="7"/>
      <c r="R19" s="7" t="s">
        <v>150</v>
      </c>
      <c r="S19" s="7" t="s">
        <v>512</v>
      </c>
      <c r="T19" s="7" t="s">
        <v>945</v>
      </c>
      <c r="U19" s="7" t="s">
        <v>1016</v>
      </c>
      <c r="V19" s="7"/>
      <c r="W19" s="7"/>
      <c r="X19" s="7" t="s">
        <v>154</v>
      </c>
      <c r="Y19" s="7" t="s">
        <v>513</v>
      </c>
      <c r="Z19" s="7" t="s">
        <v>156</v>
      </c>
      <c r="AA19" s="7" t="s">
        <v>1006</v>
      </c>
      <c r="AB19" s="7" t="s">
        <v>1007</v>
      </c>
      <c r="AC19" s="7" t="s">
        <v>954</v>
      </c>
      <c r="AD19" s="7"/>
      <c r="AE19" s="7" t="s">
        <v>950</v>
      </c>
      <c r="AF19" s="7" t="s">
        <v>637</v>
      </c>
      <c r="AG19" s="7" t="s">
        <v>34</v>
      </c>
      <c r="AH19" s="7" t="s">
        <v>147</v>
      </c>
      <c r="AI19" s="7" t="s">
        <v>33</v>
      </c>
      <c r="AJ19" s="7" t="s">
        <v>36</v>
      </c>
      <c r="AK19" s="7" t="s">
        <v>1017</v>
      </c>
      <c r="AL19" s="7"/>
      <c r="AM19" s="7"/>
      <c r="AN19" s="14" t="s">
        <v>1046</v>
      </c>
      <c r="AO19" s="13" t="s">
        <v>1042</v>
      </c>
      <c r="AP19" s="1" t="s">
        <v>1043</v>
      </c>
      <c r="AQ19" s="1" t="s">
        <v>162</v>
      </c>
      <c r="AR19" s="1" t="s">
        <v>162</v>
      </c>
    </row>
    <row r="20" s="1" customFormat="1" ht="69" customHeight="1" spans="1:44">
      <c r="A20" s="4" t="s">
        <v>1018</v>
      </c>
      <c r="B20" s="10" t="s">
        <v>333</v>
      </c>
      <c r="C20" s="8" t="s">
        <v>29</v>
      </c>
      <c r="D20" s="7" t="s">
        <v>945</v>
      </c>
      <c r="E20" s="7" t="s">
        <v>514</v>
      </c>
      <c r="F20" s="7" t="s">
        <v>946</v>
      </c>
      <c r="G20" s="7" t="s">
        <v>147</v>
      </c>
      <c r="H20" s="7" t="s">
        <v>148</v>
      </c>
      <c r="I20" s="7"/>
      <c r="J20" s="7" t="s">
        <v>149</v>
      </c>
      <c r="K20" s="7" t="s">
        <v>151</v>
      </c>
      <c r="L20" s="7" t="s">
        <v>150</v>
      </c>
      <c r="M20" s="7" t="s">
        <v>151</v>
      </c>
      <c r="N20" s="7" t="s">
        <v>150</v>
      </c>
      <c r="O20" s="7" t="s">
        <v>151</v>
      </c>
      <c r="P20" s="7" t="s">
        <v>151</v>
      </c>
      <c r="Q20" s="7"/>
      <c r="R20" s="7" t="s">
        <v>150</v>
      </c>
      <c r="S20" s="7" t="s">
        <v>512</v>
      </c>
      <c r="T20" s="7" t="s">
        <v>945</v>
      </c>
      <c r="U20" s="7" t="s">
        <v>1019</v>
      </c>
      <c r="V20" s="7"/>
      <c r="W20" s="7"/>
      <c r="X20" s="7" t="s">
        <v>154</v>
      </c>
      <c r="Y20" s="7" t="s">
        <v>513</v>
      </c>
      <c r="Z20" s="7" t="s">
        <v>156</v>
      </c>
      <c r="AA20" s="7" t="s">
        <v>1020</v>
      </c>
      <c r="AB20" s="7" t="s">
        <v>1021</v>
      </c>
      <c r="AC20" s="7" t="s">
        <v>151</v>
      </c>
      <c r="AD20" s="7"/>
      <c r="AE20" s="7" t="s">
        <v>950</v>
      </c>
      <c r="AF20" s="7" t="s">
        <v>637</v>
      </c>
      <c r="AG20" s="7" t="s">
        <v>34</v>
      </c>
      <c r="AH20" s="7" t="s">
        <v>147</v>
      </c>
      <c r="AI20" s="7" t="s">
        <v>33</v>
      </c>
      <c r="AJ20" s="7" t="s">
        <v>36</v>
      </c>
      <c r="AK20" s="7" t="s">
        <v>1022</v>
      </c>
      <c r="AL20" s="7"/>
      <c r="AM20" s="7"/>
      <c r="AN20" s="14" t="s">
        <v>1046</v>
      </c>
      <c r="AO20" s="13" t="s">
        <v>1042</v>
      </c>
      <c r="AP20" s="1" t="s">
        <v>1043</v>
      </c>
      <c r="AQ20" s="1" t="s">
        <v>162</v>
      </c>
      <c r="AR20" s="1" t="s">
        <v>162</v>
      </c>
    </row>
    <row r="21" s="1" customFormat="1" ht="69" customHeight="1" spans="1:44">
      <c r="A21" s="4" t="s">
        <v>1023</v>
      </c>
      <c r="B21" s="10" t="s">
        <v>337</v>
      </c>
      <c r="C21" s="8" t="s">
        <v>29</v>
      </c>
      <c r="D21" s="7" t="s">
        <v>945</v>
      </c>
      <c r="E21" s="7" t="s">
        <v>514</v>
      </c>
      <c r="F21" s="7" t="s">
        <v>946</v>
      </c>
      <c r="G21" s="7" t="s">
        <v>147</v>
      </c>
      <c r="H21" s="7" t="s">
        <v>148</v>
      </c>
      <c r="I21" s="7"/>
      <c r="J21" s="7" t="s">
        <v>149</v>
      </c>
      <c r="K21" s="7" t="s">
        <v>151</v>
      </c>
      <c r="L21" s="7" t="s">
        <v>150</v>
      </c>
      <c r="M21" s="7" t="s">
        <v>151</v>
      </c>
      <c r="N21" s="7" t="s">
        <v>150</v>
      </c>
      <c r="O21" s="7" t="s">
        <v>151</v>
      </c>
      <c r="P21" s="7" t="s">
        <v>151</v>
      </c>
      <c r="Q21" s="7"/>
      <c r="R21" s="7" t="s">
        <v>150</v>
      </c>
      <c r="S21" s="7" t="s">
        <v>512</v>
      </c>
      <c r="T21" s="7" t="s">
        <v>945</v>
      </c>
      <c r="U21" s="7" t="s">
        <v>1024</v>
      </c>
      <c r="V21" s="7"/>
      <c r="W21" s="7"/>
      <c r="X21" s="7" t="s">
        <v>154</v>
      </c>
      <c r="Y21" s="7" t="s">
        <v>513</v>
      </c>
      <c r="Z21" s="7" t="s">
        <v>156</v>
      </c>
      <c r="AA21" s="7" t="s">
        <v>1020</v>
      </c>
      <c r="AB21" s="7" t="s">
        <v>1021</v>
      </c>
      <c r="AC21" s="7" t="s">
        <v>154</v>
      </c>
      <c r="AD21" s="7"/>
      <c r="AE21" s="7" t="s">
        <v>950</v>
      </c>
      <c r="AF21" s="7" t="s">
        <v>637</v>
      </c>
      <c r="AG21" s="7" t="s">
        <v>34</v>
      </c>
      <c r="AH21" s="7" t="s">
        <v>147</v>
      </c>
      <c r="AI21" s="7" t="s">
        <v>33</v>
      </c>
      <c r="AJ21" s="7" t="s">
        <v>36</v>
      </c>
      <c r="AK21" s="7" t="s">
        <v>1025</v>
      </c>
      <c r="AL21" s="7"/>
      <c r="AM21" s="7"/>
      <c r="AN21" s="14" t="s">
        <v>1046</v>
      </c>
      <c r="AO21" s="13" t="s">
        <v>1042</v>
      </c>
      <c r="AP21" s="1" t="s">
        <v>1043</v>
      </c>
      <c r="AQ21" s="1" t="s">
        <v>162</v>
      </c>
      <c r="AR21" s="1" t="s">
        <v>162</v>
      </c>
    </row>
    <row r="22" s="1" customFormat="1" ht="69" customHeight="1" spans="1:41">
      <c r="A22" s="4" t="s">
        <v>1026</v>
      </c>
      <c r="B22" s="4" t="s">
        <v>1027</v>
      </c>
      <c r="C22" s="11" t="s">
        <v>596</v>
      </c>
      <c r="D22" s="7" t="s">
        <v>945</v>
      </c>
      <c r="E22" s="7" t="s">
        <v>514</v>
      </c>
      <c r="F22" s="7" t="s">
        <v>946</v>
      </c>
      <c r="G22" s="7" t="s">
        <v>147</v>
      </c>
      <c r="H22" s="7" t="s">
        <v>148</v>
      </c>
      <c r="I22" s="7"/>
      <c r="J22" s="7" t="s">
        <v>149</v>
      </c>
      <c r="K22" s="7" t="s">
        <v>151</v>
      </c>
      <c r="L22" s="7" t="s">
        <v>150</v>
      </c>
      <c r="M22" s="7" t="s">
        <v>151</v>
      </c>
      <c r="N22" s="7" t="s">
        <v>150</v>
      </c>
      <c r="O22" s="7" t="s">
        <v>151</v>
      </c>
      <c r="P22" s="7" t="s">
        <v>151</v>
      </c>
      <c r="Q22" s="7"/>
      <c r="R22" s="7" t="s">
        <v>150</v>
      </c>
      <c r="S22" s="7" t="s">
        <v>512</v>
      </c>
      <c r="T22" s="7" t="s">
        <v>945</v>
      </c>
      <c r="U22" s="7"/>
      <c r="V22" s="7"/>
      <c r="W22" s="7"/>
      <c r="X22" s="7" t="s">
        <v>154</v>
      </c>
      <c r="Y22" s="7" t="s">
        <v>513</v>
      </c>
      <c r="Z22" s="7" t="s">
        <v>156</v>
      </c>
      <c r="AA22" s="7" t="s">
        <v>948</v>
      </c>
      <c r="AB22" s="7" t="s">
        <v>949</v>
      </c>
      <c r="AC22" s="7" t="s">
        <v>954</v>
      </c>
      <c r="AD22" s="7"/>
      <c r="AE22" s="7" t="s">
        <v>950</v>
      </c>
      <c r="AF22" s="7" t="s">
        <v>637</v>
      </c>
      <c r="AG22" s="7" t="s">
        <v>34</v>
      </c>
      <c r="AH22" s="7" t="s">
        <v>147</v>
      </c>
      <c r="AI22" s="7"/>
      <c r="AJ22" s="7" t="s">
        <v>36</v>
      </c>
      <c r="AK22" s="7" t="s">
        <v>36</v>
      </c>
      <c r="AL22" s="7"/>
      <c r="AM22" s="7"/>
      <c r="AN22" s="13" t="s">
        <v>1047</v>
      </c>
      <c r="AO22" s="13"/>
    </row>
    <row r="23" s="1" customFormat="1" ht="69" customHeight="1" spans="1:41">
      <c r="A23" s="4" t="s">
        <v>1029</v>
      </c>
      <c r="B23" s="4" t="s">
        <v>1030</v>
      </c>
      <c r="C23" s="11" t="s">
        <v>596</v>
      </c>
      <c r="D23" s="7" t="s">
        <v>945</v>
      </c>
      <c r="E23" s="7" t="s">
        <v>514</v>
      </c>
      <c r="F23" s="7" t="s">
        <v>946</v>
      </c>
      <c r="G23" s="7" t="s">
        <v>147</v>
      </c>
      <c r="H23" s="7" t="s">
        <v>148</v>
      </c>
      <c r="I23" s="7"/>
      <c r="J23" s="7" t="s">
        <v>149</v>
      </c>
      <c r="K23" s="7" t="s">
        <v>151</v>
      </c>
      <c r="L23" s="7" t="s">
        <v>150</v>
      </c>
      <c r="M23" s="7" t="s">
        <v>151</v>
      </c>
      <c r="N23" s="7" t="s">
        <v>150</v>
      </c>
      <c r="O23" s="7" t="s">
        <v>151</v>
      </c>
      <c r="P23" s="7" t="s">
        <v>151</v>
      </c>
      <c r="Q23" s="7"/>
      <c r="R23" s="7" t="s">
        <v>150</v>
      </c>
      <c r="S23" s="7" t="s">
        <v>512</v>
      </c>
      <c r="T23" s="7" t="s">
        <v>945</v>
      </c>
      <c r="U23" s="7"/>
      <c r="V23" s="7"/>
      <c r="W23" s="7"/>
      <c r="X23" s="7" t="s">
        <v>154</v>
      </c>
      <c r="Y23" s="7" t="s">
        <v>513</v>
      </c>
      <c r="Z23" s="7" t="s">
        <v>156</v>
      </c>
      <c r="AA23" s="7" t="s">
        <v>948</v>
      </c>
      <c r="AB23" s="7" t="s">
        <v>949</v>
      </c>
      <c r="AC23" s="7" t="s">
        <v>1031</v>
      </c>
      <c r="AD23" s="7"/>
      <c r="AE23" s="7" t="s">
        <v>950</v>
      </c>
      <c r="AF23" s="7" t="s">
        <v>637</v>
      </c>
      <c r="AG23" s="7" t="s">
        <v>34</v>
      </c>
      <c r="AH23" s="7" t="s">
        <v>147</v>
      </c>
      <c r="AI23" s="7" t="s">
        <v>1032</v>
      </c>
      <c r="AJ23" s="7" t="s">
        <v>36</v>
      </c>
      <c r="AK23" s="7" t="s">
        <v>36</v>
      </c>
      <c r="AL23" s="7"/>
      <c r="AM23" s="7"/>
      <c r="AN23" s="13" t="s">
        <v>1047</v>
      </c>
      <c r="AO23" s="13"/>
    </row>
    <row r="24" s="1" customFormat="1" ht="69" customHeight="1" spans="1:41">
      <c r="A24" s="4" t="s">
        <v>1033</v>
      </c>
      <c r="B24" s="4" t="s">
        <v>1034</v>
      </c>
      <c r="C24" s="11" t="s">
        <v>596</v>
      </c>
      <c r="D24" s="7" t="s">
        <v>945</v>
      </c>
      <c r="E24" s="7" t="s">
        <v>514</v>
      </c>
      <c r="F24" s="7" t="s">
        <v>946</v>
      </c>
      <c r="G24" s="7" t="s">
        <v>147</v>
      </c>
      <c r="H24" s="7" t="s">
        <v>148</v>
      </c>
      <c r="I24" s="7"/>
      <c r="J24" s="7" t="s">
        <v>149</v>
      </c>
      <c r="K24" s="7" t="s">
        <v>151</v>
      </c>
      <c r="L24" s="7" t="s">
        <v>150</v>
      </c>
      <c r="M24" s="7" t="s">
        <v>151</v>
      </c>
      <c r="N24" s="7" t="s">
        <v>150</v>
      </c>
      <c r="O24" s="7" t="s">
        <v>151</v>
      </c>
      <c r="P24" s="7" t="s">
        <v>151</v>
      </c>
      <c r="Q24" s="7"/>
      <c r="R24" s="7" t="s">
        <v>150</v>
      </c>
      <c r="S24" s="7" t="s">
        <v>512</v>
      </c>
      <c r="T24" s="7" t="s">
        <v>945</v>
      </c>
      <c r="U24" s="7"/>
      <c r="V24" s="7"/>
      <c r="W24" s="7"/>
      <c r="X24" s="7" t="s">
        <v>154</v>
      </c>
      <c r="Y24" s="7" t="s">
        <v>513</v>
      </c>
      <c r="Z24" s="7" t="s">
        <v>156</v>
      </c>
      <c r="AA24" s="7" t="s">
        <v>948</v>
      </c>
      <c r="AB24" s="7" t="s">
        <v>949</v>
      </c>
      <c r="AC24" s="7" t="s">
        <v>1035</v>
      </c>
      <c r="AD24" s="7"/>
      <c r="AE24" s="7" t="s">
        <v>950</v>
      </c>
      <c r="AF24" s="7" t="s">
        <v>637</v>
      </c>
      <c r="AG24" s="7" t="s">
        <v>1036</v>
      </c>
      <c r="AH24" s="7" t="s">
        <v>147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1047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Edit_Booking_1_Player_VC</vt:lpstr>
      <vt:lpstr>Edit_Booking_4_Player</vt:lpstr>
      <vt:lpstr>Edit_Booking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2025-12-08T10:45:59Z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