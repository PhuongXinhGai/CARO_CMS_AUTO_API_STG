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13" activeTab="17"/>
  </bookViews>
  <sheets>
    <sheet name="quote_fee_1_player" sheetId="6" r:id="rId1"/>
    <sheet name="quote_fee_1_player_VC" sheetId="24" r:id="rId2"/>
    <sheet name="Create_Booking_1_Player" sheetId="3" r:id="rId3"/>
    <sheet name="Create_Booking_1_Player_VC" sheetId="11" r:id="rId4"/>
    <sheet name="Create_Booking_4_Player" sheetId="12" r:id="rId5"/>
    <sheet name="Create_Booking_At_TeeTime" sheetId="13" r:id="rId6"/>
    <sheet name="Get_List_Booking_Select" sheetId="8" r:id="rId7"/>
    <sheet name="Get_Booking_Price" sheetId="9" r:id="rId8"/>
    <sheet name="Get_Booking_Price_Player1" sheetId="20" r:id="rId9"/>
    <sheet name="Get_Booking_Price_Player2" sheetId="21" r:id="rId10"/>
    <sheet name="Get_Booking_Price_Player3" sheetId="22" r:id="rId11"/>
    <sheet name="Get_Booking_Price_Player4" sheetId="23" r:id="rId12"/>
    <sheet name="Edit_Booking_At_TeeTime_Player1" sheetId="14" r:id="rId13"/>
    <sheet name="Edit_Booking_At_TeeTime_Player2" sheetId="16" r:id="rId14"/>
    <sheet name="Edit_Booking_At_TeeTime_Player3" sheetId="17" r:id="rId15"/>
    <sheet name="Edit_Booking_At_TeeTime_Player4" sheetId="18" r:id="rId16"/>
    <sheet name="Edit_Booking_1_Player" sheetId="10" r:id="rId17"/>
    <sheet name="Edit_Booking_1_Player_VC" sheetId="25" r:id="rId18"/>
    <sheet name="Edit_Booking_4_Player" sheetId="15" r:id="rId19"/>
    <sheet name="Edit_Booking" sheetId="4" r:id="rId20"/>
    <sheet name="testcase" sheetId="1" state="hidden" r:id="rId21"/>
    <sheet name="testcase_DB" sheetId="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N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BE không dùng</t>
        </r>
      </text>
    </comment>
  </commentList>
</comments>
</file>

<file path=xl/comments2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3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4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CU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EQ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GM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5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6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7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8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sharedStrings.xml><?xml version="1.0" encoding="utf-8"?>
<sst xmlns="http://schemas.openxmlformats.org/spreadsheetml/2006/main" count="12227" uniqueCount="1200">
  <si>
    <t>tc_id</t>
  </si>
  <si>
    <t>tc_description</t>
  </si>
  <si>
    <t>expected_result</t>
  </si>
  <si>
    <t>input_placeholders</t>
  </si>
  <si>
    <t>partner_uid</t>
  </si>
  <si>
    <t>course_uid</t>
  </si>
  <si>
    <t>list_player[0].booking_date</t>
  </si>
  <si>
    <t>list_player[0].guest_style</t>
  </si>
  <si>
    <t>list_player[0].caddie_code</t>
  </si>
  <si>
    <t>list_player[0].tee_type</t>
  </si>
  <si>
    <t>list_player[0].tee_time</t>
  </si>
  <si>
    <t>list_player[0].hole</t>
  </si>
  <si>
    <t>list_player[0].add_ons</t>
  </si>
  <si>
    <t>list_player[0].player_idx</t>
  </si>
  <si>
    <t>list_player[0].voucher_apply</t>
  </si>
  <si>
    <t>expected_validation_data</t>
  </si>
  <si>
    <t>status_code</t>
  </si>
  <si>
    <t>assert_size</t>
  </si>
  <si>
    <t>assert_total_amount</t>
  </si>
  <si>
    <t>assert_list_player[0].total_fee</t>
  </si>
  <si>
    <t>assert_list_player[0].golf_fee</t>
  </si>
  <si>
    <t>assert_list_player[0].green_fee</t>
  </si>
  <si>
    <t>assert_list_player[0].caddie_fee</t>
  </si>
  <si>
    <t>assert_list_player[0].buggy_fee</t>
  </si>
  <si>
    <t>assert_list_player[0].hole</t>
  </si>
  <si>
    <t>assert_list_player[0].golf_fee_res.guest_style</t>
  </si>
  <si>
    <t>assert_list_player[0].golf_fee_res.dow</t>
  </si>
  <si>
    <t>QF_001</t>
  </si>
  <si>
    <t>VST_Kiểm tra giá dự kiến khi booking 1 player</t>
  </si>
  <si>
    <t>success</t>
  </si>
  <si>
    <t>quote_fee_request.json</t>
  </si>
  <si>
    <t>{{CTX:PARTNER_UID}}</t>
  </si>
  <si>
    <t>{{CTX:COURSE_UID}}</t>
  </si>
  <si>
    <t>{{TODAY}}</t>
  </si>
  <si>
    <t>4D</t>
  </si>
  <si>
    <t>18:00</t>
  </si>
  <si>
    <t>[]</t>
  </si>
  <si>
    <t>quote_fee_expect.json</t>
  </si>
  <si>
    <t>QF_002</t>
  </si>
  <si>
    <t>MB_Kiểm tra giá dự kiến khi booking 1 player</t>
  </si>
  <si>
    <t>QF_003</t>
  </si>
  <si>
    <t>MBG_Kiểm tra giá dự kiến khi booking 1 player</t>
  </si>
  <si>
    <t>18:08</t>
  </si>
  <si>
    <t>QF_004</t>
  </si>
  <si>
    <t>NG_Kiểm tra giá dự kiến khi booking none golf</t>
  </si>
  <si>
    <t>18:16</t>
  </si>
  <si>
    <t>QF_005</t>
  </si>
  <si>
    <t>AG_Kiểm tra giá dự kiến khi booking 1 player</t>
  </si>
  <si>
    <t>5D</t>
  </si>
  <si>
    <t>QF_006</t>
  </si>
  <si>
    <t>VST_Kiểm tra giá dự kiến khi booking 1 player có đặt caddie</t>
  </si>
  <si>
    <t>01</t>
  </si>
  <si>
    <t>QF_007</t>
  </si>
  <si>
    <t>MB_Kiểm tra giá dự kiến khi booking 1 player có đặt caddie</t>
  </si>
  <si>
    <t>02</t>
  </si>
  <si>
    <t>QF_008</t>
  </si>
  <si>
    <t>MBG_Kiểm tra giá dự kiến khi booking 1 player có đặt caddie</t>
  </si>
  <si>
    <t>03</t>
  </si>
  <si>
    <t>QF_009</t>
  </si>
  <si>
    <t>AG_Kiểm tra giá dự kiến khi booking 1 player có đặt caddie</t>
  </si>
  <si>
    <t>04</t>
  </si>
  <si>
    <t>VST_QF_001</t>
  </si>
  <si>
    <t xml:space="preserve">VST_Kiểm tra giá dự kiến khi booking 1 player  </t>
  </si>
  <si>
    <t>VST</t>
  </si>
  <si>
    <t>AGENT_QF_001</t>
  </si>
  <si>
    <t>AGENT</t>
  </si>
  <si>
    <t>list_player[0].voucher_apply[0].id</t>
  </si>
  <si>
    <t>list_player[0].voucher_apply[0].voucher_code</t>
  </si>
  <si>
    <t>Khách lẻ</t>
  </si>
  <si>
    <t>Apply voucher giảm giá thông thường: Giảm 200k green fee</t>
  </si>
  <si>
    <t>VST_QF_VC_GREEN_001</t>
  </si>
  <si>
    <t>VST_Kiểm tra giá dự kiến khi add voucher giảm 200k green</t>
  </si>
  <si>
    <t>quote_fee_1_voucher_request.json</t>
  </si>
  <si>
    <t>GREEN41</t>
  </si>
  <si>
    <t>Apply voucher giảm giá thông thường: Giảm 2tr1 cho green + caddie + 1/2 xe + packge</t>
  </si>
  <si>
    <t>VST_QF_VC_4FEE_001</t>
  </si>
  <si>
    <t>VST_Kiểm tra giá dự kiến khi add voucher giảm 2tr1 cho green + caddie + 1/2 xe + packge</t>
  </si>
  <si>
    <t>CNTT4FEE21</t>
  </si>
  <si>
    <t>Apply voucher giảm giá thông thường: Giảm 10% green fee</t>
  </si>
  <si>
    <t>VST_QF_VC_GREEN_10_001</t>
  </si>
  <si>
    <t>VST_Kiểm tra giá dự kiến khi add voucher giảm 10% green</t>
  </si>
  <si>
    <t>GREEN51</t>
  </si>
  <si>
    <t>Apply voucher giảm giá thông thường: Giảm 10% tất cả fee</t>
  </si>
  <si>
    <t>VST_QF_VC_ALL_10_001</t>
  </si>
  <si>
    <t>VST_Kiểm tra giá dự kiến khi add voucher giảm 10% all fee</t>
  </si>
  <si>
    <t>CN10001</t>
  </si>
  <si>
    <t>Apply voucher giảm giá cố định: Green + caddie + 1/2 xe + packge</t>
  </si>
  <si>
    <t>VST_QF_VC_CD4FEE_001</t>
  </si>
  <si>
    <t>VST_Kiểm tra giá dự kiến khi add voucher giảm giá cố định: Green + caddie + 1/2 xe + packge</t>
  </si>
  <si>
    <t>CD4FEE1</t>
  </si>
  <si>
    <t>Apply voucher trả trước: Green + caddie + 1/2 xe + packge</t>
  </si>
  <si>
    <t>VST_QF_VC_TT4FEE_001</t>
  </si>
  <si>
    <t>VST_Kiểm tra giá dự kiến khi add voucher trả trước: Green + caddie + 1/2 xe + packge</t>
  </si>
  <si>
    <t>TT4FEE11</t>
  </si>
  <si>
    <t>Đại lý</t>
  </si>
  <si>
    <t>AGENT_QF_VC_GREEN_001</t>
  </si>
  <si>
    <t>AGENT_Kiểm tra giá dự kiến khi add voucher giảm 200k green</t>
  </si>
  <si>
    <t>GREEN21</t>
  </si>
  <si>
    <t>AGENT_QF_VC_4FEE_001</t>
  </si>
  <si>
    <t>AGENT_Kiểm tra giá dự kiến khi add voucher giảm 2tr1 cho green + caddie + 1/2 xe + packge</t>
  </si>
  <si>
    <t>4FEE11</t>
  </si>
  <si>
    <t>AGENT_QF_VC_GREEN_10_001</t>
  </si>
  <si>
    <t>AGENT_Kiểm tra giá dự kiến khi add voucher giảm 10% green</t>
  </si>
  <si>
    <t>GREEN31</t>
  </si>
  <si>
    <t>AGENT_QF_VC_ALL_10_001</t>
  </si>
  <si>
    <t>AGENT_Kiểm tra giá dự kiến khi add voucher giảm 10% all fee</t>
  </si>
  <si>
    <t>ALL11</t>
  </si>
  <si>
    <t>AGENT_QF_VC_CD4FEE_001</t>
  </si>
  <si>
    <t>AGENT_Kiểm tra giá dự kiến khi add voucher giảm giá cố định: Green + caddie + 1/2 xe + packge</t>
  </si>
  <si>
    <t>CD4FEE11</t>
  </si>
  <si>
    <t>AGENT_QF_VC_TT4FEE_001</t>
  </si>
  <si>
    <t>AGENT_Kiểm tra giá dự kiến khi add voucher trả trước: Green + caddie + 1/2 xe + packge</t>
  </si>
  <si>
    <t>TT4FEE21</t>
  </si>
  <si>
    <t>booking_list[0].cms_user</t>
  </si>
  <si>
    <t>booking_list[0].partner_uid</t>
  </si>
  <si>
    <t>booking_list[0].course_uid</t>
  </si>
  <si>
    <t>booking_list[0].hole_booking</t>
  </si>
  <si>
    <t>booking_list[0].customer_booking_name</t>
  </si>
  <si>
    <t>booking_list[0].customer_booking_phone</t>
  </si>
  <si>
    <t>booking_list[0].customer_booking_email</t>
  </si>
  <si>
    <t>booking_list[0].agency_id</t>
  </si>
  <si>
    <t>booking_list[0].agency_player_pay</t>
  </si>
  <si>
    <t>booking_list[0].agency_paid_all</t>
  </si>
  <si>
    <t>booking_list[0].fee_info.golf_fee</t>
  </si>
  <si>
    <t>booking_list[0].fee_info.buggy_fee</t>
  </si>
  <si>
    <t>booking_list[0].fee_info.private_car_fee</t>
  </si>
  <si>
    <t>booking_list[0].fee_info.odd_car_fee</t>
  </si>
  <si>
    <t>booking_list[0].fee_info.caddie_fee</t>
  </si>
  <si>
    <t>booking_list[0].fee_info.has_price_spread</t>
  </si>
  <si>
    <t>booking_list[0].fee_info.package_add_on_fee</t>
  </si>
  <si>
    <t>booking_list[0].fee_info.add_on_fee</t>
  </si>
  <si>
    <t>booking_list[0].booking_restaurant.enable</t>
  </si>
  <si>
    <t>booking_list[0].booking_restaurant.number_people</t>
  </si>
  <si>
    <t>booking_list[0].booking_retal.enable</t>
  </si>
  <si>
    <t>booking_list[0].booking_retal.golf_set_number</t>
  </si>
  <si>
    <t>booking_list[0].booking_retal.buggy_number</t>
  </si>
  <si>
    <t>booking_list[0].note_of_booking</t>
  </si>
  <si>
    <t>booking_list[0].sale_name</t>
  </si>
  <si>
    <t>booking_list[0].sale_account</t>
  </si>
  <si>
    <t>booking_list[0].customer_name</t>
  </si>
  <si>
    <t>booking_list[0].caddie_code</t>
  </si>
  <si>
    <t>booking_list[0].caddie_booking</t>
  </si>
  <si>
    <t>booking_list[0].tee_type</t>
  </si>
  <si>
    <t>booking_list[0].course_type</t>
  </si>
  <si>
    <t>booking_list[0].tee_path</t>
  </si>
  <si>
    <t>booking_list[0].tee_time</t>
  </si>
  <si>
    <t>booking_list[0].turn_time</t>
  </si>
  <si>
    <t>booking_list[0].row_index</t>
  </si>
  <si>
    <t>booking_list[0].tee_time_after</t>
  </si>
  <si>
    <t>booking_list[0].customer_nationality_id</t>
  </si>
  <si>
    <t>booking_list[0].gender</t>
  </si>
  <si>
    <t>booking_list[0].guest_style</t>
  </si>
  <si>
    <t>booking_list[0].hole</t>
  </si>
  <si>
    <t>booking_list[0].booking_date</t>
  </si>
  <si>
    <t>booking_list[0].add_ons</t>
  </si>
  <si>
    <t>booking_list[0].customer_booking_uid</t>
  </si>
  <si>
    <t>booking_list[0].customer_booking_member_card_uid</t>
  </si>
  <si>
    <t>booking_list[0].customer_booking_card_id</t>
  </si>
  <si>
    <t>booking_list[0].member_uid_of_guest</t>
  </si>
  <si>
    <t>booking_list[0].member_card_uid</t>
  </si>
  <si>
    <t>booking_list[0].voucher_apply</t>
  </si>
  <si>
    <t>assert_[0].uid</t>
  </si>
  <si>
    <t>assert_[0].customer_booking_name</t>
  </si>
  <si>
    <t>assert_[0].guest_style</t>
  </si>
  <si>
    <t>assert_[0].IsCheckedIn</t>
  </si>
  <si>
    <t>assert_[0].bag_status</t>
  </si>
  <si>
    <t>assert_[0].bill_code</t>
  </si>
  <si>
    <t>assert_[0].booking_code</t>
  </si>
  <si>
    <t>assert_[0].customer_type</t>
  </si>
  <si>
    <t>assert_[0].has_book_caddie</t>
  </si>
  <si>
    <t>VST_BB_001</t>
  </si>
  <si>
    <t>VST_Kiểm tra booking 1 player</t>
  </si>
  <si>
    <t>create_booking_batch_request.json</t>
  </si>
  <si>
    <t>{{CTX:USER_NAME}}</t>
  </si>
  <si>
    <t>18</t>
  </si>
  <si>
    <t>PhuongTT</t>
  </si>
  <si>
    <t>phuongtt@caro.vn</t>
  </si>
  <si>
    <t>false</t>
  </si>
  <si>
    <t>0</t>
  </si>
  <si>
    <t>{{CTX:FULL_NAME}}</t>
  </si>
  <si>
    <t>VST 1</t>
  </si>
  <si>
    <t>1</t>
  </si>
  <si>
    <t>B</t>
  </si>
  <si>
    <t>NIGHT</t>
  </si>
  <si>
    <t>20:24</t>
  </si>
  <si>
    <t>null</t>
  </si>
  <si>
    <t>FEMALE</t>
  </si>
  <si>
    <t>create_booking_batch_expect.json</t>
  </si>
  <si>
    <t>NOT_NULL</t>
  </si>
  <si>
    <t>BOOKING</t>
  </si>
  <si>
    <t>VISITOR</t>
  </si>
  <si>
    <t>VST_BB_002</t>
  </si>
  <si>
    <t>VST 2</t>
  </si>
  <si>
    <t>VST_BB_003</t>
  </si>
  <si>
    <t>VST 3</t>
  </si>
  <si>
    <t>VST_BB_004</t>
  </si>
  <si>
    <t>VST 4</t>
  </si>
  <si>
    <t>VST_BB_005</t>
  </si>
  <si>
    <t>VST 5</t>
  </si>
  <si>
    <t>20:32</t>
  </si>
  <si>
    <t>VST_BB_006</t>
  </si>
  <si>
    <t>VST 6</t>
  </si>
  <si>
    <t>VST_BB_007</t>
  </si>
  <si>
    <t>VST 7</t>
  </si>
  <si>
    <t>VST_BB_008</t>
  </si>
  <si>
    <t>VST 8</t>
  </si>
  <si>
    <t>VST_BB_009</t>
  </si>
  <si>
    <t>VST 9</t>
  </si>
  <si>
    <t>VST_BB_010</t>
  </si>
  <si>
    <t>VST 10</t>
  </si>
  <si>
    <t>VST_BB_011</t>
  </si>
  <si>
    <t>VST 11</t>
  </si>
  <si>
    <t>VST_BB_012</t>
  </si>
  <si>
    <t>VST 12</t>
  </si>
  <si>
    <t>VST_BB_013</t>
  </si>
  <si>
    <t>VST 13</t>
  </si>
  <si>
    <t>VST_BB_014</t>
  </si>
  <si>
    <t>VST 14</t>
  </si>
  <si>
    <t>VST_BB_015</t>
  </si>
  <si>
    <t>VST 15</t>
  </si>
  <si>
    <t>VST_BB_016</t>
  </si>
  <si>
    <t>VST 16</t>
  </si>
  <si>
    <t>VST_BB_017</t>
  </si>
  <si>
    <t>VST 17</t>
  </si>
  <si>
    <t>VST_BB_018</t>
  </si>
  <si>
    <t>VST 18</t>
  </si>
  <si>
    <t>VST_BB_019</t>
  </si>
  <si>
    <t>VST 19</t>
  </si>
  <si>
    <t>VST_BB_020</t>
  </si>
  <si>
    <t>VST 20</t>
  </si>
  <si>
    <t>VST_BB_021</t>
  </si>
  <si>
    <t>VST 21</t>
  </si>
  <si>
    <t>VST_BB_022</t>
  </si>
  <si>
    <t>VST 22</t>
  </si>
  <si>
    <t>VST_BB_023</t>
  </si>
  <si>
    <t>VST 23</t>
  </si>
  <si>
    <t>VST_BB_024</t>
  </si>
  <si>
    <t>VST 24</t>
  </si>
  <si>
    <t>VST_BB_025</t>
  </si>
  <si>
    <t>VST 25</t>
  </si>
  <si>
    <t>VST_BB_026</t>
  </si>
  <si>
    <t>VST 26</t>
  </si>
  <si>
    <t>VST_BB_027</t>
  </si>
  <si>
    <t>VST 27</t>
  </si>
  <si>
    <t>VST_BB_028</t>
  </si>
  <si>
    <t>VST 28</t>
  </si>
  <si>
    <t>VST_BB_029</t>
  </si>
  <si>
    <t>VST 29</t>
  </si>
  <si>
    <t>VST_BB_030</t>
  </si>
  <si>
    <t>VST 30</t>
  </si>
  <si>
    <t>AGENT_BB_001</t>
  </si>
  <si>
    <t>AGENT_Kiểm tra booking 1 player</t>
  </si>
  <si>
    <t>create_booking_batch_agency_request.json</t>
  </si>
  <si>
    <t>VNPAY</t>
  </si>
  <si>
    <t>0355653300</t>
  </si>
  <si>
    <t>vnpay00@vnpay.vn</t>
  </si>
  <si>
    <t>true</t>
  </si>
  <si>
    <t>Player agent 1</t>
  </si>
  <si>
    <t>TRADITIONAL</t>
  </si>
  <si>
    <t>AGENT_BB_002</t>
  </si>
  <si>
    <t>Player agent 2</t>
  </si>
  <si>
    <t>AGENT_BB_003</t>
  </si>
  <si>
    <t>Player agent 3</t>
  </si>
  <si>
    <t>AGENT_BB_004</t>
  </si>
  <si>
    <t>Player agent 4</t>
  </si>
  <si>
    <t>AGENT_BB_005</t>
  </si>
  <si>
    <t>Player agent 5</t>
  </si>
  <si>
    <t>AGENT_BB_006</t>
  </si>
  <si>
    <t>Player agent 6</t>
  </si>
  <si>
    <t>AGENT_BB_007</t>
  </si>
  <si>
    <t>Player agent 7</t>
  </si>
  <si>
    <t>AGENT_BB_008</t>
  </si>
  <si>
    <t>Player agent 8</t>
  </si>
  <si>
    <t>AGENT_BB_009</t>
  </si>
  <si>
    <t>Player agent 9</t>
  </si>
  <si>
    <t>AGENT_BB_010</t>
  </si>
  <si>
    <t>Player agent 10</t>
  </si>
  <si>
    <t>AGENT_BB_011</t>
  </si>
  <si>
    <t>Player agent 11</t>
  </si>
  <si>
    <t>AGENT_BB_012</t>
  </si>
  <si>
    <t>Player agent 12</t>
  </si>
  <si>
    <t>AGENT_BB_013</t>
  </si>
  <si>
    <t>Player agent 13</t>
  </si>
  <si>
    <t>AGENT_BB_014</t>
  </si>
  <si>
    <t>Player agent 14</t>
  </si>
  <si>
    <t>AGENT_BB_015</t>
  </si>
  <si>
    <t>Player agent 15</t>
  </si>
  <si>
    <t>AGENT_BB_016</t>
  </si>
  <si>
    <t>Player agent 16</t>
  </si>
  <si>
    <t>AGENT_BB_017</t>
  </si>
  <si>
    <t>Player agent 17</t>
  </si>
  <si>
    <t>AGENT_BB_018</t>
  </si>
  <si>
    <t>Player agent 18</t>
  </si>
  <si>
    <t>AGENT_BB_019</t>
  </si>
  <si>
    <t>Player agent 19</t>
  </si>
  <si>
    <t>AGENT_BB_020</t>
  </si>
  <si>
    <t>Player agent 20</t>
  </si>
  <si>
    <t>AGENT_BB_021</t>
  </si>
  <si>
    <t>Player agent 21</t>
  </si>
  <si>
    <t>AGENT_BB_022</t>
  </si>
  <si>
    <t>Player agent 22</t>
  </si>
  <si>
    <t>AGENT_BB_023</t>
  </si>
  <si>
    <t>Player agent 23</t>
  </si>
  <si>
    <t>AGENT_BB_024</t>
  </si>
  <si>
    <t>Player agent 24</t>
  </si>
  <si>
    <t>AGENT_BB_025</t>
  </si>
  <si>
    <t>Player agent 25</t>
  </si>
  <si>
    <t>AGENT_BB_026</t>
  </si>
  <si>
    <t>Player agent 26</t>
  </si>
  <si>
    <t>AGENT_BB_027</t>
  </si>
  <si>
    <t>Player agent 27</t>
  </si>
  <si>
    <t>AGENT_BB_028</t>
  </si>
  <si>
    <t>Player agent 28</t>
  </si>
  <si>
    <t>AGENT_BB_029</t>
  </si>
  <si>
    <t>Player agent 29</t>
  </si>
  <si>
    <t>AGENT_BB_030</t>
  </si>
  <si>
    <t>Player agent 30</t>
  </si>
  <si>
    <t>BB_002</t>
  </si>
  <si>
    <t>MB_Kiểm tra booking 1 player</t>
  </si>
  <si>
    <t>Trần Phương MB</t>
  </si>
  <si>
    <t>8d1f5ddd-25fb-4ed1-9da9-5e2c0d4aff60</t>
  </si>
  <si>
    <t>PTT01_ID_Card</t>
  </si>
  <si>
    <t>MEMBER</t>
  </si>
  <si>
    <t>BB_003</t>
  </si>
  <si>
    <t>MBG_Kiểm tra booking 1 player</t>
  </si>
  <si>
    <t>MBG 1</t>
  </si>
  <si>
    <t>GUEST</t>
  </si>
  <si>
    <t>BB_004</t>
  </si>
  <si>
    <t>NG_Kiểm tra booking none golf</t>
  </si>
  <si>
    <t>Khách None Golf</t>
  </si>
  <si>
    <t>None Golf</t>
  </si>
  <si>
    <t>NONE_GOLF</t>
  </si>
  <si>
    <t>BB_005</t>
  </si>
  <si>
    <t>AG_Kiểm tra booking 1 player</t>
  </si>
  <si>
    <t>Player name 1</t>
  </si>
  <si>
    <t>BB_006</t>
  </si>
  <si>
    <t>VST_Kiểm tra booking 1 player có đặt caddie</t>
  </si>
  <si>
    <t>BB_007</t>
  </si>
  <si>
    <t>MB_Kiểm tra booking 1 player có đặt caddie</t>
  </si>
  <si>
    <t>BB_008</t>
  </si>
  <si>
    <t>MBG_Kiểm tra booking 1 player có đặt caddie</t>
  </si>
  <si>
    <t>MBG 2</t>
  </si>
  <si>
    <t>BB_009</t>
  </si>
  <si>
    <t>AG_Kiểm tra booking 1 player có đặt caddie</t>
  </si>
  <si>
    <t>Player name 2</t>
  </si>
  <si>
    <t>20:40</t>
  </si>
  <si>
    <t>BB_010</t>
  </si>
  <si>
    <t>AG_Kiểm tra booking 1 player: Agency tích tất cả các fee</t>
  </si>
  <si>
    <t>BB_011</t>
  </si>
  <si>
    <t>AG_Kiểm tra booking 1 player: Tích agency_paid_all</t>
  </si>
  <si>
    <t>BB_012</t>
  </si>
  <si>
    <t>AG_Kiểm tra booking 1 player: Tích Player Pay</t>
  </si>
  <si>
    <t>booking_list[0].voucher_apply[0].id</t>
  </si>
  <si>
    <t>booking_list[0].voucher_apply[0].voucher_code</t>
  </si>
  <si>
    <t>VST_BB_VC_GREEN_001</t>
  </si>
  <si>
    <t>Tạo booking apply voucher giảm giá 200k phí green</t>
  </si>
  <si>
    <t>create_booking_batch_1_player_1voucher_request.json</t>
  </si>
  <si>
    <t>C</t>
  </si>
  <si>
    <t>VST_BB_VC_GREEN_002</t>
  </si>
  <si>
    <t>VST_BB_VC_GREEN_003</t>
  </si>
  <si>
    <t>VST_BB_VC_GREEN_004</t>
  </si>
  <si>
    <t>VST_BB_VC_GREEN_005</t>
  </si>
  <si>
    <t>Apply voucher giảm giá thông thường: Giảm 2tr1 cho green + caddie + 1/2 xe + package</t>
  </si>
  <si>
    <t>VST_BB_VC_4FEE_001</t>
  </si>
  <si>
    <t>Tạo booking apply voucher giảm giá 4 fee: Green fee + caddie + 1/2 xe + package</t>
  </si>
  <si>
    <t>VST_BB_VC_4FEE_002</t>
  </si>
  <si>
    <t>VST_BB_VC_4FEE_003</t>
  </si>
  <si>
    <t>VST_BB_VC_4FEE_004</t>
  </si>
  <si>
    <t>VST_BB_VC_4FEE_005</t>
  </si>
  <si>
    <t>Apply voucher giảm giá thông thường: Giảm 10% green</t>
  </si>
  <si>
    <t>VST_BB_VC_GREEN_10_001</t>
  </si>
  <si>
    <t>Tạo booking apply voucher giảm giá 10% phí green</t>
  </si>
  <si>
    <t>VST_BB_VC_GREEN_10_002</t>
  </si>
  <si>
    <t>VST_BB_VC_GREEN_10_003</t>
  </si>
  <si>
    <t>VST_BB_VC_GREEN_10_004</t>
  </si>
  <si>
    <t>VST_BB_VC_GREEN_10_005</t>
  </si>
  <si>
    <t>Apply voucher giảm giá thông thường: Giảm 10% all fee</t>
  </si>
  <si>
    <t>VST_BB_VC_ALL_10_001</t>
  </si>
  <si>
    <t>Tạo booking apply voucher giảm giá 10% all fee</t>
  </si>
  <si>
    <t>VST_BB_VC_ALL_10_002</t>
  </si>
  <si>
    <t>VST_BB_VC_ALL_10_003</t>
  </si>
  <si>
    <t>VST_BB_VC_ALL_10_004</t>
  </si>
  <si>
    <t>VST_BB_VC_ALL_10_005</t>
  </si>
  <si>
    <t>Apply voucher giảm giá cố định: Green + Caddie + 1/2 xe + package</t>
  </si>
  <si>
    <t>VST_BB_VC_CD4FEE_001</t>
  </si>
  <si>
    <t>Tạo booking apply voucher giảm giá cố định: Green + caddie + 1/2 xe + Package</t>
  </si>
  <si>
    <t>VST_BB_VC_CD4FEE_002</t>
  </si>
  <si>
    <t>VST_BB_VC_CD4FEE_003</t>
  </si>
  <si>
    <t>VST_BB_VC_CD4FEE_004</t>
  </si>
  <si>
    <t>VST_BB_VC_CD4FEE_005</t>
  </si>
  <si>
    <t>Apply voucher trả trước: Green + Caddie + 1/2 xe + package</t>
  </si>
  <si>
    <t>VST_BB_VC_TT4FEE_001</t>
  </si>
  <si>
    <t>Tạo booking apply voucher trả trước: Green + caddie + 1/2 xe + Package</t>
  </si>
  <si>
    <t>VST_BB_VC_TT4FEE_002</t>
  </si>
  <si>
    <t>VST_BB_VC_TT4FEE_003</t>
  </si>
  <si>
    <t>VST_BB_VC_TT4FEE_004</t>
  </si>
  <si>
    <t>VST_BB_VC_TT4FEE_005</t>
  </si>
  <si>
    <t>AGENT_BB_VC_GREEN_001</t>
  </si>
  <si>
    <t>AGENT_BB_VC_GREEN_002</t>
  </si>
  <si>
    <t>AGENT_BB_VC_GREEN_003</t>
  </si>
  <si>
    <t>AGENT_BB_VC_GREEN_004</t>
  </si>
  <si>
    <t>AGENT_BB_VC_GREEN_005</t>
  </si>
  <si>
    <t>AGENT_BB_VC_4FEE_001</t>
  </si>
  <si>
    <t>AGENT_BB_VC_4FEE_002</t>
  </si>
  <si>
    <t>AGENT_BB_VC_4FEE_003</t>
  </si>
  <si>
    <t>AGENT_BB_VC_4FEE_004</t>
  </si>
  <si>
    <t>AGENT_BB_VC_4FEE_005</t>
  </si>
  <si>
    <t>AGENT_BB_VC_GREEN_10_001</t>
  </si>
  <si>
    <t>AGENT_BB_VC_GREEN_10_002</t>
  </si>
  <si>
    <t>AGENT_BB_VC_GREEN_10_003</t>
  </si>
  <si>
    <t>AGENT_BB_VC_GREEN_10_004</t>
  </si>
  <si>
    <t>AGENT_BB_VC_GREEN_10_005</t>
  </si>
  <si>
    <t>AGENT_BB_VC_ALL_10_001</t>
  </si>
  <si>
    <t>AGENT_BB_VC_ALL_10_002</t>
  </si>
  <si>
    <t>AGENT_BB_VC_ALL_10_003</t>
  </si>
  <si>
    <t>AGENT_BB_VC_ALL_10_004</t>
  </si>
  <si>
    <t>AGENT_BB_VC_ALL_10_005</t>
  </si>
  <si>
    <t>AGENT_BB_VC_CD4FEE_001</t>
  </si>
  <si>
    <t>AGENT_BB_VC_CD4FEE_002</t>
  </si>
  <si>
    <t>AGENT_BB_VC_CD4FEE_003</t>
  </si>
  <si>
    <t>AGENT_BB_VC_CD4FEE_004</t>
  </si>
  <si>
    <t>AGENT_BB_VC_CD4FEE_005</t>
  </si>
  <si>
    <t>AGENT_BB_VC_TT4FEE_001</t>
  </si>
  <si>
    <t>AGENT_BB_VC_TT4FEE_002</t>
  </si>
  <si>
    <t>AGENT_BB_VC_TT4FEE_003</t>
  </si>
  <si>
    <t>AGENT_BB_VC_TT4FEE_004</t>
  </si>
  <si>
    <t>AGENT_BB_VC_TT4FEE_005</t>
  </si>
  <si>
    <t>BB_VC_VST_005</t>
  </si>
  <si>
    <t>Verify create batch booking for Visitor without package + apply normal voucher (percent, apply to all fee types)</t>
  </si>
  <si>
    <t>BB_VC_VST_006</t>
  </si>
  <si>
    <t>Verify create batch booking for Visitor without package + apply normal voucher (percent, apply to green fee only)</t>
  </si>
  <si>
    <t>GR10001</t>
  </si>
  <si>
    <t>BB_VC_VST_007</t>
  </si>
  <si>
    <t>Verify create batch booking for Visitor without package + apply normal voucher (percent, apply to caddie fee only)</t>
  </si>
  <si>
    <t>CD10001</t>
  </si>
  <si>
    <t>BB_VC_VST_008</t>
  </si>
  <si>
    <t>Verify create batch booking for Visitor without package + apply normal voucher (percent, apply to buggy fee only)</t>
  </si>
  <si>
    <t>BG10001</t>
  </si>
  <si>
    <t>Verify create batch booking for Visitor without package + apply fixed discount voucher (fixed discount for 4 fee types: golf/caddie/buggy/add-on package)</t>
  </si>
  <si>
    <t>CD4F0001</t>
  </si>
  <si>
    <t>BB_VC_VST_009</t>
  </si>
  <si>
    <t>Verify create batch booking for Visitor without package + apply fixed discount voucher (fixed discount for green fee)</t>
  </si>
  <si>
    <t>CDGR0001</t>
  </si>
  <si>
    <t>BB_VC_VST_010</t>
  </si>
  <si>
    <t>Verify create batch booking for Visitor without package + apply fixed discount voucher (fixed discount for caddie fee)</t>
  </si>
  <si>
    <t>CDCD0001</t>
  </si>
  <si>
    <t>BB_VC_VST_011</t>
  </si>
  <si>
    <t>Verify create batch booking for Visitor without package + apply fixed discount voucher (fixed discount for half buggy)</t>
  </si>
  <si>
    <t>CDBG0001</t>
  </si>
  <si>
    <t>BB_VC_VST_012</t>
  </si>
  <si>
    <t>Verify create batch booking for Visitor without package + apply fixed discount voucher (fixed discount for add-on package)</t>
  </si>
  <si>
    <t>18:24</t>
  </si>
  <si>
    <t>20:48</t>
  </si>
  <si>
    <t>BB_VC_VST_013</t>
  </si>
  <si>
    <t>Verify create batch booking for Visitor without package + apply prepaid voucher (all 4 fee types: golf/caddie/buggy/add-on)</t>
  </si>
  <si>
    <t>BB_VC_VST_014</t>
  </si>
  <si>
    <t>Verify create batch booking for Visitor without package + apply prepaid voucher (green fee only)</t>
  </si>
  <si>
    <t>BB_VC_VST_015</t>
  </si>
  <si>
    <t>Verify create batch booking for Visitor without package + apply prepaid voucher (caddie fee only)</t>
  </si>
  <si>
    <t>Verify create batch booking for Visitor without package + apply prepaid voucher (half buggy)</t>
  </si>
  <si>
    <t>18:32</t>
  </si>
  <si>
    <t>20:56</t>
  </si>
  <si>
    <t>BB_VC_VST_016</t>
  </si>
  <si>
    <t>Verify create batch booking for Visitor without package + apply prepaid voucher (add-on package)</t>
  </si>
  <si>
    <t>booking_list[1].cms_user</t>
  </si>
  <si>
    <t>booking_list[1].partner_uid</t>
  </si>
  <si>
    <t>booking_list[1].course_uid</t>
  </si>
  <si>
    <t>booking_list[1].hole_booking</t>
  </si>
  <si>
    <t>booking_list[1].customer_booking_name</t>
  </si>
  <si>
    <t>booking_list[1].customer_booking_phone</t>
  </si>
  <si>
    <t>booking_list[1].customer_booking_email</t>
  </si>
  <si>
    <t>booking_list[1].agency_id</t>
  </si>
  <si>
    <t>booking_list[1].agency_player_pay</t>
  </si>
  <si>
    <t>booking_list[1].agency_paid_all</t>
  </si>
  <si>
    <t>booking_list[1].fee_info.golf_fee</t>
  </si>
  <si>
    <t>booking_list[1].fee_info.buggy_fee</t>
  </si>
  <si>
    <t>booking_list[1].fee_info.private_car_fee</t>
  </si>
  <si>
    <t>booking_list[1].fee_info.odd_car_fee</t>
  </si>
  <si>
    <t>booking_list[1].fee_info.caddie_fee</t>
  </si>
  <si>
    <t>booking_list[1].fee_info.has_price_spread</t>
  </si>
  <si>
    <t>booking_list[1].fee_info.package_add_on_fee</t>
  </si>
  <si>
    <t>booking_list[1].fee_info.add_on_fee</t>
  </si>
  <si>
    <t>booking_list[1].booking_restaurant.enable</t>
  </si>
  <si>
    <t>booking_list[1].booking_restaurant.number_people</t>
  </si>
  <si>
    <t>booking_list[1].booking_retal.enable</t>
  </si>
  <si>
    <t>booking_list[1].booking_retal.golf_set_number</t>
  </si>
  <si>
    <t>booking_list[1].booking_retal.buggy_number</t>
  </si>
  <si>
    <t>booking_list[1].note_of_booking</t>
  </si>
  <si>
    <t>booking_list[1].sale_name</t>
  </si>
  <si>
    <t>booking_list[1].sale_account</t>
  </si>
  <si>
    <t>booking_list[1].customer_name</t>
  </si>
  <si>
    <t>booking_list[1].caddie_code</t>
  </si>
  <si>
    <t>booking_list[1].caddie_booking</t>
  </si>
  <si>
    <t>booking_list[1].tee_type</t>
  </si>
  <si>
    <t>booking_list[1].course_type</t>
  </si>
  <si>
    <t>booking_list[1].tee_path</t>
  </si>
  <si>
    <t>booking_list[1].tee_time</t>
  </si>
  <si>
    <t>booking_list[1].turn_time</t>
  </si>
  <si>
    <t>booking_list[1].row_index</t>
  </si>
  <si>
    <t>booking_list[1].tee_time_after</t>
  </si>
  <si>
    <t>booking_list[1].customer_nationality_id</t>
  </si>
  <si>
    <t>booking_list[1].gender</t>
  </si>
  <si>
    <t>booking_list[1].guest_style</t>
  </si>
  <si>
    <t>booking_list[1].hole</t>
  </si>
  <si>
    <t>booking_list[1].booking_date</t>
  </si>
  <si>
    <t>booking_list[1].add_ons</t>
  </si>
  <si>
    <t>booking_list[1].customer_booking_uid</t>
  </si>
  <si>
    <t>booking_list[1].customer_booking_member_card_uid</t>
  </si>
  <si>
    <t>booking_list[1].customer_booking_card_id</t>
  </si>
  <si>
    <t>booking_list[1].member_uid_of_guest</t>
  </si>
  <si>
    <t>booking_list[1].member_card_uid</t>
  </si>
  <si>
    <t>booking_list[1].voucher_apply</t>
  </si>
  <si>
    <t>booking_list[2].cms_user</t>
  </si>
  <si>
    <t>booking_list[2].partner_uid</t>
  </si>
  <si>
    <t>booking_list[2].course_uid</t>
  </si>
  <si>
    <t>booking_list[2].hole_booking</t>
  </si>
  <si>
    <t>booking_list[2].customer_booking_name</t>
  </si>
  <si>
    <t>booking_list[2].customer_booking_phone</t>
  </si>
  <si>
    <t>booking_list[2].customer_booking_email</t>
  </si>
  <si>
    <t>booking_list[2].agency_id</t>
  </si>
  <si>
    <t>booking_list[2].agency_player_pay</t>
  </si>
  <si>
    <t>booking_list[2].agency_paid_all</t>
  </si>
  <si>
    <t>booking_list[2].fee_info.golf_fee</t>
  </si>
  <si>
    <t>booking_list[2].fee_info.buggy_fee</t>
  </si>
  <si>
    <t>booking_list[2].fee_info.private_car_fee</t>
  </si>
  <si>
    <t>booking_list[2].fee_info.odd_car_fee</t>
  </si>
  <si>
    <t>booking_list[2].fee_info.caddie_fee</t>
  </si>
  <si>
    <t>booking_list[2].fee_info.has_price_spread</t>
  </si>
  <si>
    <t>booking_list[2].fee_info.package_add_on_fee</t>
  </si>
  <si>
    <t>booking_list[2].fee_info.add_on_fee</t>
  </si>
  <si>
    <t>booking_list[2].booking_restaurant.enable</t>
  </si>
  <si>
    <t>booking_list[2].booking_restaurant.number_people</t>
  </si>
  <si>
    <t>booking_list[2].booking_retal.enable</t>
  </si>
  <si>
    <t>booking_list[2].booking_retal.golf_set_number</t>
  </si>
  <si>
    <t>booking_list[2].booking_retal.buggy_number</t>
  </si>
  <si>
    <t>booking_list[2].note_of_booking</t>
  </si>
  <si>
    <t>booking_list[2].sale_name</t>
  </si>
  <si>
    <t>booking_list[2].sale_account</t>
  </si>
  <si>
    <t>booking_list[2].customer_name</t>
  </si>
  <si>
    <t>booking_list[2].caddie_code</t>
  </si>
  <si>
    <t>booking_list[2].caddie_booking</t>
  </si>
  <si>
    <t>booking_list[2].tee_type</t>
  </si>
  <si>
    <t>booking_list[2].course_type</t>
  </si>
  <si>
    <t>booking_list[2].tee_path</t>
  </si>
  <si>
    <t>booking_list[2].tee_time</t>
  </si>
  <si>
    <t>booking_list[2].turn_time</t>
  </si>
  <si>
    <t>booking_list[2].row_index</t>
  </si>
  <si>
    <t>booking_list[2].tee_time_after</t>
  </si>
  <si>
    <t>booking_list[2].customer_nationality_id</t>
  </si>
  <si>
    <t>booking_list[2].gender</t>
  </si>
  <si>
    <t>booking_list[2].guest_style</t>
  </si>
  <si>
    <t>booking_list[2].hole</t>
  </si>
  <si>
    <t>booking_list[2].booking_date</t>
  </si>
  <si>
    <t>booking_list[2].add_ons</t>
  </si>
  <si>
    <t>booking_list[2].customer_booking_uid</t>
  </si>
  <si>
    <t>booking_list[2].customer_booking_member_card_uid</t>
  </si>
  <si>
    <t>booking_list[2].customer_booking_card_id</t>
  </si>
  <si>
    <t>booking_list[2].member_uid_of_guest</t>
  </si>
  <si>
    <t>booking_list[2].member_card_uid</t>
  </si>
  <si>
    <t>booking_list[2].voucher_apply</t>
  </si>
  <si>
    <t>booking_list[3].cms_user</t>
  </si>
  <si>
    <t>booking_list[3].partner_uid</t>
  </si>
  <si>
    <t>booking_list[3].course_uid</t>
  </si>
  <si>
    <t>booking_list[3].hole_booking</t>
  </si>
  <si>
    <t>booking_list[3].customer_booking_name</t>
  </si>
  <si>
    <t>booking_list[3].customer_booking_phone</t>
  </si>
  <si>
    <t>booking_list[3].customer_booking_email</t>
  </si>
  <si>
    <t>booking_list[3].agency_id</t>
  </si>
  <si>
    <t>booking_list[3].agency_player_pay</t>
  </si>
  <si>
    <t>booking_list[3].agency_paid_all</t>
  </si>
  <si>
    <t>booking_list[3].fee_info.golf_fee</t>
  </si>
  <si>
    <t>booking_list[3].fee_info.buggy_fee</t>
  </si>
  <si>
    <t>booking_list[3].fee_info.private_car_fee</t>
  </si>
  <si>
    <t>booking_list[3].fee_info.odd_car_fee</t>
  </si>
  <si>
    <t>booking_list[3].fee_info.caddie_fee</t>
  </si>
  <si>
    <t>booking_list[3].fee_info.has_price_spread</t>
  </si>
  <si>
    <t>booking_list[3].fee_info.package_add_on_fee</t>
  </si>
  <si>
    <t>booking_list[3].fee_info.add_on_fee</t>
  </si>
  <si>
    <t>booking_list[3].booking_restaurant.enable</t>
  </si>
  <si>
    <t>booking_list[3].booking_restaurant.number_people</t>
  </si>
  <si>
    <t>booking_list[3].booking_retal.enable</t>
  </si>
  <si>
    <t>booking_list[3].booking_retal.golf_set_number</t>
  </si>
  <si>
    <t>booking_list[3].booking_retal.buggy_number</t>
  </si>
  <si>
    <t>booking_list[3].note_of_booking</t>
  </si>
  <si>
    <t>booking_list[3].sale_name</t>
  </si>
  <si>
    <t>booking_list[3].sale_account</t>
  </si>
  <si>
    <t>booking_list[3].customer_name</t>
  </si>
  <si>
    <t>booking_list[3].caddie_code</t>
  </si>
  <si>
    <t>booking_list[3].caddie_booking</t>
  </si>
  <si>
    <t>booking_list[3].tee_type</t>
  </si>
  <si>
    <t>booking_list[3].course_type</t>
  </si>
  <si>
    <t>booking_list[3].tee_path</t>
  </si>
  <si>
    <t>booking_list[3].tee_time</t>
  </si>
  <si>
    <t>booking_list[3].turn_time</t>
  </si>
  <si>
    <t>booking_list[3].row_index</t>
  </si>
  <si>
    <t>booking_list[3].tee_time_after</t>
  </si>
  <si>
    <t>booking_list[3].customer_nationality_id</t>
  </si>
  <si>
    <t>booking_list[3].gender</t>
  </si>
  <si>
    <t>booking_list[3].guest_style</t>
  </si>
  <si>
    <t>booking_list[3].hole</t>
  </si>
  <si>
    <t>booking_list[3].booking_date</t>
  </si>
  <si>
    <t>booking_list[3].add_ons</t>
  </si>
  <si>
    <t>booking_list[3].customer_booking_uid</t>
  </si>
  <si>
    <t>booking_list[3].customer_booking_member_card_uid</t>
  </si>
  <si>
    <t>booking_list[3].customer_booking_card_id</t>
  </si>
  <si>
    <t>booking_list[3].member_uid_of_guest</t>
  </si>
  <si>
    <t>booking_list[3].member_card_uid</t>
  </si>
  <si>
    <t>booking_list[3].voucher_apply</t>
  </si>
  <si>
    <t>assert_[1].uid</t>
  </si>
  <si>
    <t>assert_[1].customer_booking_name</t>
  </si>
  <si>
    <t>assert_[1].guest_style</t>
  </si>
  <si>
    <t>assert_[1].IsCheckedIn</t>
  </si>
  <si>
    <t>assert_[1].bag_status</t>
  </si>
  <si>
    <t>assert_[1].bill_code</t>
  </si>
  <si>
    <t>assert_[1].booking_code</t>
  </si>
  <si>
    <t>assert_[1].customer_type</t>
  </si>
  <si>
    <t>assert_[1].has_book_caddie</t>
  </si>
  <si>
    <t>assert_[2].uid</t>
  </si>
  <si>
    <t>assert_[2].customer_booking_name</t>
  </si>
  <si>
    <t>assert_[2].guest_style</t>
  </si>
  <si>
    <t>assert_[2].IsCheckedIn</t>
  </si>
  <si>
    <t>assert_[2].bag_status</t>
  </si>
  <si>
    <t>assert_[2].bill_code</t>
  </si>
  <si>
    <t>assert_[2].booking_code</t>
  </si>
  <si>
    <t>assert_[2].customer_type</t>
  </si>
  <si>
    <t>assert_[2].has_book_caddie</t>
  </si>
  <si>
    <t>assert_[3].uid</t>
  </si>
  <si>
    <t>assert_[3].customer_booking_name</t>
  </si>
  <si>
    <t>assert_[3].guest_style</t>
  </si>
  <si>
    <t>assert_[3].IsCheckedIn</t>
  </si>
  <si>
    <t>assert_[3].bag_status</t>
  </si>
  <si>
    <t>assert_[3].bill_code</t>
  </si>
  <si>
    <t>assert_[3].booking_code</t>
  </si>
  <si>
    <t>assert_[3].customer_type</t>
  </si>
  <si>
    <t>assert_[3].has_book_caddie</t>
  </si>
  <si>
    <t>BB_4_PLAYER_001</t>
  </si>
  <si>
    <t>VST_Kiểm tra booking 4 player</t>
  </si>
  <si>
    <t>create_booking_batch_4_player_request.json</t>
  </si>
  <si>
    <t>Trần Phương</t>
  </si>
  <si>
    <t>A</t>
  </si>
  <si>
    <t>CHI-LINH</t>
  </si>
  <si>
    <t>CHI-LINH-123</t>
  </si>
  <si>
    <t>create_booking_batch_4_player_expect.json</t>
  </si>
  <si>
    <t>BB_4_PLAYER_002</t>
  </si>
  <si>
    <t>MB_Kiểm tra booking 4 player</t>
  </si>
  <si>
    <t>BB_4_PLAYER_003</t>
  </si>
  <si>
    <t>MBG_Kiểm tra booking 4 player</t>
  </si>
  <si>
    <t>BB_4_PLAYER_004</t>
  </si>
  <si>
    <t>NG_Kiểm tra booking 4 none golf</t>
  </si>
  <si>
    <t>BB_4_PLAYER_005</t>
  </si>
  <si>
    <t>AG_Kiểm tra booking 4 player</t>
  </si>
  <si>
    <t>create_booking_batch_agency_4_player_request.json</t>
  </si>
  <si>
    <t>BB_4_PLAYER_006</t>
  </si>
  <si>
    <t>VST_Kiểm tra booking 4 player có đặt caddie</t>
  </si>
  <si>
    <t>BB_4_PLAYER_007</t>
  </si>
  <si>
    <t>MB_Kiểm tra booking 4 player có đặt caddie</t>
  </si>
  <si>
    <t>BB_4_PLAYER_008</t>
  </si>
  <si>
    <t>MBG_Kiểm tra booking 4 player có đặt caddie</t>
  </si>
  <si>
    <t>BB_4_PLAYER_009</t>
  </si>
  <si>
    <t>AG_Kiểm tra booking 4 player có đặt caddie</t>
  </si>
  <si>
    <t>BB_4_PLAYER_010</t>
  </si>
  <si>
    <t>AG_Kiểm tra booking 4 player: Agency tích tất cả các fee</t>
  </si>
  <si>
    <t>BB_4_PLAYER_011</t>
  </si>
  <si>
    <t>AG_Kiểm tra booking 4 player: Tích agency_paid_all</t>
  </si>
  <si>
    <t>BB_4_PLAYER_012</t>
  </si>
  <si>
    <t>AG_Kiểm tra booking 4 player: Tích Player Pay</t>
  </si>
  <si>
    <t>row_index</t>
  </si>
  <si>
    <t>tee_time</t>
  </si>
  <si>
    <t>turn_time</t>
  </si>
  <si>
    <t>tee_path</t>
  </si>
  <si>
    <t>tee_type</t>
  </si>
  <si>
    <t>course_type</t>
  </si>
  <si>
    <t>cms_user</t>
  </si>
  <si>
    <t>customer_booking_name</t>
  </si>
  <si>
    <t>customer_name</t>
  </si>
  <si>
    <t>caddie_code</t>
  </si>
  <si>
    <t>note_of_booking</t>
  </si>
  <si>
    <t>hole_booking</t>
  </si>
  <si>
    <t>bag</t>
  </si>
  <si>
    <t>locker_no</t>
  </si>
  <si>
    <t>booking_date</t>
  </si>
  <si>
    <t>assert_uid</t>
  </si>
  <si>
    <t>assert_customer_booking_name</t>
  </si>
  <si>
    <t>assert_guest_style</t>
  </si>
  <si>
    <t>assert_IsCheckedIn</t>
  </si>
  <si>
    <t>assert_bag_status</t>
  </si>
  <si>
    <t>assert_bill_code</t>
  </si>
  <si>
    <t>assert_booking_code</t>
  </si>
  <si>
    <t>assert_customer_type</t>
  </si>
  <si>
    <t>assert_has_book_caddie</t>
  </si>
  <si>
    <t>BB_TT_001</t>
  </si>
  <si>
    <t>Kiểm tra booking 1 player</t>
  </si>
  <si>
    <t>create_booking_batch_at_tee_time_request.json</t>
  </si>
  <si>
    <t>23:36</t>
  </si>
  <si>
    <t>02:00</t>
  </si>
  <si>
    <t>create_booking_batch_at_tee_time_expect.json</t>
  </si>
  <si>
    <t>q_partner_uid</t>
  </si>
  <si>
    <t>q_course_uid</t>
  </si>
  <si>
    <t>q_sort_by</t>
  </si>
  <si>
    <t>q_sort_dir</t>
  </si>
  <si>
    <t>q_booking_date</t>
  </si>
  <si>
    <t>q_is_ignore_tournament_booking</t>
  </si>
  <si>
    <t>q_is_single_book</t>
  </si>
  <si>
    <t>assert_total</t>
  </si>
  <si>
    <t>GBL_001</t>
  </si>
  <si>
    <t>Get list successfully with default sort</t>
  </si>
  <si>
    <t>created_at</t>
  </si>
  <si>
    <t>desc</t>
  </si>
  <si>
    <t>get_booking_list_expect.json</t>
  </si>
  <si>
    <t>GBL_002</t>
  </si>
  <si>
    <t>Get list successfully and sort ascending</t>
  </si>
  <si>
    <t>{{TODAY+1}}</t>
  </si>
  <si>
    <t>GBL_003</t>
  </si>
  <si>
    <t>Get list for a future date with no bookings</t>
  </si>
  <si>
    <t>{{TODAY+30}}</t>
  </si>
  <si>
    <t>BP_001</t>
  </si>
  <si>
    <t>Get price list successfully for today</t>
  </si>
  <si>
    <t>get_booking_price_expect.json</t>
  </si>
  <si>
    <t>BP_002</t>
  </si>
  <si>
    <t>Get price list for a future date (no data)</t>
  </si>
  <si>
    <t>BP_003</t>
  </si>
  <si>
    <t>Error when booking_date is missing</t>
  </si>
  <si>
    <t>failed</t>
  </si>
  <si>
    <t>get_booking_price_error_expect.json</t>
  </si>
  <si>
    <t>BP_004</t>
  </si>
  <si>
    <t>Error when booking_date format is invalid</t>
  </si>
  <si>
    <t>INVALID_DATE</t>
  </si>
  <si>
    <t>BP_005</t>
  </si>
  <si>
    <t>Error when partner_uid is invalid</t>
  </si>
  <si>
    <t>INVALID_UID</t>
  </si>
  <si>
    <t>expect_total_amount</t>
  </si>
  <si>
    <t>VST_BP_001</t>
  </si>
  <si>
    <t>Kiểm tra booking price khi add voucher giảm 200k green fee</t>
  </si>
  <si>
    <t>get_booking_price_player_expect.json</t>
  </si>
  <si>
    <t>Apply voucher giảm giá thông thường: Giảm 200k green</t>
  </si>
  <si>
    <t>VST_BP_VC_GREEN_001</t>
  </si>
  <si>
    <t>VST_BP_VC_4FEE_001</t>
  </si>
  <si>
    <t>Kiểm tra booking price khi add voucher giảm 2tr1 cho green + caddie + 1/2 xe + packge</t>
  </si>
  <si>
    <t>VST_BP_VC_GREEN_10_001</t>
  </si>
  <si>
    <t>Kiểm tra booking price khi add voucher giảm 10% green fee</t>
  </si>
  <si>
    <t>VST_BP_VC_ALL_10_001</t>
  </si>
  <si>
    <t>Kiểm tra booking price khi add voucher giảm 10% all fee</t>
  </si>
  <si>
    <t>Apply voucher giảm giá cố định: Green + Caddie + 1/2 xe + Package</t>
  </si>
  <si>
    <t>VST_BP_VC_CD4FEE_001</t>
  </si>
  <si>
    <t>Kiểm tra booking price khi add voucher giảm giá cố định: Green + Caddie + 1/2 xe + Package</t>
  </si>
  <si>
    <t>Apply voucher trả trước: Green + Caddie + 1/2 xe + Package</t>
  </si>
  <si>
    <t>VST_BP_VC_TT4FEE_001</t>
  </si>
  <si>
    <t>Kiểm tra booking price khi add voucher trả trước: Green + Caddie + 1/2 xe + Package</t>
  </si>
  <si>
    <t>AGENT_BP_001</t>
  </si>
  <si>
    <t>AGENT_BP_VC_GREEN_001</t>
  </si>
  <si>
    <t>AGENT_BP_VC_4FEE_001</t>
  </si>
  <si>
    <t>AGENT_BP_VC_GREEN_10_001</t>
  </si>
  <si>
    <t>AGENT_BP_VC_ALL_10_001</t>
  </si>
  <si>
    <t>AGENT_BP_VC_CD4FEE_001</t>
  </si>
  <si>
    <t>AGENT_BP_VC_TT4FEE_001</t>
  </si>
  <si>
    <t>BOOKING_PRICE_PLAYER2</t>
  </si>
  <si>
    <t>Kiểm tra booking price của player 1</t>
  </si>
  <si>
    <t>BOOKING_PRICE_PLAYER3</t>
  </si>
  <si>
    <t>BOOKING_PRICE_PLAYER4</t>
  </si>
  <si>
    <t>uid</t>
  </si>
  <si>
    <t>agency_id</t>
  </si>
  <si>
    <t>guest_style</t>
  </si>
  <si>
    <t>gender</t>
  </si>
  <si>
    <t>member_card_uid</t>
  </si>
  <si>
    <t>member_uid_of_guest</t>
  </si>
  <si>
    <t>assert_bag</t>
  </si>
  <si>
    <t>ED_TT_001</t>
  </si>
  <si>
    <t>VST_Kiểm tra sửa player name</t>
  </si>
  <si>
    <t>edit_booking_at_tee_time_request.json</t>
  </si>
  <si>
    <t>{{CTX:BOOKING_UID_0}}</t>
  </si>
  <si>
    <t>{{CTX:CUSTOMER_BOOKING_NAME_0}}</t>
  </si>
  <si>
    <t>Sửa player name</t>
  </si>
  <si>
    <t>{{CTX:GUEST_STYLE_0}}</t>
  </si>
  <si>
    <t>MALE</t>
  </si>
  <si>
    <t>edit_booking_at_tee_time_expect.json</t>
  </si>
  <si>
    <t>ED_TT_002</t>
  </si>
  <si>
    <t>VST_Kiểm tra sửa nhập bag tạm</t>
  </si>
  <si>
    <t>{{CTX:CUSTOMER_NAME_0}}</t>
  </si>
  <si>
    <t>VST100</t>
  </si>
  <si>
    <t>ED_TT_003</t>
  </si>
  <si>
    <t>VST_Kiểm tra sửa locker</t>
  </si>
  <si>
    <t>ED_TT_004</t>
  </si>
  <si>
    <t>VST_Kiểm tra sửa Caddie No Booking</t>
  </si>
  <si>
    <t>ED_TT_005</t>
  </si>
  <si>
    <t>VST_Kiểm tra sửa booking note</t>
  </si>
  <si>
    <t>Note booking</t>
  </si>
  <si>
    <t>ED_TT_006</t>
  </si>
  <si>
    <t>MB_Kiểm tra sửa player name</t>
  </si>
  <si>
    <t>{{CTX:MEMBER_CARD_UID_0}}</t>
  </si>
  <si>
    <t>{{CTX:MEMBER_UID_OF_GUEST_0}}</t>
  </si>
  <si>
    <t>ED_TT_007</t>
  </si>
  <si>
    <t>MB_Kiểm tra sửa nhập bag tạm</t>
  </si>
  <si>
    <t>MB100</t>
  </si>
  <si>
    <t>ED_TT_008</t>
  </si>
  <si>
    <t>MB_Kiểm tra sửa locker</t>
  </si>
  <si>
    <t>ED_TT_009</t>
  </si>
  <si>
    <t>MB_Kiểm tra sửa Caddie No Booking</t>
  </si>
  <si>
    <t>ED_TT_010</t>
  </si>
  <si>
    <t>MB_Kiểm tra sửa booking note</t>
  </si>
  <si>
    <t>ED_TT_011</t>
  </si>
  <si>
    <t>AG_Kiểm tra sửa player name</t>
  </si>
  <si>
    <t>ED_TT_012</t>
  </si>
  <si>
    <t>AG_Kiểm tra sửa nhập bag tạm</t>
  </si>
  <si>
    <t>AG101</t>
  </si>
  <si>
    <t>ED_TT_013</t>
  </si>
  <si>
    <t>AG_Kiểm tra sửa locker</t>
  </si>
  <si>
    <t>ED_TT_014</t>
  </si>
  <si>
    <t>AG_Kiểm tra sửa Caddie No Booking</t>
  </si>
  <si>
    <t>ED_TT_015</t>
  </si>
  <si>
    <t>AG_Kiểm tra sửa booking note</t>
  </si>
  <si>
    <t>{{CTX:BOOKING_UID_1}}</t>
  </si>
  <si>
    <t>{{CTX:CUSTOMER_BOOKING_NAME_1}}</t>
  </si>
  <si>
    <t>{{CTX:GUEST_STYLE_1}}</t>
  </si>
  <si>
    <t>{{CTX:CUSTOMER_NAME_1}}</t>
  </si>
  <si>
    <t>VST200</t>
  </si>
  <si>
    <t>{{CTX:MEMBER_CARD_UID_1}}</t>
  </si>
  <si>
    <t>{{CTX:MEMBER_UID_OF_GUEST_1}}</t>
  </si>
  <si>
    <t>MB200</t>
  </si>
  <si>
    <t>AG200</t>
  </si>
  <si>
    <t>{{CTX:BOOKING_UID_2}}</t>
  </si>
  <si>
    <t>{{CTX:CUSTOMER_BOOKING_NAME_2}}</t>
  </si>
  <si>
    <t>{{CTX:GUEST_STYLE_2}}</t>
  </si>
  <si>
    <t>{{CTX:CUSTOMER_NAME_2}}</t>
  </si>
  <si>
    <t>VST300</t>
  </si>
  <si>
    <t>{{CTX:MEMBER_CARD_UID_2}}</t>
  </si>
  <si>
    <t>{{CTX:MEMBER_UID_OF_GUEST_2}}</t>
  </si>
  <si>
    <t>MB300</t>
  </si>
  <si>
    <t>AG300</t>
  </si>
  <si>
    <t>{{CTX:BOOKING_UID_3}}</t>
  </si>
  <si>
    <t>{{CTX:CUSTOMER_BOOKING_NAME_3}}</t>
  </si>
  <si>
    <t>{{CTX:GUEST_STYLE_3}}</t>
  </si>
  <si>
    <t>{{CTX:CUSTOMER_NAME_3}}</t>
  </si>
  <si>
    <t>VST400</t>
  </si>
  <si>
    <t>{{CTX:MEMBER_CARD_UID_3}}</t>
  </si>
  <si>
    <t>{{CTX:MEMBER_UID_OF_GUEST_3}}</t>
  </si>
  <si>
    <t>MB400</t>
  </si>
  <si>
    <t>AG400</t>
  </si>
  <si>
    <t>[0].cms_user</t>
  </si>
  <si>
    <t>[0].partner_uid</t>
  </si>
  <si>
    <t>[0].course_uid</t>
  </si>
  <si>
    <t>[0].hole_booking</t>
  </si>
  <si>
    <t>[0].customer_booking_name</t>
  </si>
  <si>
    <t>[0].customer_booking_phone</t>
  </si>
  <si>
    <t>[0].customer_booking_email</t>
  </si>
  <si>
    <t>[0].agency_id</t>
  </si>
  <si>
    <t>[0].agency_paid_all</t>
  </si>
  <si>
    <t>[0].agency_player_pay</t>
  </si>
  <si>
    <t>[0].fee_info.golf_fee</t>
  </si>
  <si>
    <t>[0].fee_info.buggy_fee</t>
  </si>
  <si>
    <t>[0].fee_info.has_price_spread</t>
  </si>
  <si>
    <t>[0].fee_info.package_add_on_fee</t>
  </si>
  <si>
    <t>[0].note_of_booking</t>
  </si>
  <si>
    <t>[0].sale_name</t>
  </si>
  <si>
    <t>[0].sale_account</t>
  </si>
  <si>
    <t>[0].uid</t>
  </si>
  <si>
    <t>[0].bag_status</t>
  </si>
  <si>
    <t>[0].customer_name</t>
  </si>
  <si>
    <t>[0].caddie_code</t>
  </si>
  <si>
    <t>[0].caddie_booking</t>
  </si>
  <si>
    <t>[0].tee_type</t>
  </si>
  <si>
    <t>[0].course_type</t>
  </si>
  <si>
    <t>[0].tee_time</t>
  </si>
  <si>
    <t>[0].tee_time_after</t>
  </si>
  <si>
    <t>[0].customer_nationality_id</t>
  </si>
  <si>
    <t>[0].gender</t>
  </si>
  <si>
    <t>[0].guest_style</t>
  </si>
  <si>
    <t>[0].hole</t>
  </si>
  <si>
    <t>[0].booking_date</t>
  </si>
  <si>
    <t>[0].add_ons</t>
  </si>
  <si>
    <t>[0].voucher_apply</t>
  </si>
  <si>
    <t>[0].is_change_voucher</t>
  </si>
  <si>
    <t>[0].member_uid_of_guest</t>
  </si>
  <si>
    <t>[0].member_card_uid</t>
  </si>
  <si>
    <t>[0].booker_type_key</t>
  </si>
  <si>
    <t>EB_001</t>
  </si>
  <si>
    <t>edit_booking_1_player_request.json</t>
  </si>
  <si>
    <t>{{CTX:HOLE_BOOKING_0}}</t>
  </si>
  <si>
    <t>{{CTX:CUSTOMER_BOOKING_PHONE_0}}</t>
  </si>
  <si>
    <t>{{CTX:CUSTOMER_BOOKING_EMAIL_0}}</t>
  </si>
  <si>
    <t>{{CTX:BAG_STATUS_0}}</t>
  </si>
  <si>
    <t>Sửa Player name</t>
  </si>
  <si>
    <t>{{CTX:CADDIE_BOOKING_0}}</t>
  </si>
  <si>
    <t>{{CTX:TEE_TYPE_0}}</t>
  </si>
  <si>
    <t>{{CTX:COURSE_TYPE_0}}</t>
  </si>
  <si>
    <t>{{CTX:TEE_TIME_0}}</t>
  </si>
  <si>
    <t>{{CTX:TEE_TIME_AFTER_0}}</t>
  </si>
  <si>
    <t>{{CTX:HOLE_0}}</t>
  </si>
  <si>
    <t>guest-&gt;guest</t>
  </si>
  <si>
    <t>edit_booking_1_player_expect.json</t>
  </si>
  <si>
    <t>EB_002</t>
  </si>
  <si>
    <t>edit_booking_1_player_agency_request.json</t>
  </si>
  <si>
    <t>agency-&gt;agency</t>
  </si>
  <si>
    <t>EB_003</t>
  </si>
  <si>
    <t>VST_Kiểm tra sửa book thêm caddie</t>
  </si>
  <si>
    <t>EB_004</t>
  </si>
  <si>
    <t>AG_Kiểm tra sửa book thêm caddie</t>
  </si>
  <si>
    <t>Apply voucher</t>
  </si>
  <si>
    <t>VST_EB_REMOVE_VC_001</t>
  </si>
  <si>
    <t>VST_Kiểm tra xóa voucher</t>
  </si>
  <si>
    <t>AGENT_EB_REMOVE_VC_001</t>
  </si>
  <si>
    <t>AGENT_Kiểm tra xóa voucher</t>
  </si>
  <si>
    <t>[0].voucher_apply[0].id</t>
  </si>
  <si>
    <t>[0].voucher_apply[0].voucher_code</t>
  </si>
  <si>
    <t>VST_EB_VC_GREEN_001</t>
  </si>
  <si>
    <t>VST_Kiểm tra add voucher giảm giá 200k green fee</t>
  </si>
  <si>
    <t>edit_booking_1_player_voucher_request.json</t>
  </si>
  <si>
    <t>VST_EB_VC_4FEE_001</t>
  </si>
  <si>
    <t>VST_EB_VC_GREEN_10_001</t>
  </si>
  <si>
    <t>VST_Kiểm tra add voucher giảm giá 10% green fee</t>
  </si>
  <si>
    <t>VST_EB_VC_ALL_10_001</t>
  </si>
  <si>
    <t>VST_Kiểm tra add voucher giảm giá 10% all fee</t>
  </si>
  <si>
    <t>VST_EB_VC_CD4FEE_001</t>
  </si>
  <si>
    <t>VST_Kiểm tra add voucher giảm giá cố định: Green + Caddie + 1/2 xe + Package</t>
  </si>
  <si>
    <t>VST_EB_VC_TT4FEE_001</t>
  </si>
  <si>
    <t>VST_Kiểm tra add voucher trả trước: Green + Caddie + 1/2 xe + Package</t>
  </si>
  <si>
    <t>AGENT_EB_VC_GREEN_001</t>
  </si>
  <si>
    <t>AGENT_Kiểm tra add voucher giảm giá 200k green fee</t>
  </si>
  <si>
    <t>edit_booking_1_player_voucher_agency_request.json</t>
  </si>
  <si>
    <t>AGENT_EB_VC_4FEE_001</t>
  </si>
  <si>
    <t>AGENT_EB_VC_GREEN_10_001</t>
  </si>
  <si>
    <t>AGENT_Kiểm tra add voucher giảm giá 10% green fee</t>
  </si>
  <si>
    <t>AGENT_EB_VC_ALL_10_001</t>
  </si>
  <si>
    <t>AGENT_Kiểm tra add voucher giảm giá 10% all fee</t>
  </si>
  <si>
    <t>AGENT_EB_VC_CD4FEE_001</t>
  </si>
  <si>
    <t>AGENT_Kiểm tra add voucher giảm giá cố định: Green + Caddie + 1/2 xe + Package</t>
  </si>
  <si>
    <t>AGENT_EB_VC_TT4FEE_001</t>
  </si>
  <si>
    <t>AGENT_Kiểm tra add voucher trả trước: Green + Caddie + 1/2 xe + Package</t>
  </si>
  <si>
    <t>[1].cms_user</t>
  </si>
  <si>
    <t>[1].partner_uid</t>
  </si>
  <si>
    <t>[1].course_uid</t>
  </si>
  <si>
    <t>[1].hole_booking</t>
  </si>
  <si>
    <t>[1].customer_booking_name</t>
  </si>
  <si>
    <t>[1].customer_booking_phone</t>
  </si>
  <si>
    <t>[1].customer_booking_email</t>
  </si>
  <si>
    <t>[1].agency_id</t>
  </si>
  <si>
    <t>[1].note_of_booking</t>
  </si>
  <si>
    <t>[1].agency_player_pay</t>
  </si>
  <si>
    <t>[1].sale_name</t>
  </si>
  <si>
    <t>[1].sale_account</t>
  </si>
  <si>
    <t>[1].uid</t>
  </si>
  <si>
    <t>[1].bag_status</t>
  </si>
  <si>
    <t>[1].customer_name</t>
  </si>
  <si>
    <t>[1].caddie_code</t>
  </si>
  <si>
    <t>[1].caddie_booking</t>
  </si>
  <si>
    <t>[1].tee_type</t>
  </si>
  <si>
    <t>[1].course_type</t>
  </si>
  <si>
    <t>[1].tee_time</t>
  </si>
  <si>
    <t>[1].tee_time_after</t>
  </si>
  <si>
    <t>[1].customer_nationality_id</t>
  </si>
  <si>
    <t>[1].gender</t>
  </si>
  <si>
    <t>[1].guest_style</t>
  </si>
  <si>
    <t>[1].hole</t>
  </si>
  <si>
    <t>[1].booking_date</t>
  </si>
  <si>
    <t>[1].add_ons</t>
  </si>
  <si>
    <t>[1].voucher_apply</t>
  </si>
  <si>
    <t>[1].is_change_voucher</t>
  </si>
  <si>
    <t>[1].fee_info.golf_fee</t>
  </si>
  <si>
    <t>[1].fee_info.buggy_fee</t>
  </si>
  <si>
    <t>[1].fee_info.has_price_spread</t>
  </si>
  <si>
    <t>[1].agency_paid_all</t>
  </si>
  <si>
    <t>[1].member_card_uid</t>
  </si>
  <si>
    <t>[1].booker_type_key</t>
  </si>
  <si>
    <t>[2].cms_user</t>
  </si>
  <si>
    <t>[2].partner_uid</t>
  </si>
  <si>
    <t>[2].course_uid</t>
  </si>
  <si>
    <t>[2].hole_booking</t>
  </si>
  <si>
    <t>[2].customer_booking_name</t>
  </si>
  <si>
    <t>[2].customer_booking_phone</t>
  </si>
  <si>
    <t>[2].customer_booking_email</t>
  </si>
  <si>
    <t>[2].agency_id</t>
  </si>
  <si>
    <t>[2].note_of_booking</t>
  </si>
  <si>
    <t>[2].agency_player_pay</t>
  </si>
  <si>
    <t>[2].sale_name</t>
  </si>
  <si>
    <t>[2].sale_account</t>
  </si>
  <si>
    <t>[2].uid</t>
  </si>
  <si>
    <t>[2].bag_status</t>
  </si>
  <si>
    <t>[2].customer_name</t>
  </si>
  <si>
    <t>[2].caddie_code</t>
  </si>
  <si>
    <t>[2].caddie_booking</t>
  </si>
  <si>
    <t>[2].tee_type</t>
  </si>
  <si>
    <t>[2].course_type</t>
  </si>
  <si>
    <t>[2].tee_time</t>
  </si>
  <si>
    <t>[2].tee_time_after</t>
  </si>
  <si>
    <t>[2].customer_nationality_id</t>
  </si>
  <si>
    <t>[2].gender</t>
  </si>
  <si>
    <t>[2].guest_style</t>
  </si>
  <si>
    <t>[2].hole</t>
  </si>
  <si>
    <t>[2].booking_date</t>
  </si>
  <si>
    <t>[2].add_ons</t>
  </si>
  <si>
    <t>[2].voucher_apply</t>
  </si>
  <si>
    <t>[2].is_change_voucher</t>
  </si>
  <si>
    <t>[2].fee_info.golf_fee</t>
  </si>
  <si>
    <t>[2].fee_info.buggy_fee</t>
  </si>
  <si>
    <t>[2].fee_info.has_price_spread</t>
  </si>
  <si>
    <t>[2].agency_paid_all</t>
  </si>
  <si>
    <t>[2].member_card_uid</t>
  </si>
  <si>
    <t>[2].booker_type_key</t>
  </si>
  <si>
    <t>[3].cms_user</t>
  </si>
  <si>
    <t>[3].partner_uid</t>
  </si>
  <si>
    <t>[3].course_uid</t>
  </si>
  <si>
    <t>[3].hole_booking</t>
  </si>
  <si>
    <t>[3].customer_booking_name</t>
  </si>
  <si>
    <t>[3].customer_booking_phone</t>
  </si>
  <si>
    <t>[3].customer_booking_email</t>
  </si>
  <si>
    <t>[3].agency_id</t>
  </si>
  <si>
    <t>[3].note_of_booking</t>
  </si>
  <si>
    <t>[3].agency_player_pay</t>
  </si>
  <si>
    <t>[3].sale_name</t>
  </si>
  <si>
    <t>[3].sale_account</t>
  </si>
  <si>
    <t>[3].uid</t>
  </si>
  <si>
    <t>[3].bag_status</t>
  </si>
  <si>
    <t>[3].customer_name</t>
  </si>
  <si>
    <t>[3].caddie_code</t>
  </si>
  <si>
    <t>[3].caddie_booking</t>
  </si>
  <si>
    <t>[3].tee_type</t>
  </si>
  <si>
    <t>[3].course_type</t>
  </si>
  <si>
    <t>[3].tee_time</t>
  </si>
  <si>
    <t>[3].tee_time_after</t>
  </si>
  <si>
    <t>[3].customer_nationality_id</t>
  </si>
  <si>
    <t>[3].gender</t>
  </si>
  <si>
    <t>[3].guest_style</t>
  </si>
  <si>
    <t>[3].hole</t>
  </si>
  <si>
    <t>[3].booking_date</t>
  </si>
  <si>
    <t>[3].add_ons</t>
  </si>
  <si>
    <t>[3].voucher_apply</t>
  </si>
  <si>
    <t>[3].is_change_voucher</t>
  </si>
  <si>
    <t>[3].fee_info.golf_fee</t>
  </si>
  <si>
    <t>[3].fee_info.buggy_fee</t>
  </si>
  <si>
    <t>[3].fee_info.has_price_spread</t>
  </si>
  <si>
    <t>[3].agency_paid_all</t>
  </si>
  <si>
    <t>[3].member_card_uid</t>
  </si>
  <si>
    <t>[3].booker_type_key</t>
  </si>
  <si>
    <t>BB_001</t>
  </si>
  <si>
    <t>phuongtt-auto-stg</t>
  </si>
  <si>
    <t>0350000008</t>
  </si>
  <si>
    <t>CHI-LINH-123-2869663935</t>
  </si>
  <si>
    <t>Player 1</t>
  </si>
  <si>
    <t>24/10/2025</t>
  </si>
  <si>
    <t>CHI-LINH-123-2525802072</t>
  </si>
  <si>
    <t>Player 2</t>
  </si>
  <si>
    <t>CHI-LINH-223</t>
  </si>
  <si>
    <t>CHI-LINH-223-2525802072</t>
  </si>
  <si>
    <t>24/20/2025</t>
  </si>
  <si>
    <t>CHI-LINH-333</t>
  </si>
  <si>
    <t>CHI-LINH-333-3535803073</t>
  </si>
  <si>
    <t>Player 3</t>
  </si>
  <si>
    <t>1/1/1900 4:34 tt</t>
  </si>
  <si>
    <t>34/30/3035</t>
  </si>
  <si>
    <t>customer_booking_phone</t>
  </si>
  <si>
    <t>customer_booking_email</t>
  </si>
  <si>
    <t>booking_restaurant.enable</t>
  </si>
  <si>
    <t>booking_restaurant.number_people</t>
  </si>
  <si>
    <t>booking_retal.enable</t>
  </si>
  <si>
    <t>booking_retal.golf_set_number</t>
  </si>
  <si>
    <t>booking_retal.buggy_number</t>
  </si>
  <si>
    <t>agency_player_pay</t>
  </si>
  <si>
    <t>sale_name</t>
  </si>
  <si>
    <t>sale_account</t>
  </si>
  <si>
    <t>caddie_booking</t>
  </si>
  <si>
    <t>tee_time_after</t>
  </si>
  <si>
    <t>customer_nationality_id</t>
  </si>
  <si>
    <t>hole</t>
  </si>
  <si>
    <t>add_ons</t>
  </si>
  <si>
    <t>voucher_apply</t>
  </si>
  <si>
    <t>EB_VST_001</t>
  </si>
  <si>
    <t>Kiểm tra khi nhập bag tạm cho booking</t>
  </si>
  <si>
    <t>EB_VST_002</t>
  </si>
  <si>
    <t>Kiểm tra sửa customer name</t>
  </si>
  <si>
    <t>EB_VST_003</t>
  </si>
  <si>
    <t>Kiểm tra sửa caddie</t>
  </si>
  <si>
    <t>EB_VST_004</t>
  </si>
  <si>
    <t>Sửa từ hội viên A =&gt; hội viên B</t>
  </si>
  <si>
    <t>EB_VST_005</t>
  </si>
  <si>
    <t>Kiểm tra khi add more booking - thêm khách vào cùng booking code</t>
  </si>
  <si>
    <t>EB_VST_006</t>
  </si>
  <si>
    <t>Kiểm tra đổi GS: Hội viên =&gt; Hội viên</t>
  </si>
  <si>
    <t>EB_VST_007</t>
  </si>
  <si>
    <t>Kiểm tra đổi GS: Khách của hội viên =&gt; Hội viên</t>
  </si>
  <si>
    <t>EB_VST_008</t>
  </si>
  <si>
    <t>Kiểm tra đổi GS: Khách của hội viên =&gt; Khách lẻ</t>
  </si>
  <si>
    <t>EB_VST_009</t>
  </si>
  <si>
    <t>Kiểm tra đổi GS: Khách lẻ =&gt; Khách của hội viên</t>
  </si>
  <si>
    <t>EB_VST_010</t>
  </si>
  <si>
    <t>Kiểm tra đổi GS: Khách lẻ =&gt; khách lẻ</t>
  </si>
  <si>
    <t>EB_VST_011</t>
  </si>
  <si>
    <t>Kiểm tra đổi GS: Khách lẻ =&gt; Đại lý</t>
  </si>
  <si>
    <t>EB_VST_012</t>
  </si>
  <si>
    <t>Kiểm tra đổi GS: Đại lý =&gt; khách lẻ</t>
  </si>
  <si>
    <t>EB_VST_013</t>
  </si>
  <si>
    <t>EB_VST_014</t>
  </si>
  <si>
    <t>EB_VST_015</t>
  </si>
  <si>
    <t>EB_VST_016</t>
  </si>
  <si>
    <t>EB_VST_017</t>
  </si>
  <si>
    <t>EB_VST_018</t>
  </si>
  <si>
    <t>EB_VST_019</t>
  </si>
  <si>
    <t>EB_VST_020</t>
  </si>
  <si>
    <t>BB_VST_001</t>
  </si>
  <si>
    <t>Verify create batch booking for Visitor without package (golf fee only)</t>
  </si>
  <si>
    <t>phuongtt-chilinh</t>
  </si>
  <si>
    <t>CHI-LINH-01</t>
  </si>
  <si>
    <t>00:34</t>
  </si>
  <si>
    <t>22:10</t>
  </si>
  <si>
    <t>3728</t>
  </si>
  <si>
    <t>BB_VST_002</t>
  </si>
  <si>
    <t>Verify create batch booking for Visitor with package (package_add_on_fee applied)</t>
  </si>
  <si>
    <t>Khách lẻ có package</t>
  </si>
  <si>
    <t>3</t>
  </si>
  <si>
    <t>4D_package_PTT</t>
  </si>
  <si>
    <t>BB_VST_003</t>
  </si>
  <si>
    <t>Verify create batch booking for Visitor without package + add caddie</t>
  </si>
  <si>
    <t>Khách lẻ booking caddie</t>
  </si>
  <si>
    <t>CD1203</t>
  </si>
  <si>
    <t>00:42</t>
  </si>
  <si>
    <t>22:18</t>
  </si>
  <si>
    <t>BB_VST_004</t>
  </si>
  <si>
    <t>Verify create batch booking for Visitor with package + add caddie</t>
  </si>
  <si>
    <t>Khách lẻ có package booking caddie</t>
  </si>
  <si>
    <t>009</t>
  </si>
  <si>
    <t>BB_VST_005</t>
  </si>
  <si>
    <t>Verify create batch booking for Visitor without package + apply normal voucher (fixed amount, apply to all fee types)</t>
  </si>
  <si>
    <t>Khách lẻ VC thông thường</t>
  </si>
  <si>
    <t>2</t>
  </si>
  <si>
    <t>[{"id": 23934, "voucher_code": "ATCN0001"}]</t>
  </si>
  <si>
    <t>BB_VST_006</t>
  </si>
  <si>
    <t>Verify create batch booking for Visitor without package + apply normal voucher (fixed amount, apply to green fee only)</t>
  </si>
  <si>
    <t>VST apply normal voucher (fixed amount, apply to green fee only)</t>
  </si>
  <si>
    <t>[{"id": 23936, "voucher_code": "ATGR0001"}]</t>
  </si>
  <si>
    <t>BB_VST_007</t>
  </si>
  <si>
    <t>Verify create batch booking for Visitor without package + apply normal voucher (fixed amount, apply to caddie fee only)</t>
  </si>
  <si>
    <t>VST apply normal voucher (fixed amount, apply to caddie fee only)</t>
  </si>
  <si>
    <t>00:50</t>
  </si>
  <si>
    <t>22:26</t>
  </si>
  <si>
    <t>[{"id": 23935, "voucher_code": "ATCD0001"}]</t>
  </si>
  <si>
    <t>BB_VST_008</t>
  </si>
  <si>
    <t>VST apply normal voucher (percent, apply to all fee types)</t>
  </si>
  <si>
    <t>[{"id": 23937, "voucher_code": "ATCN10001"}]</t>
  </si>
  <si>
    <t>BB_VST_009</t>
  </si>
  <si>
    <t>VST apply normal voucher (percent, apply to green fee only)</t>
  </si>
  <si>
    <t>[{"id": 23938, "voucher_code": "ATGR10001"}]</t>
  </si>
  <si>
    <t>BB_VST_010</t>
  </si>
  <si>
    <t>VST apply normal voucher (percent, apply to caddie fee only)</t>
  </si>
  <si>
    <t>[{"id": 23939, "voucher_code": "ATCD10001"}]</t>
  </si>
  <si>
    <t>BB_VST_011</t>
  </si>
  <si>
    <t>VST apply fixed discount voucher (fixed discount for 4 fee types: golf/caddie/buggy/add-on package)</t>
  </si>
  <si>
    <t>00:58</t>
  </si>
  <si>
    <t>22:34</t>
  </si>
  <si>
    <t>[{"id": 23941, "voucher_code": "AT4FEE0001"}]</t>
  </si>
  <si>
    <t>BB_VST_012</t>
  </si>
  <si>
    <t>VST apply fixed discount voucher (fixed discount for green fee)</t>
  </si>
  <si>
    <t>[{"id": 23942, "voucher_code": "AT4GR0001"}]</t>
  </si>
  <si>
    <t>BB_VST_013</t>
  </si>
  <si>
    <t>VST apply fixed discount voucher (fixed discount for caddie fee)</t>
  </si>
  <si>
    <t>[{"id": 23943, "voucher_code": "AT4CD0001"}]</t>
  </si>
  <si>
    <t>BB_VST_014</t>
  </si>
  <si>
    <t>VST apply fixed discount voucher (fixed discount for half buggy)</t>
  </si>
  <si>
    <t>[{"id": 23944, "voucher_code": "AT4BG0001"}]</t>
  </si>
  <si>
    <t>BB_VST_015</t>
  </si>
  <si>
    <t>VST apply fixed discount voucher (fixed discount for add-on package)</t>
  </si>
  <si>
    <t>01:06</t>
  </si>
  <si>
    <t>22:42</t>
  </si>
  <si>
    <t>[{"id": 23945, "voucher_code": "AT4PACKAGE0001"}]</t>
  </si>
  <si>
    <t>BB_VST_016</t>
  </si>
  <si>
    <t>VST apply prepaid voucher (all 4 fee types: golf/caddie/buggy/add-on)</t>
  </si>
  <si>
    <t>[{"id": 23947, "voucher_code": "ATTC4FREE0001"}]</t>
  </si>
  <si>
    <t>BB_VST_017</t>
  </si>
  <si>
    <t>VST apply prepaid voucher (green fee only)</t>
  </si>
  <si>
    <t>[{"id": 23948, "voucher_code": "ATTC4GR0001"}]</t>
  </si>
  <si>
    <t>BB_VST_018</t>
  </si>
  <si>
    <t>VST apply prepaid voucher (caddie fee only)</t>
  </si>
  <si>
    <t>[{"id": 23949, "voucher_code": "ATTC4CD0001"}]</t>
  </si>
  <si>
    <t>BB_VST_019</t>
  </si>
  <si>
    <t>VST apply prepaid voucher (half buggy)</t>
  </si>
  <si>
    <t>01:14</t>
  </si>
  <si>
    <t>22:50</t>
  </si>
  <si>
    <t>[{"id": 23950, "voucher_code": "ATTC4BG0001"}]</t>
  </si>
  <si>
    <t>BB_VST_020</t>
  </si>
  <si>
    <t>VST apply prepaid voucher (add-on package)</t>
  </si>
  <si>
    <t>[{"id": 23951, "voucher_code": "ATTC4PACKAGE0001"}]</t>
  </si>
  <si>
    <t>BB_VST_021</t>
  </si>
  <si>
    <t>Verify error when booking_date is missing in player object</t>
  </si>
  <si>
    <t>create_booking_batch_error_expect.json</t>
  </si>
  <si>
    <t>BB_VST_022</t>
  </si>
  <si>
    <t>Verify error when booking date is in the past</t>
  </si>
  <si>
    <t>4</t>
  </si>
  <si>
    <t>{{TODAY-1}}</t>
  </si>
  <si>
    <t>BB_VST_023</t>
  </si>
  <si>
    <t>Verify error when guest_style is invalid</t>
  </si>
  <si>
    <t>5</t>
  </si>
  <si>
    <t>INVALID_STYLE</t>
  </si>
  <si>
    <t>expected_validation_db</t>
  </si>
  <si>
    <t>exp_status</t>
  </si>
  <si>
    <t>exp_bag_status</t>
  </si>
  <si>
    <t>exp_last_booking_status</t>
  </si>
  <si>
    <t>{
  "status_code": 200,
  "size()": 1,
  "[0].uid": "NOT_NULL",
  "[0].customer_booking_name": "PhuongTT",
  "[0].guest_style": "4D"
}</t>
  </si>
  <si>
    <t>bookings.json</t>
  </si>
  <si>
    <t>ENABLE</t>
  </si>
  <si>
    <t>{
  "status_code": 200,
  "size()": 1,
  "[0].uid": "NOT_NULL",
  "[0].customer_booking_name": "PhuongTT",
  "[0].guest_style": "4D_package_PTT"
}</t>
  </si>
  <si>
    <t>{
  "status_code": 200,
  "size()": 1,
  "[0].uid": "NOT_NULL",
  "[0].has_book_caddie": true
}</t>
  </si>
  <si>
    <t>{
  "status_code": 200,
  "size()": 1,
  "[0].uid": "NOT_NULL",
  "[0].customer_booking_name": "PhuongTT",
  "[0].guest_style": "4D",
  "[0].IsCheckedIn": false,
  "[0].bag_status": "BOOKING",
  "[0].bill_code": "NOT_NULL",
  "[0].booking_code": "NOT_NULL",
  "[0].customer_type": "VISITOR",
  "[0].has_book_caddie": false
}</t>
  </si>
  <si>
    <t>{"status_code": 500}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</si>
</sst>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;@"/>
  </numFmts>
  <fonts count="35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sz val="10"/>
      <color rgb="FF434343"/>
      <name val="Calibri"/>
      <charset val="134"/>
      <scheme val="minor"/>
    </font>
    <font>
      <sz val="10"/>
      <color theme="1"/>
      <name val="Arial"/>
      <charset val="134"/>
    </font>
    <font>
      <sz val="9"/>
      <color rgb="FF240A4C"/>
      <name val="Courier New"/>
      <charset val="134"/>
    </font>
    <font>
      <i/>
      <sz val="11"/>
      <color theme="1"/>
      <name val="Calibri"/>
      <charset val="134"/>
      <scheme val="minor"/>
    </font>
    <font>
      <sz val="9"/>
      <color theme="1"/>
      <name val="Courier New"/>
      <charset val="134"/>
    </font>
    <font>
      <sz val="9.75"/>
      <color rgb="FF1A1C1E"/>
      <name val="Courier New"/>
      <charset val="134"/>
    </font>
    <font>
      <sz val="9"/>
      <color rgb="FF240A4C"/>
      <name val="Arial"/>
      <charset val="134"/>
    </font>
    <font>
      <sz val="10.5"/>
      <color rgb="FF1A1C1E"/>
      <name val="Arial"/>
      <charset val="134"/>
    </font>
    <font>
      <sz val="9"/>
      <color rgb="FF212121"/>
      <name val="Segoe UI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1" borderId="17" applyNumberFormat="0" applyAlignment="0" applyProtection="0">
      <alignment vertical="center"/>
    </xf>
    <xf numFmtId="0" fontId="23" fillId="12" borderId="18" applyNumberFormat="0" applyAlignment="0" applyProtection="0">
      <alignment vertical="center"/>
    </xf>
    <xf numFmtId="0" fontId="24" fillId="12" borderId="17" applyNumberFormat="0" applyAlignment="0" applyProtection="0">
      <alignment vertical="center"/>
    </xf>
    <xf numFmtId="0" fontId="25" fillId="13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5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6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</cellStyleXfs>
  <cellXfs count="12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2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0" fillId="0" borderId="4" xfId="0" applyFon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NumberFormat="1" applyAlignment="1">
      <alignment vertical="center" wrapText="1"/>
    </xf>
    <xf numFmtId="0" fontId="0" fillId="4" borderId="3" xfId="0" applyFont="1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  <xf numFmtId="0" fontId="0" fillId="0" borderId="1" xfId="0" applyNumberFormat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0" borderId="0" xfId="0" applyFont="1">
      <alignment vertical="center"/>
    </xf>
    <xf numFmtId="49" fontId="0" fillId="0" borderId="0" xfId="0" applyNumberFormat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 readingOrder="1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Font="1" applyFill="1" applyAlignment="1">
      <alignment wrapText="1"/>
    </xf>
    <xf numFmtId="46" fontId="0" fillId="0" borderId="0" xfId="0" applyNumberFormat="1" applyFont="1" applyFill="1" applyAlignment="1">
      <alignment wrapText="1"/>
    </xf>
    <xf numFmtId="0" fontId="0" fillId="5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 readingOrder="1"/>
    </xf>
    <xf numFmtId="0" fontId="1" fillId="5" borderId="3" xfId="0" applyFont="1" applyFill="1" applyBorder="1" applyAlignment="1">
      <alignment horizontal="left" vertical="center" wrapText="1" readingOrder="1"/>
    </xf>
    <xf numFmtId="0" fontId="1" fillId="5" borderId="5" xfId="0" applyFont="1" applyFill="1" applyBorder="1" applyAlignment="1">
      <alignment horizontal="left" vertical="center" wrapText="1" readingOrder="1"/>
    </xf>
    <xf numFmtId="0" fontId="2" fillId="5" borderId="2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 readingOrder="1"/>
    </xf>
    <xf numFmtId="0" fontId="1" fillId="4" borderId="3" xfId="0" applyFont="1" applyFill="1" applyBorder="1" applyAlignment="1">
      <alignment horizontal="left" vertical="center" wrapText="1" readingOrder="1"/>
    </xf>
    <xf numFmtId="0" fontId="1" fillId="4" borderId="5" xfId="0" applyFont="1" applyFill="1" applyBorder="1" applyAlignment="1">
      <alignment horizontal="left" vertical="center" wrapText="1" readingOrder="1"/>
    </xf>
    <xf numFmtId="0" fontId="2" fillId="4" borderId="2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left" vertical="center" wrapText="1" readingOrder="1"/>
    </xf>
    <xf numFmtId="0" fontId="1" fillId="4" borderId="7" xfId="0" applyFont="1" applyFill="1" applyBorder="1" applyAlignment="1">
      <alignment horizontal="left" vertical="center" wrapText="1" readingOrder="1"/>
    </xf>
    <xf numFmtId="0" fontId="1" fillId="4" borderId="8" xfId="0" applyFont="1" applyFill="1" applyBorder="1" applyAlignment="1">
      <alignment horizontal="left" vertical="center" wrapText="1" readingOrder="1"/>
    </xf>
    <xf numFmtId="0" fontId="3" fillId="0" borderId="1" xfId="0" applyFont="1" applyBorder="1" applyAlignment="1">
      <alignment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vertical="center" wrapText="1" readingOrder="1"/>
    </xf>
    <xf numFmtId="0" fontId="0" fillId="5" borderId="2" xfId="0" applyFill="1" applyBorder="1" applyAlignment="1">
      <alignment vertical="center" wrapText="1"/>
    </xf>
    <xf numFmtId="0" fontId="0" fillId="5" borderId="2" xfId="0" applyNumberFormat="1" applyFill="1" applyBorder="1" applyAlignment="1">
      <alignment vertical="center" wrapText="1"/>
    </xf>
    <xf numFmtId="0" fontId="0" fillId="5" borderId="1" xfId="0" applyNumberFormat="1" applyFill="1" applyBorder="1" applyAlignment="1">
      <alignment vertical="center" wrapText="1"/>
    </xf>
    <xf numFmtId="0" fontId="0" fillId="5" borderId="0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center" wrapText="1" readingOrder="1"/>
    </xf>
    <xf numFmtId="0" fontId="5" fillId="8" borderId="1" xfId="0" applyFont="1" applyFill="1" applyBorder="1" applyAlignment="1">
      <alignment vertical="center" wrapText="1" readingOrder="1"/>
    </xf>
    <xf numFmtId="0" fontId="5" fillId="8" borderId="1" xfId="0" applyFont="1" applyFill="1" applyBorder="1" applyAlignment="1">
      <alignment horizontal="right" vertical="center" wrapText="1" readingOrder="1"/>
    </xf>
    <xf numFmtId="0" fontId="5" fillId="8" borderId="1" xfId="0" applyFont="1" applyFill="1" applyBorder="1" applyAlignment="1">
      <alignment horizontal="right" vertical="center" wrapText="1" readingOrder="1"/>
    </xf>
    <xf numFmtId="0" fontId="5" fillId="8" borderId="1" xfId="0" applyFont="1" applyFill="1" applyBorder="1" applyAlignment="1">
      <alignment vertical="center" wrapText="1" readingOrder="1"/>
    </xf>
    <xf numFmtId="0" fontId="1" fillId="4" borderId="8" xfId="0" applyFont="1" applyFill="1" applyBorder="1" applyAlignment="1">
      <alignment vertical="center" wrapText="1" readingOrder="1"/>
    </xf>
    <xf numFmtId="0" fontId="1" fillId="4" borderId="4" xfId="0" applyFont="1" applyFill="1" applyBorder="1" applyAlignment="1">
      <alignment vertical="center" wrapText="1" readingOrder="1"/>
    </xf>
    <xf numFmtId="0" fontId="0" fillId="4" borderId="1" xfId="0" applyNumberForma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0" fillId="4" borderId="9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 readingOrder="1"/>
    </xf>
    <xf numFmtId="0" fontId="8" fillId="0" borderId="1" xfId="0" applyFont="1" applyBorder="1">
      <alignment vertical="center"/>
    </xf>
    <xf numFmtId="0" fontId="1" fillId="2" borderId="2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10" fillId="0" borderId="1" xfId="0" applyFont="1" applyBorder="1">
      <alignment vertical="center"/>
    </xf>
    <xf numFmtId="0" fontId="1" fillId="4" borderId="1" xfId="0" applyFont="1" applyFill="1" applyBorder="1" applyAlignment="1">
      <alignment horizontal="left" vertical="center" wrapText="1" readingOrder="1"/>
    </xf>
    <xf numFmtId="0" fontId="2" fillId="4" borderId="0" xfId="0" applyFont="1" applyFill="1" applyBorder="1" applyAlignment="1">
      <alignment horizontal="center" vertical="center" wrapText="1"/>
    </xf>
    <xf numFmtId="0" fontId="1" fillId="4" borderId="0" xfId="0" applyFont="1" applyFill="1" applyBorder="1" applyAlignment="1">
      <alignment vertical="center" wrapText="1" readingOrder="1"/>
    </xf>
    <xf numFmtId="0" fontId="0" fillId="4" borderId="0" xfId="0" applyFill="1" applyBorder="1" applyAlignment="1">
      <alignment vertical="center" wrapText="1"/>
    </xf>
    <xf numFmtId="0" fontId="0" fillId="4" borderId="0" xfId="0" applyNumberFormat="1" applyFill="1" applyBorder="1" applyAlignment="1">
      <alignment vertical="center" wrapText="1"/>
    </xf>
    <xf numFmtId="0" fontId="1" fillId="2" borderId="10" xfId="0" applyFont="1" applyFill="1" applyBorder="1" applyAlignment="1">
      <alignment horizontal="center" vertical="center" wrapText="1" readingOrder="1"/>
    </xf>
    <xf numFmtId="0" fontId="1" fillId="2" borderId="11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/>
    </xf>
    <xf numFmtId="0" fontId="1" fillId="6" borderId="12" xfId="0" applyFont="1" applyFill="1" applyBorder="1" applyAlignment="1">
      <alignment vertical="center" wrapText="1" readingOrder="1"/>
    </xf>
    <xf numFmtId="0" fontId="1" fillId="6" borderId="13" xfId="0" applyFont="1" applyFill="1" applyBorder="1" applyAlignment="1">
      <alignment vertical="center" wrapText="1" readingOrder="1"/>
    </xf>
    <xf numFmtId="0" fontId="1" fillId="2" borderId="13" xfId="0" applyFont="1" applyFill="1" applyBorder="1" applyAlignment="1">
      <alignment vertical="center" wrapText="1" readingOrder="1"/>
    </xf>
    <xf numFmtId="0" fontId="2" fillId="3" borderId="0" xfId="0" applyFont="1" applyFill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0" fillId="9" borderId="1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 readingOrder="1"/>
    </xf>
    <xf numFmtId="0" fontId="0" fillId="0" borderId="1" xfId="0" applyFont="1" applyFill="1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0" fontId="0" fillId="4" borderId="4" xfId="0" applyFont="1" applyFill="1" applyBorder="1" applyAlignment="1">
      <alignment vertical="center" wrapText="1"/>
    </xf>
    <xf numFmtId="178" fontId="0" fillId="0" borderId="0" xfId="0" applyNumberFormat="1" applyAlignment="1">
      <alignment vertical="center" wrapText="1"/>
    </xf>
    <xf numFmtId="49" fontId="0" fillId="4" borderId="0" xfId="0" applyNumberFormat="1" applyFill="1" applyAlignment="1">
      <alignment vertical="center" wrapText="1"/>
    </xf>
    <xf numFmtId="0" fontId="0" fillId="9" borderId="1" xfId="0" applyFill="1" applyBorder="1" applyAlignment="1">
      <alignment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49" fontId="0" fillId="4" borderId="1" xfId="0" applyNumberFormat="1" applyFont="1" applyFill="1" applyBorder="1" applyAlignment="1">
      <alignment vertical="center" wrapText="1"/>
    </xf>
    <xf numFmtId="0" fontId="13" fillId="4" borderId="1" xfId="6" applyFill="1" applyBorder="1" applyAlignment="1">
      <alignment vertical="center" wrapText="1"/>
    </xf>
    <xf numFmtId="178" fontId="2" fillId="3" borderId="1" xfId="0" applyNumberFormat="1" applyFont="1" applyFill="1" applyBorder="1" applyAlignment="1">
      <alignment horizontal="center" vertical="center" wrapText="1"/>
    </xf>
    <xf numFmtId="178" fontId="0" fillId="0" borderId="1" xfId="0" applyNumberFormat="1" applyFont="1" applyFill="1" applyBorder="1" applyAlignment="1">
      <alignment vertical="center"/>
    </xf>
    <xf numFmtId="178" fontId="0" fillId="0" borderId="1" xfId="0" applyNumberFormat="1" applyFont="1" applyFill="1" applyBorder="1" applyAlignment="1">
      <alignment vertical="center" wrapText="1"/>
    </xf>
    <xf numFmtId="0" fontId="0" fillId="9" borderId="0" xfId="0" applyFill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49" fontId="2" fillId="7" borderId="2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20" fontId="0" fillId="0" borderId="1" xfId="0" applyNumberFormat="1" applyFont="1" applyFill="1" applyBorder="1" applyAlignment="1">
      <alignment vertical="center"/>
    </xf>
    <xf numFmtId="20" fontId="14" fillId="0" borderId="1" xfId="0" applyNumberFormat="1" applyFont="1" applyBorder="1" applyAlignment="1">
      <alignment horizontal="right" vertical="center" wrapText="1" readingOrder="1"/>
    </xf>
    <xf numFmtId="0" fontId="14" fillId="0" borderId="1" xfId="0" applyFont="1" applyBorder="1" applyAlignment="1">
      <alignment horizontal="right" vertical="center" wrapText="1" readingOrder="1"/>
    </xf>
    <xf numFmtId="0" fontId="2" fillId="9" borderId="2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/>
    </xf>
    <xf numFmtId="20" fontId="14" fillId="0" borderId="1" xfId="0" applyNumberFormat="1" applyFont="1" applyBorder="1" applyAlignment="1">
      <alignment horizontal="left" vertical="center" wrapText="1" readingOrder="1"/>
    </xf>
    <xf numFmtId="20" fontId="14" fillId="4" borderId="1" xfId="0" applyNumberFormat="1" applyFont="1" applyFill="1" applyBorder="1" applyAlignment="1">
      <alignment horizontal="right" vertical="center" wrapText="1" readingOrder="1"/>
    </xf>
    <xf numFmtId="0" fontId="14" fillId="4" borderId="1" xfId="0" applyFont="1" applyFill="1" applyBorder="1" applyAlignment="1">
      <alignment horizontal="right" vertical="center" wrapText="1" readingOrder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4" borderId="1" xfId="0" applyFont="1" applyFill="1" applyBorder="1" applyAlignment="1" quotePrefix="1">
      <alignment vertical="center" wrapText="1"/>
    </xf>
    <xf numFmtId="0" fontId="0" fillId="4" borderId="1" xfId="0" applyFill="1" applyBorder="1" applyAlignment="1" quotePrefix="1">
      <alignment vertical="center" wrapText="1"/>
    </xf>
    <xf numFmtId="0" fontId="0" fillId="0" borderId="1" xfId="0" applyFont="1" applyFill="1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2"/>
  <sheetViews>
    <sheetView workbookViewId="0">
      <selection activeCell="B14" sqref="B14"/>
    </sheetView>
  </sheetViews>
  <sheetFormatPr defaultColWidth="9.14285714285714" defaultRowHeight="30" customHeight="1"/>
  <cols>
    <col min="1" max="1" width="17.5714285714286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5" width="21.7142857142857" style="1" customWidth="1"/>
    <col min="6" max="6" width="21.4285714285714" style="1" customWidth="1"/>
    <col min="7" max="15" width="17.8380952380952" style="1" customWidth="1"/>
    <col min="16" max="16" width="31.4285714285714" style="1" customWidth="1"/>
    <col min="17" max="21" width="18.9428571428571" style="1" customWidth="1"/>
    <col min="22" max="22" width="18.9428571428571" style="16" customWidth="1"/>
    <col min="23" max="26" width="18.9428571428571" style="1" customWidth="1"/>
    <col min="27" max="27" width="31.2857142857143" style="16" customWidth="1"/>
    <col min="28" max="16384" width="9.14285714285714" style="1"/>
  </cols>
  <sheetData>
    <row r="1" s="1" customFormat="1" ht="46" customHeight="1" spans="1:27">
      <c r="A1" s="2" t="s">
        <v>0</v>
      </c>
      <c r="B1" s="2" t="s">
        <v>1</v>
      </c>
      <c r="C1" s="2" t="s">
        <v>2</v>
      </c>
      <c r="D1" s="2" t="s">
        <v>3</v>
      </c>
      <c r="E1" s="43" t="s">
        <v>4</v>
      </c>
      <c r="F1" s="43" t="s">
        <v>5</v>
      </c>
      <c r="G1" s="43" t="s">
        <v>6</v>
      </c>
      <c r="H1" s="43" t="s">
        <v>7</v>
      </c>
      <c r="I1" s="43" t="s">
        <v>8</v>
      </c>
      <c r="J1" s="43" t="s">
        <v>9</v>
      </c>
      <c r="K1" s="43" t="s">
        <v>10</v>
      </c>
      <c r="L1" s="43" t="s">
        <v>11</v>
      </c>
      <c r="M1" s="43" t="s">
        <v>12</v>
      </c>
      <c r="N1" s="43" t="s">
        <v>13</v>
      </c>
      <c r="O1" s="43" t="s">
        <v>14</v>
      </c>
      <c r="P1" s="12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8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8" t="s">
        <v>26</v>
      </c>
    </row>
    <row r="2" s="29" customFormat="1" ht="43" customHeight="1" spans="1:27">
      <c r="A2" s="7" t="s">
        <v>27</v>
      </c>
      <c r="B2" s="7" t="s">
        <v>28</v>
      </c>
      <c r="C2" s="94" t="s">
        <v>29</v>
      </c>
      <c r="D2" s="7" t="s">
        <v>30</v>
      </c>
      <c r="E2" s="4" t="s">
        <v>31</v>
      </c>
      <c r="F2" s="4" t="s">
        <v>32</v>
      </c>
      <c r="G2" s="7" t="s">
        <v>33</v>
      </c>
      <c r="H2" s="7" t="s">
        <v>34</v>
      </c>
      <c r="I2" s="7"/>
      <c r="J2" s="7">
        <v>1</v>
      </c>
      <c r="K2" s="120" t="s">
        <v>35</v>
      </c>
      <c r="L2" s="7">
        <v>18</v>
      </c>
      <c r="M2" s="7" t="s">
        <v>36</v>
      </c>
      <c r="N2" s="120">
        <v>100</v>
      </c>
      <c r="O2" s="7" t="s">
        <v>36</v>
      </c>
      <c r="P2" s="7" t="s">
        <v>37</v>
      </c>
      <c r="Q2" s="21">
        <v>200</v>
      </c>
      <c r="R2" s="21">
        <v>1</v>
      </c>
      <c r="S2" s="21">
        <v>2000000</v>
      </c>
      <c r="T2" s="21">
        <v>2000000</v>
      </c>
      <c r="U2" s="21">
        <f>V2+W2</f>
        <v>1600000</v>
      </c>
      <c r="V2" s="63">
        <v>1000000</v>
      </c>
      <c r="W2" s="21">
        <v>600000</v>
      </c>
      <c r="X2" s="21">
        <v>400000</v>
      </c>
      <c r="Y2" s="21">
        <f t="shared" ref="Y2:Y12" si="0">L2</f>
        <v>18</v>
      </c>
      <c r="Z2" s="21" t="str">
        <f t="shared" ref="Z2:Z12" si="1">H2</f>
        <v>4D</v>
      </c>
      <c r="AA2" s="63">
        <v>23456</v>
      </c>
    </row>
    <row r="3" s="29" customFormat="1" ht="43" customHeight="1" spans="1:27">
      <c r="A3" s="7" t="s">
        <v>38</v>
      </c>
      <c r="B3" s="7" t="s">
        <v>39</v>
      </c>
      <c r="C3" s="94" t="s">
        <v>29</v>
      </c>
      <c r="D3" s="7" t="s">
        <v>30</v>
      </c>
      <c r="E3" s="4" t="s">
        <v>31</v>
      </c>
      <c r="F3" s="4" t="s">
        <v>32</v>
      </c>
      <c r="G3" s="7" t="s">
        <v>33</v>
      </c>
      <c r="H3" s="7">
        <v>1</v>
      </c>
      <c r="I3" s="7"/>
      <c r="J3" s="7">
        <v>1</v>
      </c>
      <c r="K3" s="120" t="s">
        <v>35</v>
      </c>
      <c r="L3" s="7">
        <v>18</v>
      </c>
      <c r="M3" s="7" t="s">
        <v>36</v>
      </c>
      <c r="N3" s="7">
        <v>102</v>
      </c>
      <c r="O3" s="7" t="s">
        <v>36</v>
      </c>
      <c r="P3" s="7" t="s">
        <v>37</v>
      </c>
      <c r="Q3" s="21">
        <v>200</v>
      </c>
      <c r="R3" s="21">
        <v>1</v>
      </c>
      <c r="S3" s="21">
        <v>2000000</v>
      </c>
      <c r="T3" s="21">
        <v>2000000</v>
      </c>
      <c r="U3" s="21">
        <f>V3+W3</f>
        <v>1600000</v>
      </c>
      <c r="V3" s="63">
        <v>1000000</v>
      </c>
      <c r="W3" s="21">
        <v>600000</v>
      </c>
      <c r="X3" s="21">
        <v>400000</v>
      </c>
      <c r="Y3" s="21">
        <f t="shared" si="0"/>
        <v>18</v>
      </c>
      <c r="Z3" s="21">
        <f t="shared" si="1"/>
        <v>1</v>
      </c>
      <c r="AA3" s="63">
        <v>23456</v>
      </c>
    </row>
    <row r="4" s="29" customFormat="1" ht="43" customHeight="1" spans="1:27">
      <c r="A4" s="7" t="s">
        <v>40</v>
      </c>
      <c r="B4" s="7" t="s">
        <v>41</v>
      </c>
      <c r="C4" s="94" t="s">
        <v>29</v>
      </c>
      <c r="D4" s="7" t="s">
        <v>30</v>
      </c>
      <c r="E4" s="4" t="s">
        <v>31</v>
      </c>
      <c r="F4" s="4" t="s">
        <v>32</v>
      </c>
      <c r="G4" s="7" t="s">
        <v>33</v>
      </c>
      <c r="H4" s="7">
        <v>2</v>
      </c>
      <c r="I4" s="21"/>
      <c r="J4" s="7">
        <v>1</v>
      </c>
      <c r="K4" s="120" t="s">
        <v>42</v>
      </c>
      <c r="L4" s="7">
        <v>18</v>
      </c>
      <c r="M4" s="7" t="s">
        <v>36</v>
      </c>
      <c r="N4" s="7">
        <v>104</v>
      </c>
      <c r="O4" s="7" t="s">
        <v>36</v>
      </c>
      <c r="P4" s="7" t="s">
        <v>37</v>
      </c>
      <c r="Q4" s="21">
        <v>200</v>
      </c>
      <c r="R4" s="21">
        <v>1</v>
      </c>
      <c r="S4" s="21">
        <v>2000000</v>
      </c>
      <c r="T4" s="21">
        <v>2000000</v>
      </c>
      <c r="U4" s="21">
        <f>V4+W4</f>
        <v>1600000</v>
      </c>
      <c r="V4" s="63">
        <v>1000000</v>
      </c>
      <c r="W4" s="21">
        <v>600000</v>
      </c>
      <c r="X4" s="21">
        <v>400000</v>
      </c>
      <c r="Y4" s="21">
        <f t="shared" si="0"/>
        <v>18</v>
      </c>
      <c r="Z4" s="21">
        <f t="shared" si="1"/>
        <v>2</v>
      </c>
      <c r="AA4" s="63">
        <v>23456</v>
      </c>
    </row>
    <row r="5" s="29" customFormat="1" ht="43" customHeight="1" spans="1:27">
      <c r="A5" s="7" t="s">
        <v>43</v>
      </c>
      <c r="B5" s="21" t="s">
        <v>44</v>
      </c>
      <c r="C5" s="94" t="s">
        <v>29</v>
      </c>
      <c r="D5" s="7" t="s">
        <v>30</v>
      </c>
      <c r="E5" s="4" t="s">
        <v>31</v>
      </c>
      <c r="F5" s="4" t="s">
        <v>32</v>
      </c>
      <c r="G5" s="7" t="s">
        <v>33</v>
      </c>
      <c r="H5" s="7">
        <v>7</v>
      </c>
      <c r="I5" s="21"/>
      <c r="J5" s="7">
        <v>1</v>
      </c>
      <c r="K5" s="120" t="s">
        <v>45</v>
      </c>
      <c r="L5" s="7">
        <v>18</v>
      </c>
      <c r="M5" s="7" t="s">
        <v>36</v>
      </c>
      <c r="N5" s="7">
        <v>108</v>
      </c>
      <c r="O5" s="7" t="s">
        <v>36</v>
      </c>
      <c r="P5" s="7" t="s">
        <v>37</v>
      </c>
      <c r="Q5" s="21">
        <v>200</v>
      </c>
      <c r="R5" s="21">
        <v>1</v>
      </c>
      <c r="S5" s="21">
        <v>0</v>
      </c>
      <c r="T5" s="21">
        <v>0</v>
      </c>
      <c r="U5" s="21">
        <v>0</v>
      </c>
      <c r="V5" s="63">
        <v>0</v>
      </c>
      <c r="W5" s="21">
        <v>0</v>
      </c>
      <c r="X5" s="21">
        <v>0</v>
      </c>
      <c r="Y5" s="21">
        <f t="shared" si="0"/>
        <v>18</v>
      </c>
      <c r="Z5" s="21">
        <f t="shared" si="1"/>
        <v>7</v>
      </c>
      <c r="AA5" s="63">
        <v>23456710</v>
      </c>
    </row>
    <row r="6" s="29" customFormat="1" ht="43" customHeight="1" spans="1:27">
      <c r="A6" s="7" t="s">
        <v>46</v>
      </c>
      <c r="B6" s="7" t="s">
        <v>47</v>
      </c>
      <c r="C6" s="94" t="s">
        <v>29</v>
      </c>
      <c r="D6" s="7" t="s">
        <v>30</v>
      </c>
      <c r="E6" s="4" t="s">
        <v>31</v>
      </c>
      <c r="F6" s="4" t="s">
        <v>32</v>
      </c>
      <c r="G6" s="7" t="s">
        <v>33</v>
      </c>
      <c r="H6" s="7" t="s">
        <v>48</v>
      </c>
      <c r="I6" s="21"/>
      <c r="J6" s="7">
        <v>1</v>
      </c>
      <c r="K6" s="120" t="s">
        <v>42</v>
      </c>
      <c r="L6" s="7">
        <v>18</v>
      </c>
      <c r="M6" s="7" t="s">
        <v>36</v>
      </c>
      <c r="N6" s="7">
        <v>106</v>
      </c>
      <c r="O6" s="7" t="s">
        <v>36</v>
      </c>
      <c r="P6" s="7" t="s">
        <v>37</v>
      </c>
      <c r="Q6" s="21">
        <v>200</v>
      </c>
      <c r="R6" s="21">
        <v>1</v>
      </c>
      <c r="S6" s="21">
        <v>2000000</v>
      </c>
      <c r="T6" s="21">
        <v>2000000</v>
      </c>
      <c r="U6" s="21">
        <f t="shared" ref="U6:U12" si="2">V6+W6</f>
        <v>1600000</v>
      </c>
      <c r="V6" s="63">
        <v>1000000</v>
      </c>
      <c r="W6" s="21">
        <v>600000</v>
      </c>
      <c r="X6" s="21">
        <v>400000</v>
      </c>
      <c r="Y6" s="21">
        <f t="shared" si="0"/>
        <v>18</v>
      </c>
      <c r="Z6" s="21" t="str">
        <f t="shared" si="1"/>
        <v>5D</v>
      </c>
      <c r="AA6" s="63">
        <v>23456</v>
      </c>
    </row>
    <row r="7" s="29" customFormat="1" ht="43" customHeight="1" spans="1:27">
      <c r="A7" s="7" t="s">
        <v>49</v>
      </c>
      <c r="B7" s="7" t="s">
        <v>50</v>
      </c>
      <c r="C7" s="94" t="s">
        <v>29</v>
      </c>
      <c r="D7" s="7" t="s">
        <v>30</v>
      </c>
      <c r="E7" s="4" t="s">
        <v>31</v>
      </c>
      <c r="F7" s="4" t="s">
        <v>32</v>
      </c>
      <c r="G7" s="7" t="s">
        <v>33</v>
      </c>
      <c r="H7" s="7" t="s">
        <v>34</v>
      </c>
      <c r="I7" s="125" t="s">
        <v>51</v>
      </c>
      <c r="J7" s="7">
        <v>1</v>
      </c>
      <c r="K7" s="120" t="s">
        <v>35</v>
      </c>
      <c r="L7" s="7">
        <v>18</v>
      </c>
      <c r="M7" s="7" t="s">
        <v>36</v>
      </c>
      <c r="N7" s="7">
        <v>101</v>
      </c>
      <c r="O7" s="7" t="s">
        <v>36</v>
      </c>
      <c r="P7" s="7" t="s">
        <v>37</v>
      </c>
      <c r="Q7" s="21">
        <v>200</v>
      </c>
      <c r="R7" s="21">
        <v>1</v>
      </c>
      <c r="S7" s="21">
        <v>2000000</v>
      </c>
      <c r="T7" s="21">
        <v>2000000</v>
      </c>
      <c r="U7" s="21">
        <f t="shared" si="2"/>
        <v>1600000</v>
      </c>
      <c r="V7" s="63">
        <v>1000000</v>
      </c>
      <c r="W7" s="21">
        <v>600000</v>
      </c>
      <c r="X7" s="21">
        <v>400000</v>
      </c>
      <c r="Y7" s="21">
        <f t="shared" si="0"/>
        <v>18</v>
      </c>
      <c r="Z7" s="21" t="str">
        <f t="shared" si="1"/>
        <v>4D</v>
      </c>
      <c r="AA7" s="63">
        <v>23456</v>
      </c>
    </row>
    <row r="8" s="29" customFormat="1" ht="43" customHeight="1" spans="1:27">
      <c r="A8" s="7" t="s">
        <v>52</v>
      </c>
      <c r="B8" s="7" t="s">
        <v>53</v>
      </c>
      <c r="C8" s="94" t="s">
        <v>29</v>
      </c>
      <c r="D8" s="7" t="s">
        <v>30</v>
      </c>
      <c r="E8" s="4" t="s">
        <v>31</v>
      </c>
      <c r="F8" s="4" t="s">
        <v>32</v>
      </c>
      <c r="G8" s="7" t="s">
        <v>33</v>
      </c>
      <c r="H8" s="7">
        <v>1</v>
      </c>
      <c r="I8" s="126" t="s">
        <v>54</v>
      </c>
      <c r="J8" s="7">
        <v>1</v>
      </c>
      <c r="K8" s="120" t="s">
        <v>42</v>
      </c>
      <c r="L8" s="7">
        <v>18</v>
      </c>
      <c r="M8" s="7" t="s">
        <v>36</v>
      </c>
      <c r="N8" s="7">
        <v>103</v>
      </c>
      <c r="O8" s="7" t="s">
        <v>36</v>
      </c>
      <c r="P8" s="7" t="s">
        <v>37</v>
      </c>
      <c r="Q8" s="21">
        <v>200</v>
      </c>
      <c r="R8" s="21">
        <v>1</v>
      </c>
      <c r="S8" s="21">
        <v>2000000</v>
      </c>
      <c r="T8" s="21">
        <v>2000000</v>
      </c>
      <c r="U8" s="21">
        <f t="shared" si="2"/>
        <v>1600000</v>
      </c>
      <c r="V8" s="63">
        <v>1000000</v>
      </c>
      <c r="W8" s="21">
        <v>600000</v>
      </c>
      <c r="X8" s="21">
        <v>400000</v>
      </c>
      <c r="Y8" s="21">
        <f t="shared" si="0"/>
        <v>18</v>
      </c>
      <c r="Z8" s="21">
        <f t="shared" si="1"/>
        <v>1</v>
      </c>
      <c r="AA8" s="63">
        <v>23456</v>
      </c>
    </row>
    <row r="9" s="29" customFormat="1" ht="43" customHeight="1" spans="1:27">
      <c r="A9" s="7" t="s">
        <v>55</v>
      </c>
      <c r="B9" s="7" t="s">
        <v>56</v>
      </c>
      <c r="C9" s="94" t="s">
        <v>29</v>
      </c>
      <c r="D9" s="7" t="s">
        <v>30</v>
      </c>
      <c r="E9" s="4" t="s">
        <v>31</v>
      </c>
      <c r="F9" s="4" t="s">
        <v>32</v>
      </c>
      <c r="G9" s="7" t="s">
        <v>33</v>
      </c>
      <c r="H9" s="7">
        <v>2</v>
      </c>
      <c r="I9" s="126" t="s">
        <v>57</v>
      </c>
      <c r="J9" s="7">
        <v>1</v>
      </c>
      <c r="K9" s="120" t="s">
        <v>42</v>
      </c>
      <c r="L9" s="7">
        <v>18</v>
      </c>
      <c r="M9" s="7" t="s">
        <v>36</v>
      </c>
      <c r="N9" s="7">
        <v>105</v>
      </c>
      <c r="O9" s="7" t="s">
        <v>36</v>
      </c>
      <c r="P9" s="7" t="s">
        <v>37</v>
      </c>
      <c r="Q9" s="21">
        <v>200</v>
      </c>
      <c r="R9" s="21">
        <v>1</v>
      </c>
      <c r="S9" s="21">
        <v>2000000</v>
      </c>
      <c r="T9" s="21">
        <v>2000000</v>
      </c>
      <c r="U9" s="21">
        <f t="shared" si="2"/>
        <v>1600000</v>
      </c>
      <c r="V9" s="63">
        <v>1000000</v>
      </c>
      <c r="W9" s="21">
        <v>600000</v>
      </c>
      <c r="X9" s="21">
        <v>400000</v>
      </c>
      <c r="Y9" s="21">
        <f t="shared" si="0"/>
        <v>18</v>
      </c>
      <c r="Z9" s="21">
        <f t="shared" si="1"/>
        <v>2</v>
      </c>
      <c r="AA9" s="63">
        <v>23456</v>
      </c>
    </row>
    <row r="10" s="29" customFormat="1" ht="43" customHeight="1" spans="1:27">
      <c r="A10" s="7" t="s">
        <v>58</v>
      </c>
      <c r="B10" s="7" t="s">
        <v>59</v>
      </c>
      <c r="C10" s="94" t="s">
        <v>29</v>
      </c>
      <c r="D10" s="7" t="s">
        <v>30</v>
      </c>
      <c r="E10" s="4" t="s">
        <v>31</v>
      </c>
      <c r="F10" s="4" t="s">
        <v>32</v>
      </c>
      <c r="G10" s="7" t="s">
        <v>33</v>
      </c>
      <c r="H10" s="7" t="s">
        <v>48</v>
      </c>
      <c r="I10" s="126" t="s">
        <v>60</v>
      </c>
      <c r="J10" s="7">
        <v>1</v>
      </c>
      <c r="K10" s="120" t="s">
        <v>45</v>
      </c>
      <c r="L10" s="7">
        <v>18</v>
      </c>
      <c r="M10" s="7" t="s">
        <v>36</v>
      </c>
      <c r="N10" s="7">
        <v>107</v>
      </c>
      <c r="O10" s="7" t="s">
        <v>36</v>
      </c>
      <c r="P10" s="7" t="s">
        <v>37</v>
      </c>
      <c r="Q10" s="21">
        <v>200</v>
      </c>
      <c r="R10" s="21">
        <v>1</v>
      </c>
      <c r="S10" s="21">
        <v>2000000</v>
      </c>
      <c r="T10" s="21">
        <v>2000000</v>
      </c>
      <c r="U10" s="21">
        <f t="shared" si="2"/>
        <v>1600000</v>
      </c>
      <c r="V10" s="63">
        <v>1000000</v>
      </c>
      <c r="W10" s="21">
        <v>600000</v>
      </c>
      <c r="X10" s="21">
        <v>400000</v>
      </c>
      <c r="Y10" s="21">
        <f t="shared" si="0"/>
        <v>18</v>
      </c>
      <c r="Z10" s="21" t="str">
        <f t="shared" si="1"/>
        <v>5D</v>
      </c>
      <c r="AA10" s="63">
        <v>23456</v>
      </c>
    </row>
    <row r="11" s="29" customFormat="1" ht="43" customHeight="1" spans="1:27">
      <c r="A11" s="7" t="s">
        <v>61</v>
      </c>
      <c r="B11" s="7" t="s">
        <v>62</v>
      </c>
      <c r="C11" s="94" t="s">
        <v>29</v>
      </c>
      <c r="D11" s="7" t="s">
        <v>30</v>
      </c>
      <c r="E11" s="4" t="s">
        <v>31</v>
      </c>
      <c r="F11" s="4" t="s">
        <v>32</v>
      </c>
      <c r="G11" s="7" t="s">
        <v>33</v>
      </c>
      <c r="H11" s="7" t="s">
        <v>63</v>
      </c>
      <c r="I11" s="7"/>
      <c r="J11" s="7">
        <v>1</v>
      </c>
      <c r="K11" s="120" t="s">
        <v>35</v>
      </c>
      <c r="L11" s="7">
        <v>18</v>
      </c>
      <c r="M11" s="7" t="s">
        <v>36</v>
      </c>
      <c r="N11" s="120">
        <v>100</v>
      </c>
      <c r="O11" s="7" t="s">
        <v>36</v>
      </c>
      <c r="P11" s="7" t="s">
        <v>37</v>
      </c>
      <c r="Q11" s="21">
        <v>200</v>
      </c>
      <c r="R11" s="21">
        <v>1</v>
      </c>
      <c r="S11" s="21">
        <v>2100000</v>
      </c>
      <c r="T11" s="21">
        <v>2100000</v>
      </c>
      <c r="U11" s="21">
        <f t="shared" si="2"/>
        <v>1600000</v>
      </c>
      <c r="V11" s="63">
        <v>1000000</v>
      </c>
      <c r="W11" s="21">
        <v>600000</v>
      </c>
      <c r="X11" s="21">
        <v>400000</v>
      </c>
      <c r="Y11" s="21">
        <f t="shared" si="0"/>
        <v>18</v>
      </c>
      <c r="Z11" s="21" t="str">
        <f t="shared" si="1"/>
        <v>VST</v>
      </c>
      <c r="AA11" s="63">
        <v>23456701</v>
      </c>
    </row>
    <row r="12" s="29" customFormat="1" ht="43" customHeight="1" spans="1:27">
      <c r="A12" s="7" t="s">
        <v>64</v>
      </c>
      <c r="B12" s="7" t="s">
        <v>62</v>
      </c>
      <c r="C12" s="94" t="s">
        <v>29</v>
      </c>
      <c r="D12" s="7" t="s">
        <v>30</v>
      </c>
      <c r="E12" s="4" t="s">
        <v>31</v>
      </c>
      <c r="F12" s="4" t="s">
        <v>32</v>
      </c>
      <c r="G12" s="7" t="s">
        <v>33</v>
      </c>
      <c r="H12" s="7" t="s">
        <v>65</v>
      </c>
      <c r="I12" s="7"/>
      <c r="J12" s="7">
        <v>1</v>
      </c>
      <c r="K12" s="120" t="s">
        <v>35</v>
      </c>
      <c r="L12" s="7">
        <v>18</v>
      </c>
      <c r="M12" s="7" t="s">
        <v>36</v>
      </c>
      <c r="N12" s="120">
        <v>100</v>
      </c>
      <c r="O12" s="7" t="s">
        <v>36</v>
      </c>
      <c r="P12" s="7" t="s">
        <v>37</v>
      </c>
      <c r="Q12" s="21">
        <v>200</v>
      </c>
      <c r="R12" s="21">
        <v>1</v>
      </c>
      <c r="S12" s="21">
        <v>2100000</v>
      </c>
      <c r="T12" s="21">
        <v>2100000</v>
      </c>
      <c r="U12" s="21">
        <f t="shared" si="2"/>
        <v>1600000</v>
      </c>
      <c r="V12" s="63">
        <v>1000000</v>
      </c>
      <c r="W12" s="21">
        <v>600000</v>
      </c>
      <c r="X12" s="21">
        <v>400000</v>
      </c>
      <c r="Y12" s="21">
        <f t="shared" si="0"/>
        <v>18</v>
      </c>
      <c r="Z12" s="21" t="str">
        <f t="shared" si="1"/>
        <v>AGENT</v>
      </c>
      <c r="AA12" s="63">
        <v>23456710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7"/>
  <sheetViews>
    <sheetView zoomScale="85" zoomScaleNormal="85" topLeftCell="D1" workbookViewId="0">
      <pane ySplit="1" topLeftCell="A2" activePane="bottomLeft" state="frozen"/>
      <selection/>
      <selection pane="bottomLeft" activeCell="O8" sqref="O8:P8"/>
    </sheetView>
  </sheetViews>
  <sheetFormatPr defaultColWidth="9.14285714285714" defaultRowHeight="30" customHeight="1"/>
  <cols>
    <col min="1" max="1" width="2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5" width="21.7142857142857" style="1" customWidth="1"/>
    <col min="6" max="6" width="21.4285714285714" style="1" customWidth="1"/>
    <col min="7" max="16" width="17.8380952380952" style="1" customWidth="1"/>
    <col min="17" max="17" width="31.4285714285714" style="1" customWidth="1"/>
    <col min="18" max="22" width="18.9428571428571" style="1" customWidth="1"/>
    <col min="23" max="23" width="18.9428571428571" style="16" customWidth="1"/>
    <col min="24" max="27" width="18.9428571428571" style="1" customWidth="1"/>
    <col min="28" max="28" width="31.2857142857143" style="16" customWidth="1"/>
    <col min="29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43" t="s">
        <v>4</v>
      </c>
      <c r="F1" s="43" t="s">
        <v>5</v>
      </c>
      <c r="G1" s="43" t="s">
        <v>6</v>
      </c>
      <c r="H1" s="43" t="s">
        <v>7</v>
      </c>
      <c r="I1" s="43" t="s">
        <v>8</v>
      </c>
      <c r="J1" s="43" t="s">
        <v>9</v>
      </c>
      <c r="K1" s="43" t="s">
        <v>10</v>
      </c>
      <c r="L1" s="43" t="s">
        <v>11</v>
      </c>
      <c r="M1" s="43" t="s">
        <v>12</v>
      </c>
      <c r="N1" s="43" t="s">
        <v>13</v>
      </c>
      <c r="O1" s="43" t="s">
        <v>66</v>
      </c>
      <c r="P1" s="43" t="s">
        <v>67</v>
      </c>
      <c r="Q1" s="12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18" t="s">
        <v>21</v>
      </c>
      <c r="X1" s="10" t="s">
        <v>22</v>
      </c>
      <c r="Y1" s="10" t="s">
        <v>23</v>
      </c>
      <c r="Z1" s="10" t="s">
        <v>24</v>
      </c>
      <c r="AA1" s="10" t="s">
        <v>25</v>
      </c>
      <c r="AB1" s="18" t="s">
        <v>26</v>
      </c>
      <c r="AC1" s="98"/>
      <c r="AD1" s="98"/>
      <c r="AE1" s="98"/>
      <c r="AF1" s="98"/>
      <c r="AG1" s="98"/>
      <c r="AH1" s="98"/>
      <c r="AI1" s="98"/>
      <c r="AJ1" s="98"/>
      <c r="AK1" s="98"/>
      <c r="AL1" s="98"/>
      <c r="AM1" s="98"/>
      <c r="AN1" s="98"/>
      <c r="AO1" s="98"/>
      <c r="AP1" s="98"/>
      <c r="AQ1" s="98"/>
      <c r="AR1" s="98"/>
      <c r="AS1" s="98"/>
      <c r="AT1" s="98"/>
      <c r="AU1" s="98"/>
      <c r="AV1" s="98"/>
      <c r="AW1" s="98"/>
      <c r="AX1" s="98"/>
      <c r="AY1" s="98"/>
      <c r="AZ1" s="98"/>
    </row>
    <row r="2" s="28" customFormat="1" ht="21" customHeight="1" spans="1:52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1"/>
      <c r="X2" s="50"/>
      <c r="Y2" s="50"/>
      <c r="Z2" s="50"/>
      <c r="AA2" s="50"/>
      <c r="AB2" s="52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</row>
    <row r="3" s="29" customFormat="1" ht="23" customHeight="1" spans="1:52">
      <c r="A3" s="35"/>
      <c r="B3" s="36" t="s">
        <v>69</v>
      </c>
      <c r="C3" s="37"/>
      <c r="D3" s="37"/>
      <c r="E3" s="38"/>
      <c r="F3" s="38"/>
      <c r="G3" s="38"/>
      <c r="H3" s="38"/>
      <c r="I3" s="38"/>
      <c r="J3" s="38"/>
      <c r="K3" s="38"/>
      <c r="L3" s="38"/>
      <c r="M3" s="45"/>
      <c r="N3" s="45"/>
      <c r="O3" s="38"/>
      <c r="P3" s="38"/>
      <c r="Q3" s="38"/>
      <c r="R3" s="38"/>
      <c r="S3" s="38"/>
      <c r="T3" s="45"/>
      <c r="U3" s="38"/>
      <c r="V3" s="45"/>
      <c r="W3" s="38"/>
      <c r="X3" s="38"/>
      <c r="Y3" s="38"/>
      <c r="Z3" s="38"/>
      <c r="AA3" s="38"/>
      <c r="AB3" s="54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9"/>
      <c r="AO3" s="79"/>
      <c r="AP3" s="80"/>
      <c r="AQ3" s="80"/>
      <c r="AR3" s="80"/>
      <c r="AS3" s="80"/>
      <c r="AT3" s="80"/>
      <c r="AU3" s="81"/>
      <c r="AV3" s="80"/>
      <c r="AW3" s="80"/>
      <c r="AX3" s="80"/>
      <c r="AY3" s="80"/>
      <c r="AZ3" s="81"/>
    </row>
    <row r="4" s="29" customFormat="1" ht="43" customHeight="1" spans="1:52">
      <c r="A4" s="7" t="s">
        <v>70</v>
      </c>
      <c r="B4" s="7" t="s">
        <v>71</v>
      </c>
      <c r="C4" s="94" t="s">
        <v>29</v>
      </c>
      <c r="D4" s="7" t="s">
        <v>72</v>
      </c>
      <c r="E4" s="4" t="s">
        <v>31</v>
      </c>
      <c r="F4" s="4" t="s">
        <v>32</v>
      </c>
      <c r="G4" s="7" t="s">
        <v>33</v>
      </c>
      <c r="H4" s="7" t="s">
        <v>63</v>
      </c>
      <c r="I4" s="7"/>
      <c r="J4" s="7">
        <v>1</v>
      </c>
      <c r="K4" s="120" t="s">
        <v>35</v>
      </c>
      <c r="L4" s="7">
        <v>18</v>
      </c>
      <c r="M4" s="7" t="s">
        <v>36</v>
      </c>
      <c r="N4" s="120">
        <v>100</v>
      </c>
      <c r="O4" s="7">
        <v>61373</v>
      </c>
      <c r="P4" s="7" t="s">
        <v>73</v>
      </c>
      <c r="Q4" s="7" t="s">
        <v>37</v>
      </c>
      <c r="R4" s="21">
        <v>200</v>
      </c>
      <c r="S4" s="21">
        <v>1</v>
      </c>
      <c r="T4" s="21">
        <v>1900000</v>
      </c>
      <c r="U4" s="21">
        <v>1900000</v>
      </c>
      <c r="V4" s="21">
        <f>W4+X4</f>
        <v>1400000</v>
      </c>
      <c r="W4" s="63">
        <v>800000</v>
      </c>
      <c r="X4" s="21">
        <v>600000</v>
      </c>
      <c r="Y4" s="21">
        <v>400000</v>
      </c>
      <c r="Z4" s="21">
        <f t="shared" ref="Z4:Z8" si="0">L4</f>
        <v>18</v>
      </c>
      <c r="AA4" s="21" t="str">
        <f t="shared" ref="AA4:AA8" si="1">H4</f>
        <v>VST</v>
      </c>
      <c r="AB4" s="63">
        <v>23456701</v>
      </c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80"/>
      <c r="AS4" s="80"/>
      <c r="AT4" s="80"/>
      <c r="AU4" s="80"/>
      <c r="AV4" s="80"/>
      <c r="AW4" s="80"/>
      <c r="AX4" s="80"/>
      <c r="AY4" s="80"/>
      <c r="AZ4" s="80"/>
    </row>
    <row r="5" s="29" customFormat="1" ht="23" customHeight="1" spans="1:52">
      <c r="A5" s="35"/>
      <c r="B5" s="77" t="s">
        <v>74</v>
      </c>
      <c r="C5" s="77"/>
      <c r="D5" s="77"/>
      <c r="E5" s="77"/>
      <c r="F5" s="77"/>
      <c r="G5" s="54"/>
      <c r="H5" s="54"/>
      <c r="I5" s="54"/>
      <c r="J5" s="54"/>
      <c r="K5" s="54"/>
      <c r="L5" s="54"/>
      <c r="M5" s="124"/>
      <c r="N5" s="124"/>
      <c r="O5" s="54"/>
      <c r="P5" s="54"/>
      <c r="Q5" s="54"/>
      <c r="R5" s="54"/>
      <c r="S5" s="54"/>
      <c r="T5" s="124"/>
      <c r="U5" s="54"/>
      <c r="V5" s="124"/>
      <c r="W5" s="54"/>
      <c r="X5" s="54"/>
      <c r="Y5" s="54"/>
      <c r="Z5" s="54"/>
      <c r="AA5" s="54"/>
      <c r="AB5" s="54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9"/>
      <c r="AO5" s="79"/>
      <c r="AP5" s="80"/>
      <c r="AQ5" s="80"/>
      <c r="AR5" s="80"/>
      <c r="AS5" s="80"/>
      <c r="AT5" s="80"/>
      <c r="AU5" s="81"/>
      <c r="AV5" s="80"/>
      <c r="AW5" s="80"/>
      <c r="AX5" s="80"/>
      <c r="AY5" s="80"/>
      <c r="AZ5" s="81"/>
    </row>
    <row r="6" s="29" customFormat="1" ht="60" customHeight="1" spans="1:52">
      <c r="A6" s="7" t="s">
        <v>75</v>
      </c>
      <c r="B6" s="7" t="s">
        <v>76</v>
      </c>
      <c r="C6" s="94" t="s">
        <v>29</v>
      </c>
      <c r="D6" s="7" t="s">
        <v>72</v>
      </c>
      <c r="E6" s="4" t="s">
        <v>31</v>
      </c>
      <c r="F6" s="4" t="s">
        <v>32</v>
      </c>
      <c r="G6" s="7" t="s">
        <v>33</v>
      </c>
      <c r="H6" s="7" t="s">
        <v>63</v>
      </c>
      <c r="I6" s="7"/>
      <c r="J6" s="7">
        <v>1</v>
      </c>
      <c r="K6" s="120" t="s">
        <v>35</v>
      </c>
      <c r="L6" s="7">
        <v>18</v>
      </c>
      <c r="M6" s="7" t="s">
        <v>36</v>
      </c>
      <c r="N6" s="120">
        <v>100</v>
      </c>
      <c r="O6" s="59">
        <v>61375</v>
      </c>
      <c r="P6" s="60" t="s">
        <v>77</v>
      </c>
      <c r="Q6" s="7" t="s">
        <v>37</v>
      </c>
      <c r="R6" s="21">
        <v>200</v>
      </c>
      <c r="S6" s="21">
        <v>1</v>
      </c>
      <c r="T6" s="21">
        <v>0</v>
      </c>
      <c r="U6" s="21">
        <v>0</v>
      </c>
      <c r="V6" s="21">
        <v>0</v>
      </c>
      <c r="W6" s="63">
        <v>0</v>
      </c>
      <c r="X6" s="21">
        <v>0</v>
      </c>
      <c r="Y6" s="21">
        <v>0</v>
      </c>
      <c r="Z6" s="21">
        <f t="shared" si="0"/>
        <v>18</v>
      </c>
      <c r="AA6" s="21" t="str">
        <f t="shared" si="1"/>
        <v>VST</v>
      </c>
      <c r="AB6" s="63">
        <v>23456701</v>
      </c>
      <c r="AC6" s="80"/>
      <c r="AD6" s="80"/>
      <c r="AE6" s="80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80"/>
      <c r="AS6" s="80"/>
      <c r="AT6" s="80"/>
      <c r="AU6" s="80"/>
      <c r="AV6" s="80"/>
      <c r="AW6" s="80"/>
      <c r="AX6" s="80"/>
      <c r="AY6" s="80"/>
      <c r="AZ6" s="80"/>
    </row>
    <row r="7" s="29" customFormat="1" ht="23" customHeight="1" spans="1:52">
      <c r="A7" s="35"/>
      <c r="B7" s="77" t="s">
        <v>78</v>
      </c>
      <c r="C7" s="77"/>
      <c r="D7" s="77"/>
      <c r="E7" s="77"/>
      <c r="F7" s="77"/>
      <c r="G7" s="54"/>
      <c r="H7" s="54"/>
      <c r="I7" s="54"/>
      <c r="J7" s="54"/>
      <c r="K7" s="54"/>
      <c r="L7" s="54"/>
      <c r="M7" s="124"/>
      <c r="N7" s="124"/>
      <c r="O7" s="54"/>
      <c r="P7" s="54"/>
      <c r="Q7" s="54"/>
      <c r="R7" s="54"/>
      <c r="S7" s="54"/>
      <c r="T7" s="124"/>
      <c r="U7" s="54"/>
      <c r="V7" s="124"/>
      <c r="W7" s="54"/>
      <c r="X7" s="54"/>
      <c r="Y7" s="54"/>
      <c r="Z7" s="54"/>
      <c r="AA7" s="54"/>
      <c r="AB7" s="54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9"/>
      <c r="AO7" s="79"/>
      <c r="AP7" s="80"/>
      <c r="AQ7" s="80"/>
      <c r="AR7" s="80"/>
      <c r="AS7" s="80"/>
      <c r="AT7" s="80"/>
      <c r="AU7" s="81"/>
      <c r="AV7" s="80"/>
      <c r="AW7" s="80"/>
      <c r="AX7" s="80"/>
      <c r="AY7" s="80"/>
      <c r="AZ7" s="81"/>
    </row>
    <row r="8" s="29" customFormat="1" ht="60" customHeight="1" spans="1:52">
      <c r="A8" s="7" t="s">
        <v>79</v>
      </c>
      <c r="B8" s="7" t="s">
        <v>80</v>
      </c>
      <c r="C8" s="94" t="s">
        <v>29</v>
      </c>
      <c r="D8" s="7" t="s">
        <v>72</v>
      </c>
      <c r="E8" s="4" t="s">
        <v>31</v>
      </c>
      <c r="F8" s="4" t="s">
        <v>32</v>
      </c>
      <c r="G8" s="7" t="s">
        <v>33</v>
      </c>
      <c r="H8" s="7" t="s">
        <v>63</v>
      </c>
      <c r="I8" s="7"/>
      <c r="J8" s="7">
        <v>1</v>
      </c>
      <c r="K8" s="120" t="s">
        <v>35</v>
      </c>
      <c r="L8" s="7">
        <v>18</v>
      </c>
      <c r="M8" s="7" t="s">
        <v>36</v>
      </c>
      <c r="N8" s="120">
        <v>100</v>
      </c>
      <c r="O8" s="59">
        <v>61377</v>
      </c>
      <c r="P8" s="60" t="s">
        <v>81</v>
      </c>
      <c r="Q8" s="7" t="s">
        <v>37</v>
      </c>
      <c r="R8" s="21">
        <v>200</v>
      </c>
      <c r="S8" s="21">
        <v>1</v>
      </c>
      <c r="T8" s="21">
        <v>2000000</v>
      </c>
      <c r="U8" s="21">
        <v>2000000</v>
      </c>
      <c r="V8" s="21">
        <v>1500000</v>
      </c>
      <c r="W8" s="63">
        <v>900000</v>
      </c>
      <c r="X8" s="21">
        <v>600000</v>
      </c>
      <c r="Y8" s="21">
        <v>400000</v>
      </c>
      <c r="Z8" s="21">
        <f t="shared" si="0"/>
        <v>18</v>
      </c>
      <c r="AA8" s="21" t="str">
        <f t="shared" si="1"/>
        <v>VST</v>
      </c>
      <c r="AB8" s="63">
        <v>23456701</v>
      </c>
      <c r="AC8" s="80"/>
      <c r="AD8" s="80"/>
      <c r="AE8" s="80"/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80"/>
      <c r="AS8" s="80"/>
      <c r="AT8" s="80"/>
      <c r="AU8" s="80"/>
      <c r="AV8" s="80"/>
      <c r="AW8" s="80"/>
      <c r="AX8" s="80"/>
      <c r="AY8" s="80"/>
      <c r="AZ8" s="80"/>
    </row>
    <row r="9" s="29" customFormat="1" ht="23" customHeight="1" spans="1:52">
      <c r="A9" s="35"/>
      <c r="B9" s="77" t="s">
        <v>82</v>
      </c>
      <c r="C9" s="77"/>
      <c r="D9" s="77"/>
      <c r="E9" s="77"/>
      <c r="F9" s="77"/>
      <c r="G9" s="54"/>
      <c r="H9" s="54"/>
      <c r="I9" s="54"/>
      <c r="J9" s="54"/>
      <c r="K9" s="54"/>
      <c r="L9" s="54"/>
      <c r="M9" s="124"/>
      <c r="N9" s="124"/>
      <c r="O9" s="54"/>
      <c r="P9" s="54"/>
      <c r="Q9" s="54"/>
      <c r="R9" s="54"/>
      <c r="S9" s="54"/>
      <c r="T9" s="124"/>
      <c r="U9" s="54"/>
      <c r="V9" s="124"/>
      <c r="W9" s="54"/>
      <c r="X9" s="54"/>
      <c r="Y9" s="54"/>
      <c r="Z9" s="54"/>
      <c r="AA9" s="54"/>
      <c r="AB9" s="54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9"/>
      <c r="AO9" s="79"/>
      <c r="AP9" s="80"/>
      <c r="AQ9" s="80"/>
      <c r="AR9" s="80"/>
      <c r="AS9" s="80"/>
      <c r="AT9" s="80"/>
      <c r="AU9" s="81"/>
      <c r="AV9" s="80"/>
      <c r="AW9" s="80"/>
      <c r="AX9" s="80"/>
      <c r="AY9" s="80"/>
      <c r="AZ9" s="81"/>
    </row>
    <row r="10" s="29" customFormat="1" ht="51" customHeight="1" spans="1:52">
      <c r="A10" s="7" t="s">
        <v>83</v>
      </c>
      <c r="B10" s="7" t="s">
        <v>84</v>
      </c>
      <c r="C10" s="94" t="s">
        <v>29</v>
      </c>
      <c r="D10" s="7" t="s">
        <v>72</v>
      </c>
      <c r="E10" s="4" t="s">
        <v>31</v>
      </c>
      <c r="F10" s="4" t="s">
        <v>32</v>
      </c>
      <c r="G10" s="7" t="s">
        <v>33</v>
      </c>
      <c r="H10" s="7" t="s">
        <v>63</v>
      </c>
      <c r="I10" s="7"/>
      <c r="J10" s="7">
        <v>1</v>
      </c>
      <c r="K10" s="120" t="s">
        <v>35</v>
      </c>
      <c r="L10" s="7">
        <v>18</v>
      </c>
      <c r="M10" s="7" t="s">
        <v>36</v>
      </c>
      <c r="N10" s="120">
        <v>100</v>
      </c>
      <c r="O10" s="58">
        <v>35540</v>
      </c>
      <c r="P10" s="57" t="s">
        <v>85</v>
      </c>
      <c r="Q10" s="7" t="s">
        <v>37</v>
      </c>
      <c r="R10" s="21">
        <v>200</v>
      </c>
      <c r="S10" s="21">
        <v>1</v>
      </c>
      <c r="T10" s="21">
        <v>1890000</v>
      </c>
      <c r="U10" s="21">
        <v>1890000</v>
      </c>
      <c r="V10" s="21">
        <f>W10+X10</f>
        <v>1440000</v>
      </c>
      <c r="W10" s="63">
        <v>900000</v>
      </c>
      <c r="X10" s="21">
        <v>540000</v>
      </c>
      <c r="Y10" s="21">
        <v>360000</v>
      </c>
      <c r="Z10" s="21">
        <f t="shared" ref="Z10:Z14" si="2">L10</f>
        <v>18</v>
      </c>
      <c r="AA10" s="21" t="str">
        <f t="shared" ref="AA10:AA14" si="3">H10</f>
        <v>VST</v>
      </c>
      <c r="AB10" s="63">
        <v>23456701</v>
      </c>
      <c r="AC10" s="80"/>
      <c r="AD10" s="80"/>
      <c r="AE10" s="80"/>
      <c r="AF10" s="80"/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80"/>
      <c r="AS10" s="80"/>
      <c r="AT10" s="80"/>
      <c r="AU10" s="80"/>
      <c r="AV10" s="80"/>
      <c r="AW10" s="80"/>
      <c r="AX10" s="80"/>
      <c r="AY10" s="80"/>
      <c r="AZ10" s="80"/>
    </row>
    <row r="11" s="29" customFormat="1" ht="23" customHeight="1" spans="1:52">
      <c r="A11" s="35"/>
      <c r="B11" s="77" t="s">
        <v>86</v>
      </c>
      <c r="C11" s="77"/>
      <c r="D11" s="77"/>
      <c r="E11" s="77"/>
      <c r="F11" s="77"/>
      <c r="G11" s="54"/>
      <c r="H11" s="54"/>
      <c r="I11" s="54"/>
      <c r="J11" s="54"/>
      <c r="K11" s="54"/>
      <c r="L11" s="54"/>
      <c r="M11" s="124"/>
      <c r="N11" s="124"/>
      <c r="O11" s="54"/>
      <c r="P11" s="54"/>
      <c r="Q11" s="54"/>
      <c r="R11" s="54"/>
      <c r="S11" s="54"/>
      <c r="T11" s="124"/>
      <c r="U11" s="54"/>
      <c r="V11" s="124"/>
      <c r="W11" s="54"/>
      <c r="X11" s="54"/>
      <c r="Y11" s="54"/>
      <c r="Z11" s="54"/>
      <c r="AA11" s="54"/>
      <c r="AB11" s="54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9"/>
      <c r="AO11" s="79"/>
      <c r="AP11" s="80"/>
      <c r="AQ11" s="80"/>
      <c r="AR11" s="80"/>
      <c r="AS11" s="80"/>
      <c r="AT11" s="80"/>
      <c r="AU11" s="81"/>
      <c r="AV11" s="80"/>
      <c r="AW11" s="80"/>
      <c r="AX11" s="80"/>
      <c r="AY11" s="80"/>
      <c r="AZ11" s="81"/>
    </row>
    <row r="12" s="29" customFormat="1" ht="51" customHeight="1" spans="1:52">
      <c r="A12" s="7" t="s">
        <v>87</v>
      </c>
      <c r="B12" s="7" t="s">
        <v>88</v>
      </c>
      <c r="C12" s="94" t="s">
        <v>29</v>
      </c>
      <c r="D12" s="7" t="s">
        <v>72</v>
      </c>
      <c r="E12" s="4" t="s">
        <v>31</v>
      </c>
      <c r="F12" s="4" t="s">
        <v>32</v>
      </c>
      <c r="G12" s="7" t="s">
        <v>33</v>
      </c>
      <c r="H12" s="7" t="s">
        <v>63</v>
      </c>
      <c r="I12" s="7"/>
      <c r="J12" s="7">
        <v>1</v>
      </c>
      <c r="K12" s="120" t="s">
        <v>35</v>
      </c>
      <c r="L12" s="7">
        <v>18</v>
      </c>
      <c r="M12" s="7" t="s">
        <v>36</v>
      </c>
      <c r="N12" s="120">
        <v>100</v>
      </c>
      <c r="O12" s="58">
        <v>61353</v>
      </c>
      <c r="P12" s="57" t="s">
        <v>89</v>
      </c>
      <c r="Q12" s="7" t="s">
        <v>37</v>
      </c>
      <c r="R12" s="21">
        <v>200</v>
      </c>
      <c r="S12" s="21">
        <v>1</v>
      </c>
      <c r="T12" s="21">
        <v>350000</v>
      </c>
      <c r="U12" s="21">
        <v>350000</v>
      </c>
      <c r="V12" s="21">
        <v>200000</v>
      </c>
      <c r="W12" s="63">
        <v>100000</v>
      </c>
      <c r="X12" s="21">
        <v>100000</v>
      </c>
      <c r="Y12" s="21">
        <v>100000</v>
      </c>
      <c r="Z12" s="21">
        <f t="shared" si="2"/>
        <v>18</v>
      </c>
      <c r="AA12" s="21" t="str">
        <f t="shared" si="3"/>
        <v>VST</v>
      </c>
      <c r="AB12" s="63">
        <v>23456701</v>
      </c>
      <c r="AC12" s="80"/>
      <c r="AD12" s="80"/>
      <c r="AE12" s="80"/>
      <c r="AF12" s="80"/>
      <c r="AG12" s="80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80"/>
      <c r="AS12" s="80"/>
      <c r="AT12" s="80"/>
      <c r="AU12" s="80"/>
      <c r="AV12" s="80"/>
      <c r="AW12" s="80"/>
      <c r="AX12" s="80"/>
      <c r="AY12" s="80"/>
      <c r="AZ12" s="80"/>
    </row>
    <row r="13" s="29" customFormat="1" ht="23" customHeight="1" spans="1:52">
      <c r="A13" s="35"/>
      <c r="B13" s="77" t="s">
        <v>90</v>
      </c>
      <c r="C13" s="77"/>
      <c r="D13" s="77"/>
      <c r="E13" s="77"/>
      <c r="F13" s="77"/>
      <c r="G13" s="54"/>
      <c r="H13" s="54"/>
      <c r="I13" s="54"/>
      <c r="J13" s="54"/>
      <c r="K13" s="54"/>
      <c r="L13" s="54"/>
      <c r="M13" s="124"/>
      <c r="N13" s="124"/>
      <c r="O13" s="54"/>
      <c r="P13" s="54"/>
      <c r="Q13" s="54"/>
      <c r="R13" s="54"/>
      <c r="S13" s="54"/>
      <c r="T13" s="124"/>
      <c r="U13" s="54"/>
      <c r="V13" s="124"/>
      <c r="W13" s="54"/>
      <c r="X13" s="54"/>
      <c r="Y13" s="54"/>
      <c r="Z13" s="54"/>
      <c r="AA13" s="54"/>
      <c r="AB13" s="54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9"/>
      <c r="AO13" s="79"/>
      <c r="AP13" s="80"/>
      <c r="AQ13" s="80"/>
      <c r="AR13" s="80"/>
      <c r="AS13" s="80"/>
      <c r="AT13" s="80"/>
      <c r="AU13" s="81"/>
      <c r="AV13" s="80"/>
      <c r="AW13" s="80"/>
      <c r="AX13" s="80"/>
      <c r="AY13" s="80"/>
      <c r="AZ13" s="81"/>
    </row>
    <row r="14" s="29" customFormat="1" ht="51" customHeight="1" spans="1:52">
      <c r="A14" s="7" t="s">
        <v>91</v>
      </c>
      <c r="B14" s="7" t="s">
        <v>92</v>
      </c>
      <c r="C14" s="94" t="s">
        <v>29</v>
      </c>
      <c r="D14" s="7" t="s">
        <v>72</v>
      </c>
      <c r="E14" s="4" t="s">
        <v>31</v>
      </c>
      <c r="F14" s="4" t="s">
        <v>32</v>
      </c>
      <c r="G14" s="7" t="s">
        <v>33</v>
      </c>
      <c r="H14" s="7" t="s">
        <v>63</v>
      </c>
      <c r="I14" s="7"/>
      <c r="J14" s="7">
        <v>1</v>
      </c>
      <c r="K14" s="120" t="s">
        <v>35</v>
      </c>
      <c r="L14" s="7">
        <v>18</v>
      </c>
      <c r="M14" s="7" t="s">
        <v>36</v>
      </c>
      <c r="N14" s="120">
        <v>100</v>
      </c>
      <c r="O14" s="58">
        <v>61357</v>
      </c>
      <c r="P14" s="57" t="s">
        <v>93</v>
      </c>
      <c r="Q14" s="7" t="s">
        <v>37</v>
      </c>
      <c r="R14" s="21">
        <v>200</v>
      </c>
      <c r="S14" s="21">
        <v>1</v>
      </c>
      <c r="T14" s="21">
        <v>350000</v>
      </c>
      <c r="U14" s="21">
        <v>350000</v>
      </c>
      <c r="V14" s="21">
        <v>200000</v>
      </c>
      <c r="W14" s="63">
        <v>100000</v>
      </c>
      <c r="X14" s="21">
        <v>100000</v>
      </c>
      <c r="Y14" s="21">
        <v>100000</v>
      </c>
      <c r="Z14" s="21">
        <f t="shared" si="2"/>
        <v>18</v>
      </c>
      <c r="AA14" s="21" t="str">
        <f t="shared" si="3"/>
        <v>VST</v>
      </c>
      <c r="AB14" s="63">
        <v>23456701</v>
      </c>
      <c r="AC14" s="80"/>
      <c r="AD14" s="80"/>
      <c r="AE14" s="80"/>
      <c r="AF14" s="80"/>
      <c r="AG14" s="80"/>
      <c r="AH14" s="80"/>
      <c r="AI14" s="80"/>
      <c r="AJ14" s="80"/>
      <c r="AK14" s="80"/>
      <c r="AL14" s="80"/>
      <c r="AM14" s="80"/>
      <c r="AN14" s="80"/>
      <c r="AO14" s="80"/>
      <c r="AP14" s="80"/>
      <c r="AQ14" s="80"/>
      <c r="AR14" s="80"/>
      <c r="AS14" s="80"/>
      <c r="AT14" s="80"/>
      <c r="AU14" s="80"/>
      <c r="AV14" s="80"/>
      <c r="AW14" s="80"/>
      <c r="AX14" s="80"/>
      <c r="AY14" s="80"/>
      <c r="AZ14" s="80"/>
    </row>
    <row r="15" s="28" customFormat="1" ht="21" customHeight="1" spans="1:52">
      <c r="A15" s="31"/>
      <c r="B15" s="32" t="s">
        <v>94</v>
      </c>
      <c r="C15" s="33"/>
      <c r="D15" s="33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49"/>
      <c r="R15" s="50"/>
      <c r="S15" s="50"/>
      <c r="T15" s="50"/>
      <c r="U15" s="50"/>
      <c r="V15" s="50"/>
      <c r="W15" s="51"/>
      <c r="X15" s="50"/>
      <c r="Y15" s="50"/>
      <c r="Z15" s="50"/>
      <c r="AA15" s="50"/>
      <c r="AB15" s="52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53"/>
      <c r="AX15" s="53"/>
      <c r="AY15" s="53"/>
      <c r="AZ15" s="53"/>
    </row>
    <row r="16" s="29" customFormat="1" ht="23" customHeight="1" spans="1:52">
      <c r="A16" s="35"/>
      <c r="B16" s="36" t="s">
        <v>69</v>
      </c>
      <c r="C16" s="37"/>
      <c r="D16" s="37"/>
      <c r="E16" s="38"/>
      <c r="F16" s="38"/>
      <c r="G16" s="38"/>
      <c r="H16" s="38"/>
      <c r="I16" s="38"/>
      <c r="J16" s="38"/>
      <c r="K16" s="38"/>
      <c r="L16" s="38"/>
      <c r="M16" s="45"/>
      <c r="N16" s="124"/>
      <c r="O16" s="54"/>
      <c r="P16" s="54"/>
      <c r="Q16" s="54"/>
      <c r="R16" s="38"/>
      <c r="S16" s="38"/>
      <c r="T16" s="45"/>
      <c r="U16" s="38"/>
      <c r="V16" s="45"/>
      <c r="W16" s="38"/>
      <c r="X16" s="38"/>
      <c r="Y16" s="38"/>
      <c r="Z16" s="38"/>
      <c r="AA16" s="38"/>
      <c r="AB16" s="54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9"/>
      <c r="AO16" s="79"/>
      <c r="AP16" s="80"/>
      <c r="AQ16" s="80"/>
      <c r="AR16" s="80"/>
      <c r="AS16" s="80"/>
      <c r="AT16" s="80"/>
      <c r="AU16" s="81"/>
      <c r="AV16" s="80"/>
      <c r="AW16" s="80"/>
      <c r="AX16" s="80"/>
      <c r="AY16" s="80"/>
      <c r="AZ16" s="81"/>
    </row>
    <row r="17" s="29" customFormat="1" ht="43" customHeight="1" spans="1:52">
      <c r="A17" s="7" t="s">
        <v>95</v>
      </c>
      <c r="B17" s="7" t="s">
        <v>96</v>
      </c>
      <c r="C17" s="94" t="s">
        <v>29</v>
      </c>
      <c r="D17" s="7" t="s">
        <v>72</v>
      </c>
      <c r="E17" s="4" t="s">
        <v>31</v>
      </c>
      <c r="F17" s="4" t="s">
        <v>32</v>
      </c>
      <c r="G17" s="7" t="s">
        <v>33</v>
      </c>
      <c r="H17" s="7" t="s">
        <v>65</v>
      </c>
      <c r="I17" s="7"/>
      <c r="J17" s="7">
        <v>1</v>
      </c>
      <c r="K17" s="120" t="s">
        <v>35</v>
      </c>
      <c r="L17" s="7">
        <v>18</v>
      </c>
      <c r="M17" s="7" t="s">
        <v>36</v>
      </c>
      <c r="N17" s="120">
        <v>100</v>
      </c>
      <c r="O17" s="58">
        <v>61361</v>
      </c>
      <c r="P17" s="57" t="s">
        <v>97</v>
      </c>
      <c r="Q17" s="7" t="s">
        <v>37</v>
      </c>
      <c r="R17" s="21">
        <v>200</v>
      </c>
      <c r="S17" s="21">
        <v>1</v>
      </c>
      <c r="T17" s="21">
        <v>1900000</v>
      </c>
      <c r="U17" s="21">
        <v>1900000</v>
      </c>
      <c r="V17" s="21">
        <f>W17+X17</f>
        <v>1400000</v>
      </c>
      <c r="W17" s="63">
        <v>800000</v>
      </c>
      <c r="X17" s="21">
        <v>600000</v>
      </c>
      <c r="Y17" s="21">
        <v>400000</v>
      </c>
      <c r="Z17" s="21">
        <f t="shared" ref="Z17:Z21" si="4">L17</f>
        <v>18</v>
      </c>
      <c r="AA17" s="21" t="str">
        <f t="shared" ref="AA17:AA21" si="5">H17</f>
        <v>AGENT</v>
      </c>
      <c r="AB17" s="63">
        <v>23456710</v>
      </c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80"/>
      <c r="AO17" s="80"/>
      <c r="AP17" s="80"/>
      <c r="AQ17" s="80"/>
      <c r="AR17" s="80"/>
      <c r="AS17" s="80"/>
      <c r="AT17" s="80"/>
      <c r="AU17" s="80"/>
      <c r="AV17" s="80"/>
      <c r="AW17" s="80"/>
      <c r="AX17" s="80"/>
      <c r="AY17" s="80"/>
      <c r="AZ17" s="80"/>
    </row>
    <row r="18" s="29" customFormat="1" ht="23" customHeight="1" spans="1:52">
      <c r="A18" s="35"/>
      <c r="B18" s="77" t="s">
        <v>74</v>
      </c>
      <c r="C18" s="77"/>
      <c r="D18" s="77"/>
      <c r="E18" s="77"/>
      <c r="F18" s="77"/>
      <c r="G18" s="54"/>
      <c r="H18" s="54"/>
      <c r="I18" s="54"/>
      <c r="J18" s="54"/>
      <c r="K18" s="54"/>
      <c r="L18" s="54"/>
      <c r="M18" s="124"/>
      <c r="N18" s="124"/>
      <c r="O18" s="54"/>
      <c r="P18" s="54"/>
      <c r="Q18" s="54"/>
      <c r="R18" s="54"/>
      <c r="S18" s="54"/>
      <c r="T18" s="124"/>
      <c r="U18" s="54"/>
      <c r="V18" s="124"/>
      <c r="W18" s="54"/>
      <c r="X18" s="54"/>
      <c r="Y18" s="54"/>
      <c r="Z18" s="54"/>
      <c r="AA18" s="54"/>
      <c r="AB18" s="54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9"/>
      <c r="AO18" s="79"/>
      <c r="AP18" s="80"/>
      <c r="AQ18" s="80"/>
      <c r="AR18" s="80"/>
      <c r="AS18" s="80"/>
      <c r="AT18" s="80"/>
      <c r="AU18" s="81"/>
      <c r="AV18" s="80"/>
      <c r="AW18" s="80"/>
      <c r="AX18" s="80"/>
      <c r="AY18" s="80"/>
      <c r="AZ18" s="81"/>
    </row>
    <row r="19" s="29" customFormat="1" ht="60" customHeight="1" spans="1:52">
      <c r="A19" s="7" t="s">
        <v>98</v>
      </c>
      <c r="B19" s="7" t="s">
        <v>99</v>
      </c>
      <c r="C19" s="94" t="s">
        <v>29</v>
      </c>
      <c r="D19" s="7" t="s">
        <v>72</v>
      </c>
      <c r="E19" s="4" t="s">
        <v>31</v>
      </c>
      <c r="F19" s="4" t="s">
        <v>32</v>
      </c>
      <c r="G19" s="7" t="s">
        <v>33</v>
      </c>
      <c r="H19" s="7" t="s">
        <v>65</v>
      </c>
      <c r="I19" s="7"/>
      <c r="J19" s="7">
        <v>1</v>
      </c>
      <c r="K19" s="120" t="s">
        <v>35</v>
      </c>
      <c r="L19" s="7">
        <v>18</v>
      </c>
      <c r="M19" s="7" t="s">
        <v>36</v>
      </c>
      <c r="N19" s="120">
        <v>100</v>
      </c>
      <c r="O19" s="58">
        <v>61362</v>
      </c>
      <c r="P19" s="57" t="s">
        <v>100</v>
      </c>
      <c r="Q19" s="7" t="s">
        <v>37</v>
      </c>
      <c r="R19" s="21">
        <v>200</v>
      </c>
      <c r="S19" s="21">
        <v>1</v>
      </c>
      <c r="T19" s="21">
        <v>0</v>
      </c>
      <c r="U19" s="21">
        <v>0</v>
      </c>
      <c r="V19" s="21">
        <v>0</v>
      </c>
      <c r="W19" s="63">
        <v>0</v>
      </c>
      <c r="X19" s="21">
        <v>0</v>
      </c>
      <c r="Y19" s="21">
        <v>0</v>
      </c>
      <c r="Z19" s="21">
        <f t="shared" si="4"/>
        <v>18</v>
      </c>
      <c r="AA19" s="21" t="str">
        <f t="shared" si="5"/>
        <v>AGENT</v>
      </c>
      <c r="AB19" s="63">
        <v>23456710</v>
      </c>
      <c r="AC19" s="80"/>
      <c r="AD19" s="80"/>
      <c r="AE19" s="80"/>
      <c r="AF19" s="80"/>
      <c r="AG19" s="80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80"/>
      <c r="AS19" s="80"/>
      <c r="AT19" s="80"/>
      <c r="AU19" s="80"/>
      <c r="AV19" s="80"/>
      <c r="AW19" s="80"/>
      <c r="AX19" s="80"/>
      <c r="AY19" s="80"/>
      <c r="AZ19" s="80"/>
    </row>
    <row r="20" s="29" customFormat="1" ht="23" customHeight="1" spans="1:52">
      <c r="A20" s="35"/>
      <c r="B20" s="77" t="s">
        <v>78</v>
      </c>
      <c r="C20" s="77"/>
      <c r="D20" s="77"/>
      <c r="E20" s="77"/>
      <c r="F20" s="77"/>
      <c r="G20" s="54"/>
      <c r="H20" s="54"/>
      <c r="I20" s="54"/>
      <c r="J20" s="54"/>
      <c r="K20" s="54"/>
      <c r="L20" s="54"/>
      <c r="M20" s="124"/>
      <c r="N20" s="124"/>
      <c r="O20" s="54"/>
      <c r="P20" s="54"/>
      <c r="Q20" s="54"/>
      <c r="R20" s="54"/>
      <c r="S20" s="54"/>
      <c r="T20" s="124"/>
      <c r="U20" s="54"/>
      <c r="V20" s="124"/>
      <c r="W20" s="54"/>
      <c r="X20" s="54"/>
      <c r="Y20" s="54"/>
      <c r="Z20" s="54"/>
      <c r="AA20" s="54"/>
      <c r="AB20" s="54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9"/>
      <c r="AO20" s="79"/>
      <c r="AP20" s="80"/>
      <c r="AQ20" s="80"/>
      <c r="AR20" s="80"/>
      <c r="AS20" s="80"/>
      <c r="AT20" s="80"/>
      <c r="AU20" s="81"/>
      <c r="AV20" s="80"/>
      <c r="AW20" s="80"/>
      <c r="AX20" s="80"/>
      <c r="AY20" s="80"/>
      <c r="AZ20" s="81"/>
    </row>
    <row r="21" s="29" customFormat="1" ht="60" customHeight="1" spans="1:52">
      <c r="A21" s="7" t="s">
        <v>101</v>
      </c>
      <c r="B21" s="7" t="s">
        <v>102</v>
      </c>
      <c r="C21" s="94" t="s">
        <v>29</v>
      </c>
      <c r="D21" s="7" t="s">
        <v>72</v>
      </c>
      <c r="E21" s="4" t="s">
        <v>31</v>
      </c>
      <c r="F21" s="4" t="s">
        <v>32</v>
      </c>
      <c r="G21" s="7" t="s">
        <v>33</v>
      </c>
      <c r="H21" s="7" t="s">
        <v>65</v>
      </c>
      <c r="I21" s="7"/>
      <c r="J21" s="7">
        <v>1</v>
      </c>
      <c r="K21" s="120" t="s">
        <v>35</v>
      </c>
      <c r="L21" s="7">
        <v>18</v>
      </c>
      <c r="M21" s="7" t="s">
        <v>36</v>
      </c>
      <c r="N21" s="120">
        <v>100</v>
      </c>
      <c r="O21" s="58">
        <v>61363</v>
      </c>
      <c r="P21" s="57" t="s">
        <v>103</v>
      </c>
      <c r="Q21" s="7" t="s">
        <v>37</v>
      </c>
      <c r="R21" s="21">
        <v>200</v>
      </c>
      <c r="S21" s="21">
        <v>1</v>
      </c>
      <c r="T21" s="21">
        <v>2000000</v>
      </c>
      <c r="U21" s="21">
        <v>2000000</v>
      </c>
      <c r="V21" s="21">
        <v>1500000</v>
      </c>
      <c r="W21" s="63">
        <v>900000</v>
      </c>
      <c r="X21" s="21">
        <v>600000</v>
      </c>
      <c r="Y21" s="21">
        <v>400000</v>
      </c>
      <c r="Z21" s="21">
        <f t="shared" si="4"/>
        <v>18</v>
      </c>
      <c r="AA21" s="21" t="str">
        <f t="shared" si="5"/>
        <v>AGENT</v>
      </c>
      <c r="AB21" s="63">
        <v>23456710</v>
      </c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80"/>
      <c r="AS21" s="80"/>
      <c r="AT21" s="80"/>
      <c r="AU21" s="80"/>
      <c r="AV21" s="80"/>
      <c r="AW21" s="80"/>
      <c r="AX21" s="80"/>
      <c r="AY21" s="80"/>
      <c r="AZ21" s="80"/>
    </row>
    <row r="22" s="29" customFormat="1" ht="23" customHeight="1" spans="1:52">
      <c r="A22" s="35"/>
      <c r="B22" s="77" t="s">
        <v>82</v>
      </c>
      <c r="C22" s="77"/>
      <c r="D22" s="77"/>
      <c r="E22" s="77"/>
      <c r="F22" s="77"/>
      <c r="G22" s="54"/>
      <c r="H22" s="54"/>
      <c r="I22" s="54"/>
      <c r="J22" s="54"/>
      <c r="K22" s="54"/>
      <c r="L22" s="54"/>
      <c r="M22" s="124"/>
      <c r="N22" s="124"/>
      <c r="O22" s="54"/>
      <c r="P22" s="54"/>
      <c r="Q22" s="54"/>
      <c r="R22" s="54"/>
      <c r="S22" s="54"/>
      <c r="T22" s="124"/>
      <c r="U22" s="54"/>
      <c r="V22" s="124"/>
      <c r="W22" s="54"/>
      <c r="X22" s="54"/>
      <c r="Y22" s="54"/>
      <c r="Z22" s="54"/>
      <c r="AA22" s="54"/>
      <c r="AB22" s="54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9"/>
      <c r="AO22" s="79"/>
      <c r="AP22" s="80"/>
      <c r="AQ22" s="80"/>
      <c r="AR22" s="80"/>
      <c r="AS22" s="80"/>
      <c r="AT22" s="80"/>
      <c r="AU22" s="81"/>
      <c r="AV22" s="80"/>
      <c r="AW22" s="80"/>
      <c r="AX22" s="80"/>
      <c r="AY22" s="80"/>
      <c r="AZ22" s="81"/>
    </row>
    <row r="23" s="29" customFormat="1" ht="51" customHeight="1" spans="1:52">
      <c r="A23" s="7" t="s">
        <v>104</v>
      </c>
      <c r="B23" s="7" t="s">
        <v>105</v>
      </c>
      <c r="C23" s="94" t="s">
        <v>29</v>
      </c>
      <c r="D23" s="7" t="s">
        <v>72</v>
      </c>
      <c r="E23" s="4" t="s">
        <v>31</v>
      </c>
      <c r="F23" s="4" t="s">
        <v>32</v>
      </c>
      <c r="G23" s="7" t="s">
        <v>33</v>
      </c>
      <c r="H23" s="7" t="s">
        <v>65</v>
      </c>
      <c r="I23" s="7"/>
      <c r="J23" s="7">
        <v>1</v>
      </c>
      <c r="K23" s="120" t="s">
        <v>35</v>
      </c>
      <c r="L23" s="7">
        <v>18</v>
      </c>
      <c r="M23" s="7" t="s">
        <v>36</v>
      </c>
      <c r="N23" s="120">
        <v>100</v>
      </c>
      <c r="O23" s="58">
        <v>61364</v>
      </c>
      <c r="P23" s="57" t="s">
        <v>106</v>
      </c>
      <c r="Q23" s="7" t="s">
        <v>37</v>
      </c>
      <c r="R23" s="21">
        <v>200</v>
      </c>
      <c r="S23" s="21">
        <v>1</v>
      </c>
      <c r="T23" s="21">
        <v>1890000</v>
      </c>
      <c r="U23" s="21">
        <v>1890000</v>
      </c>
      <c r="V23" s="21">
        <f>W23+X23</f>
        <v>1440000</v>
      </c>
      <c r="W23" s="63">
        <v>900000</v>
      </c>
      <c r="X23" s="21">
        <v>540000</v>
      </c>
      <c r="Y23" s="21">
        <v>360000</v>
      </c>
      <c r="Z23" s="21">
        <f t="shared" ref="Z23:Z27" si="6">L23</f>
        <v>18</v>
      </c>
      <c r="AA23" s="21" t="str">
        <f t="shared" ref="AA23:AA27" si="7">H23</f>
        <v>AGENT</v>
      </c>
      <c r="AB23" s="63">
        <v>23456710</v>
      </c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80"/>
      <c r="AS23" s="80"/>
      <c r="AT23" s="80"/>
      <c r="AU23" s="80"/>
      <c r="AV23" s="80"/>
      <c r="AW23" s="80"/>
      <c r="AX23" s="80"/>
      <c r="AY23" s="80"/>
      <c r="AZ23" s="80"/>
    </row>
    <row r="24" s="29" customFormat="1" ht="23" customHeight="1" spans="1:52">
      <c r="A24" s="35"/>
      <c r="B24" s="77" t="s">
        <v>86</v>
      </c>
      <c r="C24" s="77"/>
      <c r="D24" s="77"/>
      <c r="E24" s="77"/>
      <c r="F24" s="77"/>
      <c r="G24" s="54"/>
      <c r="H24" s="54"/>
      <c r="I24" s="54"/>
      <c r="J24" s="54"/>
      <c r="K24" s="54"/>
      <c r="L24" s="54"/>
      <c r="M24" s="124"/>
      <c r="N24" s="124"/>
      <c r="O24" s="54"/>
      <c r="P24" s="54"/>
      <c r="Q24" s="54"/>
      <c r="R24" s="54"/>
      <c r="S24" s="54"/>
      <c r="T24" s="124"/>
      <c r="U24" s="54"/>
      <c r="V24" s="124"/>
      <c r="W24" s="54"/>
      <c r="X24" s="54"/>
      <c r="Y24" s="54"/>
      <c r="Z24" s="54"/>
      <c r="AA24" s="54"/>
      <c r="AB24" s="54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9"/>
      <c r="AO24" s="79"/>
      <c r="AP24" s="80"/>
      <c r="AQ24" s="80"/>
      <c r="AR24" s="80"/>
      <c r="AS24" s="80"/>
      <c r="AT24" s="80"/>
      <c r="AU24" s="81"/>
      <c r="AV24" s="80"/>
      <c r="AW24" s="80"/>
      <c r="AX24" s="80"/>
      <c r="AY24" s="80"/>
      <c r="AZ24" s="81"/>
    </row>
    <row r="25" s="29" customFormat="1" ht="51" customHeight="1" spans="1:52">
      <c r="A25" s="7" t="s">
        <v>107</v>
      </c>
      <c r="B25" s="7" t="s">
        <v>108</v>
      </c>
      <c r="C25" s="94" t="s">
        <v>29</v>
      </c>
      <c r="D25" s="7" t="s">
        <v>72</v>
      </c>
      <c r="E25" s="4" t="s">
        <v>31</v>
      </c>
      <c r="F25" s="4" t="s">
        <v>32</v>
      </c>
      <c r="G25" s="7" t="s">
        <v>33</v>
      </c>
      <c r="H25" s="7" t="s">
        <v>65</v>
      </c>
      <c r="I25" s="7"/>
      <c r="J25" s="7">
        <v>1</v>
      </c>
      <c r="K25" s="120" t="s">
        <v>35</v>
      </c>
      <c r="L25" s="7">
        <v>18</v>
      </c>
      <c r="M25" s="7" t="s">
        <v>36</v>
      </c>
      <c r="N25" s="120">
        <v>100</v>
      </c>
      <c r="O25" s="58">
        <v>61365</v>
      </c>
      <c r="P25" s="57" t="s">
        <v>109</v>
      </c>
      <c r="Q25" s="7" t="s">
        <v>37</v>
      </c>
      <c r="R25" s="21">
        <v>200</v>
      </c>
      <c r="S25" s="21">
        <v>1</v>
      </c>
      <c r="T25" s="21">
        <v>350000</v>
      </c>
      <c r="U25" s="21">
        <v>350000</v>
      </c>
      <c r="V25" s="21">
        <v>200000</v>
      </c>
      <c r="W25" s="63">
        <v>100000</v>
      </c>
      <c r="X25" s="21">
        <v>100000</v>
      </c>
      <c r="Y25" s="21">
        <v>100000</v>
      </c>
      <c r="Z25" s="21">
        <f t="shared" si="6"/>
        <v>18</v>
      </c>
      <c r="AA25" s="21" t="str">
        <f t="shared" si="7"/>
        <v>AGENT</v>
      </c>
      <c r="AB25" s="63">
        <v>23456710</v>
      </c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80"/>
      <c r="AQ25" s="80"/>
      <c r="AR25" s="80"/>
      <c r="AS25" s="80"/>
      <c r="AT25" s="80"/>
      <c r="AU25" s="80"/>
      <c r="AV25" s="80"/>
      <c r="AW25" s="80"/>
      <c r="AX25" s="80"/>
      <c r="AY25" s="80"/>
      <c r="AZ25" s="80"/>
    </row>
    <row r="26" s="29" customFormat="1" ht="23" customHeight="1" spans="1:52">
      <c r="A26" s="35"/>
      <c r="B26" s="77" t="s">
        <v>90</v>
      </c>
      <c r="C26" s="77"/>
      <c r="D26" s="77"/>
      <c r="E26" s="77"/>
      <c r="F26" s="77"/>
      <c r="G26" s="54"/>
      <c r="H26" s="54"/>
      <c r="I26" s="54"/>
      <c r="J26" s="54"/>
      <c r="K26" s="54"/>
      <c r="L26" s="54"/>
      <c r="M26" s="124"/>
      <c r="N26" s="124"/>
      <c r="O26" s="54"/>
      <c r="P26" s="54"/>
      <c r="Q26" s="54"/>
      <c r="R26" s="54"/>
      <c r="S26" s="54"/>
      <c r="T26" s="124"/>
      <c r="U26" s="54"/>
      <c r="V26" s="124"/>
      <c r="W26" s="54"/>
      <c r="X26" s="54"/>
      <c r="Y26" s="54"/>
      <c r="Z26" s="54"/>
      <c r="AA26" s="54"/>
      <c r="AB26" s="54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9"/>
      <c r="AO26" s="79"/>
      <c r="AP26" s="80"/>
      <c r="AQ26" s="80"/>
      <c r="AR26" s="80"/>
      <c r="AS26" s="80"/>
      <c r="AT26" s="80"/>
      <c r="AU26" s="81"/>
      <c r="AV26" s="80"/>
      <c r="AW26" s="80"/>
      <c r="AX26" s="80"/>
      <c r="AY26" s="80"/>
      <c r="AZ26" s="81"/>
    </row>
    <row r="27" s="29" customFormat="1" ht="51" customHeight="1" spans="1:52">
      <c r="A27" s="7" t="s">
        <v>110</v>
      </c>
      <c r="B27" s="7" t="s">
        <v>111</v>
      </c>
      <c r="C27" s="94" t="s">
        <v>29</v>
      </c>
      <c r="D27" s="7" t="s">
        <v>72</v>
      </c>
      <c r="E27" s="4" t="s">
        <v>31</v>
      </c>
      <c r="F27" s="4" t="s">
        <v>32</v>
      </c>
      <c r="G27" s="7" t="s">
        <v>33</v>
      </c>
      <c r="H27" s="7" t="s">
        <v>65</v>
      </c>
      <c r="I27" s="7"/>
      <c r="J27" s="7">
        <v>1</v>
      </c>
      <c r="K27" s="120" t="s">
        <v>35</v>
      </c>
      <c r="L27" s="7">
        <v>18</v>
      </c>
      <c r="M27" s="7" t="s">
        <v>36</v>
      </c>
      <c r="N27" s="120">
        <v>100</v>
      </c>
      <c r="O27" s="58">
        <v>61366</v>
      </c>
      <c r="P27" s="57" t="s">
        <v>112</v>
      </c>
      <c r="Q27" s="7" t="s">
        <v>37</v>
      </c>
      <c r="R27" s="21">
        <v>200</v>
      </c>
      <c r="S27" s="21">
        <v>1</v>
      </c>
      <c r="T27" s="21">
        <v>350000</v>
      </c>
      <c r="U27" s="21">
        <v>350000</v>
      </c>
      <c r="V27" s="21">
        <v>200000</v>
      </c>
      <c r="W27" s="63">
        <v>100000</v>
      </c>
      <c r="X27" s="21">
        <v>100000</v>
      </c>
      <c r="Y27" s="21">
        <v>100000</v>
      </c>
      <c r="Z27" s="21">
        <f t="shared" si="6"/>
        <v>18</v>
      </c>
      <c r="AA27" s="21" t="str">
        <f t="shared" si="7"/>
        <v>AGENT</v>
      </c>
      <c r="AB27" s="63">
        <v>23456710</v>
      </c>
      <c r="AC27" s="80"/>
      <c r="AD27" s="80"/>
      <c r="AE27" s="80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80"/>
      <c r="AS27" s="80"/>
      <c r="AT27" s="80"/>
      <c r="AU27" s="80"/>
      <c r="AV27" s="80"/>
      <c r="AW27" s="80"/>
      <c r="AX27" s="80"/>
      <c r="AY27" s="80"/>
      <c r="AZ27" s="80"/>
    </row>
  </sheetData>
  <mergeCells count="14">
    <mergeCell ref="B2:D2"/>
    <mergeCell ref="B3:D3"/>
    <mergeCell ref="B5:F5"/>
    <mergeCell ref="B7:F7"/>
    <mergeCell ref="B9:F9"/>
    <mergeCell ref="B11:F11"/>
    <mergeCell ref="B13:F13"/>
    <mergeCell ref="B15:D15"/>
    <mergeCell ref="B16:D16"/>
    <mergeCell ref="B18:F18"/>
    <mergeCell ref="B20:F20"/>
    <mergeCell ref="B22:F22"/>
    <mergeCell ref="B24:F24"/>
    <mergeCell ref="B26:F2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75"/>
  <sheetViews>
    <sheetView zoomScale="85" zoomScaleNormal="85" workbookViewId="0">
      <pane ySplit="1" topLeftCell="A10" activePane="bottomLeft" state="frozen"/>
      <selection/>
      <selection pane="bottomLeft" activeCell="Z40" sqref="Z40"/>
    </sheetView>
  </sheetViews>
  <sheetFormatPr defaultColWidth="9.14285714285714" defaultRowHeight="30" customHeight="1"/>
  <cols>
    <col min="1" max="1" width="16.2952380952381" style="1" customWidth="1"/>
    <col min="2" max="2" width="31" style="1" customWidth="1"/>
    <col min="3" max="3" width="14.952380952381" style="1" customWidth="1"/>
    <col min="4" max="4" width="32.0952380952381" style="1" customWidth="1"/>
    <col min="5" max="5" width="17.8380952380952" style="1" customWidth="1"/>
    <col min="6" max="6" width="20.3238095238095" style="1" customWidth="1"/>
    <col min="7" max="7" width="23.1904761904762" style="1" customWidth="1"/>
    <col min="8" max="12" width="17.8380952380952" style="1" customWidth="1"/>
    <col min="13" max="14" width="17.8380952380952" style="23" customWidth="1"/>
    <col min="15" max="21" width="17.8380952380952" style="1" customWidth="1"/>
    <col min="22" max="22" width="17.8380952380952" style="23" customWidth="1"/>
    <col min="23" max="52" width="17.8380952380952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46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113</v>
      </c>
      <c r="F1" s="3" t="s">
        <v>114</v>
      </c>
      <c r="G1" s="3" t="s">
        <v>115</v>
      </c>
      <c r="H1" s="3" t="s">
        <v>116</v>
      </c>
      <c r="I1" s="3" t="s">
        <v>117</v>
      </c>
      <c r="J1" s="3" t="s">
        <v>118</v>
      </c>
      <c r="K1" s="3" t="s">
        <v>119</v>
      </c>
      <c r="L1" s="112" t="s">
        <v>120</v>
      </c>
      <c r="M1" s="113" t="s">
        <v>121</v>
      </c>
      <c r="N1" s="113" t="s">
        <v>122</v>
      </c>
      <c r="O1" s="112" t="s">
        <v>123</v>
      </c>
      <c r="P1" s="112" t="s">
        <v>124</v>
      </c>
      <c r="Q1" s="112" t="s">
        <v>125</v>
      </c>
      <c r="R1" s="112" t="s">
        <v>126</v>
      </c>
      <c r="S1" s="112" t="s">
        <v>127</v>
      </c>
      <c r="T1" s="113" t="s">
        <v>128</v>
      </c>
      <c r="U1" s="112" t="s">
        <v>129</v>
      </c>
      <c r="V1" s="113" t="s">
        <v>130</v>
      </c>
      <c r="W1" s="3" t="s">
        <v>131</v>
      </c>
      <c r="X1" s="3" t="s">
        <v>132</v>
      </c>
      <c r="Y1" s="3" t="s">
        <v>133</v>
      </c>
      <c r="Z1" s="3" t="s">
        <v>134</v>
      </c>
      <c r="AA1" s="3" t="s">
        <v>135</v>
      </c>
      <c r="AB1" s="3" t="s">
        <v>136</v>
      </c>
      <c r="AC1" s="3" t="s">
        <v>137</v>
      </c>
      <c r="AD1" s="3" t="s">
        <v>138</v>
      </c>
      <c r="AE1" s="3" t="s">
        <v>139</v>
      </c>
      <c r="AF1" s="3" t="s">
        <v>140</v>
      </c>
      <c r="AG1" s="3" t="s">
        <v>141</v>
      </c>
      <c r="AH1" s="3" t="s">
        <v>142</v>
      </c>
      <c r="AI1" s="112" t="s">
        <v>143</v>
      </c>
      <c r="AJ1" s="48" t="s">
        <v>144</v>
      </c>
      <c r="AK1" s="48" t="s">
        <v>145</v>
      </c>
      <c r="AL1" s="48" t="s">
        <v>146</v>
      </c>
      <c r="AM1" s="48" t="s">
        <v>147</v>
      </c>
      <c r="AN1" s="3" t="s">
        <v>148</v>
      </c>
      <c r="AO1" s="3" t="s">
        <v>149</v>
      </c>
      <c r="AP1" s="3" t="s">
        <v>150</v>
      </c>
      <c r="AQ1" s="3" t="s">
        <v>151</v>
      </c>
      <c r="AR1" s="3" t="s">
        <v>152</v>
      </c>
      <c r="AS1" s="3" t="s">
        <v>153</v>
      </c>
      <c r="AT1" s="3" t="s">
        <v>154</v>
      </c>
      <c r="AU1" s="118" t="s">
        <v>155</v>
      </c>
      <c r="AV1" s="118" t="s">
        <v>156</v>
      </c>
      <c r="AW1" s="118" t="s">
        <v>157</v>
      </c>
      <c r="AX1" s="118" t="s">
        <v>158</v>
      </c>
      <c r="AY1" s="118" t="s">
        <v>159</v>
      </c>
      <c r="AZ1" s="3" t="s">
        <v>160</v>
      </c>
      <c r="BA1" s="12" t="s">
        <v>15</v>
      </c>
      <c r="BB1" s="10" t="s">
        <v>16</v>
      </c>
      <c r="BC1" s="10" t="s">
        <v>17</v>
      </c>
      <c r="BD1" s="10" t="s">
        <v>161</v>
      </c>
      <c r="BE1" s="10" t="s">
        <v>162</v>
      </c>
      <c r="BF1" s="10" t="s">
        <v>163</v>
      </c>
      <c r="BG1" s="18" t="s">
        <v>164</v>
      </c>
      <c r="BH1" s="10" t="s">
        <v>165</v>
      </c>
      <c r="BI1" s="10" t="s">
        <v>166</v>
      </c>
      <c r="BJ1" s="10" t="s">
        <v>167</v>
      </c>
      <c r="BK1" s="10" t="s">
        <v>168</v>
      </c>
      <c r="BL1" s="18" t="s">
        <v>169</v>
      </c>
    </row>
    <row r="2" s="28" customFormat="1" ht="21" customHeight="1" spans="1:52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1"/>
      <c r="X2" s="50"/>
      <c r="Y2" s="50"/>
      <c r="Z2" s="50"/>
      <c r="AA2" s="50"/>
      <c r="AB2" s="52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</row>
    <row r="3" s="29" customFormat="1" ht="50" customHeight="1" spans="1:64">
      <c r="A3" s="7" t="s">
        <v>170</v>
      </c>
      <c r="B3" s="7" t="s">
        <v>171</v>
      </c>
      <c r="C3" s="94" t="s">
        <v>29</v>
      </c>
      <c r="D3" s="17" t="s">
        <v>172</v>
      </c>
      <c r="E3" s="7" t="s">
        <v>173</v>
      </c>
      <c r="F3" s="7" t="s">
        <v>31</v>
      </c>
      <c r="G3" s="7" t="s">
        <v>32</v>
      </c>
      <c r="H3" s="7" t="s">
        <v>174</v>
      </c>
      <c r="I3" s="7" t="s">
        <v>175</v>
      </c>
      <c r="J3" s="7"/>
      <c r="K3" s="7" t="s">
        <v>176</v>
      </c>
      <c r="L3" s="7"/>
      <c r="M3" s="106"/>
      <c r="N3" s="106"/>
      <c r="O3" s="7"/>
      <c r="P3" s="7"/>
      <c r="Q3" s="7"/>
      <c r="R3" s="7"/>
      <c r="S3" s="7"/>
      <c r="T3" s="106"/>
      <c r="U3" s="7"/>
      <c r="V3" s="106"/>
      <c r="W3" s="7" t="s">
        <v>177</v>
      </c>
      <c r="X3" s="7" t="s">
        <v>178</v>
      </c>
      <c r="Y3" s="7" t="s">
        <v>177</v>
      </c>
      <c r="Z3" s="7" t="s">
        <v>178</v>
      </c>
      <c r="AA3" s="7" t="s">
        <v>178</v>
      </c>
      <c r="AB3" s="7"/>
      <c r="AC3" s="7" t="s">
        <v>179</v>
      </c>
      <c r="AD3" s="7" t="s">
        <v>173</v>
      </c>
      <c r="AE3" s="7" t="s">
        <v>180</v>
      </c>
      <c r="AF3" s="7"/>
      <c r="AG3" s="7"/>
      <c r="AH3" s="7" t="s">
        <v>181</v>
      </c>
      <c r="AI3" s="7" t="s">
        <v>182</v>
      </c>
      <c r="AJ3" s="120" t="s">
        <v>183</v>
      </c>
      <c r="AK3" s="120" t="s">
        <v>35</v>
      </c>
      <c r="AL3" s="120" t="s">
        <v>184</v>
      </c>
      <c r="AM3" s="120">
        <v>0</v>
      </c>
      <c r="AN3" s="7"/>
      <c r="AO3" s="7" t="s">
        <v>185</v>
      </c>
      <c r="AP3" s="7" t="s">
        <v>186</v>
      </c>
      <c r="AQ3" s="7" t="s">
        <v>63</v>
      </c>
      <c r="AR3" s="7" t="s">
        <v>174</v>
      </c>
      <c r="AS3" s="7" t="s">
        <v>33</v>
      </c>
      <c r="AT3" s="7" t="s">
        <v>36</v>
      </c>
      <c r="AU3" s="7"/>
      <c r="AV3" s="7"/>
      <c r="AW3" s="7"/>
      <c r="AX3" s="7"/>
      <c r="AY3" s="7"/>
      <c r="AZ3" s="7" t="s">
        <v>36</v>
      </c>
      <c r="BA3" s="101" t="s">
        <v>187</v>
      </c>
      <c r="BB3" s="21">
        <v>200</v>
      </c>
      <c r="BC3" s="21">
        <v>1</v>
      </c>
      <c r="BD3" s="21" t="s">
        <v>188</v>
      </c>
      <c r="BE3" s="21" t="str">
        <f t="shared" ref="BE3:BE32" si="0">I3</f>
        <v>PhuongTT</v>
      </c>
      <c r="BF3" s="21" t="str">
        <f t="shared" ref="BF3:BF32" si="1">AQ3</f>
        <v>VST</v>
      </c>
      <c r="BG3" s="63" t="b">
        <v>0</v>
      </c>
      <c r="BH3" s="21" t="s">
        <v>189</v>
      </c>
      <c r="BI3" s="21" t="s">
        <v>188</v>
      </c>
      <c r="BJ3" s="21" t="s">
        <v>188</v>
      </c>
      <c r="BK3" s="21" t="s">
        <v>190</v>
      </c>
      <c r="BL3" s="63" t="b">
        <v>0</v>
      </c>
    </row>
    <row r="4" s="29" customFormat="1" ht="69" customHeight="1" spans="1:64">
      <c r="A4" s="7" t="s">
        <v>191</v>
      </c>
      <c r="B4" s="7" t="s">
        <v>171</v>
      </c>
      <c r="C4" s="94" t="s">
        <v>29</v>
      </c>
      <c r="D4" s="17" t="s">
        <v>172</v>
      </c>
      <c r="E4" s="7" t="s">
        <v>173</v>
      </c>
      <c r="F4" s="7" t="s">
        <v>31</v>
      </c>
      <c r="G4" s="7" t="s">
        <v>32</v>
      </c>
      <c r="H4" s="7" t="s">
        <v>174</v>
      </c>
      <c r="I4" s="7" t="s">
        <v>175</v>
      </c>
      <c r="J4" s="7"/>
      <c r="K4" s="7" t="s">
        <v>176</v>
      </c>
      <c r="L4" s="7"/>
      <c r="M4" s="106"/>
      <c r="N4" s="106"/>
      <c r="O4" s="7"/>
      <c r="P4" s="7"/>
      <c r="Q4" s="7"/>
      <c r="R4" s="7"/>
      <c r="S4" s="7"/>
      <c r="T4" s="106"/>
      <c r="U4" s="7"/>
      <c r="V4" s="106"/>
      <c r="W4" s="7" t="s">
        <v>177</v>
      </c>
      <c r="X4" s="7" t="s">
        <v>178</v>
      </c>
      <c r="Y4" s="7" t="s">
        <v>177</v>
      </c>
      <c r="Z4" s="7" t="s">
        <v>178</v>
      </c>
      <c r="AA4" s="7" t="s">
        <v>178</v>
      </c>
      <c r="AB4" s="7"/>
      <c r="AC4" s="7" t="s">
        <v>179</v>
      </c>
      <c r="AD4" s="7" t="s">
        <v>173</v>
      </c>
      <c r="AE4" s="7" t="s">
        <v>192</v>
      </c>
      <c r="AF4" s="7"/>
      <c r="AG4" s="7"/>
      <c r="AH4" s="7" t="s">
        <v>181</v>
      </c>
      <c r="AI4" s="7" t="s">
        <v>182</v>
      </c>
      <c r="AJ4" s="120" t="s">
        <v>183</v>
      </c>
      <c r="AK4" s="120" t="s">
        <v>35</v>
      </c>
      <c r="AL4" s="120" t="s">
        <v>184</v>
      </c>
      <c r="AM4" s="120">
        <v>1</v>
      </c>
      <c r="AN4" s="7"/>
      <c r="AO4" s="7" t="s">
        <v>185</v>
      </c>
      <c r="AP4" s="7" t="s">
        <v>186</v>
      </c>
      <c r="AQ4" s="7" t="s">
        <v>63</v>
      </c>
      <c r="AR4" s="7" t="s">
        <v>174</v>
      </c>
      <c r="AS4" s="7" t="s">
        <v>33</v>
      </c>
      <c r="AT4" s="7" t="s">
        <v>36</v>
      </c>
      <c r="AU4" s="7"/>
      <c r="AV4" s="7"/>
      <c r="AW4" s="7"/>
      <c r="AX4" s="7"/>
      <c r="AY4" s="7"/>
      <c r="AZ4" s="7" t="s">
        <v>36</v>
      </c>
      <c r="BA4" s="101" t="s">
        <v>187</v>
      </c>
      <c r="BB4" s="21">
        <v>200</v>
      </c>
      <c r="BC4" s="21">
        <v>1</v>
      </c>
      <c r="BD4" s="21" t="s">
        <v>188</v>
      </c>
      <c r="BE4" s="21" t="str">
        <f t="shared" si="0"/>
        <v>PhuongTT</v>
      </c>
      <c r="BF4" s="21" t="str">
        <f t="shared" si="1"/>
        <v>VST</v>
      </c>
      <c r="BG4" s="63" t="b">
        <v>0</v>
      </c>
      <c r="BH4" s="21" t="s">
        <v>189</v>
      </c>
      <c r="BI4" s="21" t="s">
        <v>188</v>
      </c>
      <c r="BJ4" s="21" t="s">
        <v>188</v>
      </c>
      <c r="BK4" s="21" t="s">
        <v>190</v>
      </c>
      <c r="BL4" s="63" t="b">
        <v>0</v>
      </c>
    </row>
    <row r="5" s="29" customFormat="1" ht="69" customHeight="1" spans="1:64">
      <c r="A5" s="7" t="s">
        <v>193</v>
      </c>
      <c r="B5" s="7" t="s">
        <v>171</v>
      </c>
      <c r="C5" s="94" t="s">
        <v>29</v>
      </c>
      <c r="D5" s="17" t="s">
        <v>172</v>
      </c>
      <c r="E5" s="7" t="s">
        <v>173</v>
      </c>
      <c r="F5" s="7" t="s">
        <v>31</v>
      </c>
      <c r="G5" s="7" t="s">
        <v>32</v>
      </c>
      <c r="H5" s="7" t="s">
        <v>174</v>
      </c>
      <c r="I5" s="7" t="s">
        <v>175</v>
      </c>
      <c r="J5" s="7"/>
      <c r="K5" s="7" t="s">
        <v>176</v>
      </c>
      <c r="L5" s="7"/>
      <c r="M5" s="106"/>
      <c r="N5" s="106"/>
      <c r="O5" s="7"/>
      <c r="P5" s="7"/>
      <c r="Q5" s="7"/>
      <c r="R5" s="7"/>
      <c r="S5" s="7"/>
      <c r="T5" s="106"/>
      <c r="U5" s="7"/>
      <c r="V5" s="106"/>
      <c r="W5" s="7" t="s">
        <v>177</v>
      </c>
      <c r="X5" s="7" t="s">
        <v>178</v>
      </c>
      <c r="Y5" s="7" t="s">
        <v>177</v>
      </c>
      <c r="Z5" s="7" t="s">
        <v>178</v>
      </c>
      <c r="AA5" s="7" t="s">
        <v>178</v>
      </c>
      <c r="AB5" s="7"/>
      <c r="AC5" s="7" t="s">
        <v>179</v>
      </c>
      <c r="AD5" s="7" t="s">
        <v>173</v>
      </c>
      <c r="AE5" s="7" t="s">
        <v>194</v>
      </c>
      <c r="AF5" s="7"/>
      <c r="AG5" s="7"/>
      <c r="AH5" s="7" t="s">
        <v>181</v>
      </c>
      <c r="AI5" s="7" t="s">
        <v>182</v>
      </c>
      <c r="AJ5" s="120" t="s">
        <v>183</v>
      </c>
      <c r="AK5" s="120" t="s">
        <v>35</v>
      </c>
      <c r="AL5" s="120" t="s">
        <v>184</v>
      </c>
      <c r="AM5" s="120">
        <v>2</v>
      </c>
      <c r="AN5" s="7"/>
      <c r="AO5" s="7" t="s">
        <v>185</v>
      </c>
      <c r="AP5" s="7" t="s">
        <v>186</v>
      </c>
      <c r="AQ5" s="7" t="s">
        <v>63</v>
      </c>
      <c r="AR5" s="7" t="s">
        <v>174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 t="s">
        <v>36</v>
      </c>
      <c r="BA5" s="101" t="s">
        <v>187</v>
      </c>
      <c r="BB5" s="21">
        <v>200</v>
      </c>
      <c r="BC5" s="21">
        <v>1</v>
      </c>
      <c r="BD5" s="21" t="s">
        <v>188</v>
      </c>
      <c r="BE5" s="21" t="str">
        <f t="shared" si="0"/>
        <v>PhuongTT</v>
      </c>
      <c r="BF5" s="21" t="str">
        <f t="shared" si="1"/>
        <v>VST</v>
      </c>
      <c r="BG5" s="63" t="b">
        <v>0</v>
      </c>
      <c r="BH5" s="21" t="s">
        <v>189</v>
      </c>
      <c r="BI5" s="21" t="s">
        <v>188</v>
      </c>
      <c r="BJ5" s="21" t="s">
        <v>188</v>
      </c>
      <c r="BK5" s="21" t="s">
        <v>190</v>
      </c>
      <c r="BL5" s="63" t="b">
        <v>0</v>
      </c>
    </row>
    <row r="6" s="29" customFormat="1" ht="69" customHeight="1" spans="1:64">
      <c r="A6" s="7" t="s">
        <v>195</v>
      </c>
      <c r="B6" s="7" t="s">
        <v>171</v>
      </c>
      <c r="C6" s="94" t="s">
        <v>29</v>
      </c>
      <c r="D6" s="17" t="s">
        <v>172</v>
      </c>
      <c r="E6" s="7" t="s">
        <v>173</v>
      </c>
      <c r="F6" s="7" t="s">
        <v>31</v>
      </c>
      <c r="G6" s="7" t="s">
        <v>32</v>
      </c>
      <c r="H6" s="7" t="s">
        <v>174</v>
      </c>
      <c r="I6" s="7" t="s">
        <v>175</v>
      </c>
      <c r="J6" s="7"/>
      <c r="K6" s="7" t="s">
        <v>176</v>
      </c>
      <c r="L6" s="7"/>
      <c r="M6" s="106"/>
      <c r="N6" s="106"/>
      <c r="O6" s="7"/>
      <c r="P6" s="7"/>
      <c r="Q6" s="7"/>
      <c r="R6" s="7"/>
      <c r="S6" s="7"/>
      <c r="T6" s="106"/>
      <c r="U6" s="7"/>
      <c r="V6" s="106"/>
      <c r="W6" s="7" t="s">
        <v>177</v>
      </c>
      <c r="X6" s="7" t="s">
        <v>178</v>
      </c>
      <c r="Y6" s="7" t="s">
        <v>177</v>
      </c>
      <c r="Z6" s="7" t="s">
        <v>178</v>
      </c>
      <c r="AA6" s="7" t="s">
        <v>178</v>
      </c>
      <c r="AB6" s="7"/>
      <c r="AC6" s="7" t="s">
        <v>179</v>
      </c>
      <c r="AD6" s="7" t="s">
        <v>173</v>
      </c>
      <c r="AE6" s="7" t="s">
        <v>196</v>
      </c>
      <c r="AF6" s="7"/>
      <c r="AG6" s="7"/>
      <c r="AH6" s="7" t="s">
        <v>181</v>
      </c>
      <c r="AI6" s="7" t="s">
        <v>182</v>
      </c>
      <c r="AJ6" s="120" t="s">
        <v>183</v>
      </c>
      <c r="AK6" s="120" t="s">
        <v>35</v>
      </c>
      <c r="AL6" s="120" t="s">
        <v>184</v>
      </c>
      <c r="AM6" s="120">
        <v>3</v>
      </c>
      <c r="AN6" s="7"/>
      <c r="AO6" s="7" t="s">
        <v>185</v>
      </c>
      <c r="AP6" s="7" t="s">
        <v>186</v>
      </c>
      <c r="AQ6" s="7" t="s">
        <v>63</v>
      </c>
      <c r="AR6" s="7" t="s">
        <v>174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 t="s">
        <v>36</v>
      </c>
      <c r="BA6" s="101" t="s">
        <v>187</v>
      </c>
      <c r="BB6" s="21">
        <v>200</v>
      </c>
      <c r="BC6" s="21">
        <v>1</v>
      </c>
      <c r="BD6" s="21" t="s">
        <v>188</v>
      </c>
      <c r="BE6" s="21" t="str">
        <f t="shared" si="0"/>
        <v>PhuongTT</v>
      </c>
      <c r="BF6" s="21" t="str">
        <f t="shared" si="1"/>
        <v>VST</v>
      </c>
      <c r="BG6" s="63" t="b">
        <v>0</v>
      </c>
      <c r="BH6" s="21" t="s">
        <v>189</v>
      </c>
      <c r="BI6" s="21" t="s">
        <v>188</v>
      </c>
      <c r="BJ6" s="21" t="s">
        <v>188</v>
      </c>
      <c r="BK6" s="21" t="s">
        <v>190</v>
      </c>
      <c r="BL6" s="63" t="b">
        <v>0</v>
      </c>
    </row>
    <row r="7" s="29" customFormat="1" ht="69" customHeight="1" spans="1:64">
      <c r="A7" s="7" t="s">
        <v>197</v>
      </c>
      <c r="B7" s="7" t="s">
        <v>171</v>
      </c>
      <c r="C7" s="94" t="s">
        <v>29</v>
      </c>
      <c r="D7" s="17" t="s">
        <v>172</v>
      </c>
      <c r="E7" s="7" t="s">
        <v>173</v>
      </c>
      <c r="F7" s="7" t="s">
        <v>31</v>
      </c>
      <c r="G7" s="7" t="s">
        <v>32</v>
      </c>
      <c r="H7" s="7" t="s">
        <v>174</v>
      </c>
      <c r="I7" s="7" t="s">
        <v>175</v>
      </c>
      <c r="J7" s="7"/>
      <c r="K7" s="7" t="s">
        <v>176</v>
      </c>
      <c r="L7" s="7"/>
      <c r="M7" s="106"/>
      <c r="N7" s="106"/>
      <c r="O7" s="7"/>
      <c r="P7" s="7"/>
      <c r="Q7" s="7"/>
      <c r="R7" s="7"/>
      <c r="S7" s="7"/>
      <c r="T7" s="106"/>
      <c r="U7" s="7"/>
      <c r="V7" s="106"/>
      <c r="W7" s="7" t="s">
        <v>177</v>
      </c>
      <c r="X7" s="7" t="s">
        <v>178</v>
      </c>
      <c r="Y7" s="7" t="s">
        <v>177</v>
      </c>
      <c r="Z7" s="7" t="s">
        <v>178</v>
      </c>
      <c r="AA7" s="7" t="s">
        <v>178</v>
      </c>
      <c r="AB7" s="7"/>
      <c r="AC7" s="7" t="s">
        <v>179</v>
      </c>
      <c r="AD7" s="7" t="s">
        <v>173</v>
      </c>
      <c r="AE7" s="7" t="s">
        <v>198</v>
      </c>
      <c r="AF7" s="7"/>
      <c r="AG7" s="7"/>
      <c r="AH7" s="7" t="s">
        <v>181</v>
      </c>
      <c r="AI7" s="7" t="s">
        <v>182</v>
      </c>
      <c r="AJ7" s="120" t="s">
        <v>183</v>
      </c>
      <c r="AK7" s="120" t="s">
        <v>42</v>
      </c>
      <c r="AL7" s="120" t="s">
        <v>199</v>
      </c>
      <c r="AM7" s="120">
        <v>0</v>
      </c>
      <c r="AN7" s="7"/>
      <c r="AO7" s="7" t="s">
        <v>185</v>
      </c>
      <c r="AP7" s="7" t="s">
        <v>186</v>
      </c>
      <c r="AQ7" s="7" t="s">
        <v>63</v>
      </c>
      <c r="AR7" s="7" t="s">
        <v>174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 t="s">
        <v>36</v>
      </c>
      <c r="BA7" s="101" t="s">
        <v>187</v>
      </c>
      <c r="BB7" s="21">
        <v>200</v>
      </c>
      <c r="BC7" s="21">
        <v>1</v>
      </c>
      <c r="BD7" s="21" t="s">
        <v>188</v>
      </c>
      <c r="BE7" s="21" t="str">
        <f t="shared" si="0"/>
        <v>PhuongTT</v>
      </c>
      <c r="BF7" s="21" t="str">
        <f t="shared" si="1"/>
        <v>VST</v>
      </c>
      <c r="BG7" s="63" t="b">
        <v>0</v>
      </c>
      <c r="BH7" s="21" t="s">
        <v>189</v>
      </c>
      <c r="BI7" s="21" t="s">
        <v>188</v>
      </c>
      <c r="BJ7" s="21" t="s">
        <v>188</v>
      </c>
      <c r="BK7" s="21" t="s">
        <v>190</v>
      </c>
      <c r="BL7" s="63" t="b">
        <v>0</v>
      </c>
    </row>
    <row r="8" s="29" customFormat="1" ht="50" customHeight="1" spans="1:64">
      <c r="A8" s="7" t="s">
        <v>200</v>
      </c>
      <c r="B8" s="7" t="s">
        <v>171</v>
      </c>
      <c r="C8" s="94" t="s">
        <v>29</v>
      </c>
      <c r="D8" s="17" t="s">
        <v>172</v>
      </c>
      <c r="E8" s="7" t="s">
        <v>173</v>
      </c>
      <c r="F8" s="7" t="s">
        <v>31</v>
      </c>
      <c r="G8" s="7" t="s">
        <v>32</v>
      </c>
      <c r="H8" s="7" t="s">
        <v>174</v>
      </c>
      <c r="I8" s="7" t="s">
        <v>175</v>
      </c>
      <c r="J8" s="7"/>
      <c r="K8" s="7" t="s">
        <v>176</v>
      </c>
      <c r="L8" s="7"/>
      <c r="M8" s="106"/>
      <c r="N8" s="106"/>
      <c r="O8" s="7"/>
      <c r="P8" s="7"/>
      <c r="Q8" s="7"/>
      <c r="R8" s="7"/>
      <c r="S8" s="7"/>
      <c r="T8" s="106"/>
      <c r="U8" s="7"/>
      <c r="V8" s="106"/>
      <c r="W8" s="7" t="s">
        <v>177</v>
      </c>
      <c r="X8" s="7" t="s">
        <v>178</v>
      </c>
      <c r="Y8" s="7" t="s">
        <v>177</v>
      </c>
      <c r="Z8" s="7" t="s">
        <v>178</v>
      </c>
      <c r="AA8" s="7" t="s">
        <v>178</v>
      </c>
      <c r="AB8" s="7"/>
      <c r="AC8" s="7" t="s">
        <v>179</v>
      </c>
      <c r="AD8" s="7" t="s">
        <v>173</v>
      </c>
      <c r="AE8" s="7" t="s">
        <v>201</v>
      </c>
      <c r="AF8" s="7"/>
      <c r="AG8" s="7"/>
      <c r="AH8" s="7" t="s">
        <v>181</v>
      </c>
      <c r="AI8" s="7" t="s">
        <v>182</v>
      </c>
      <c r="AJ8" s="120" t="s">
        <v>183</v>
      </c>
      <c r="AK8" s="95" t="s">
        <v>42</v>
      </c>
      <c r="AL8" s="95" t="s">
        <v>199</v>
      </c>
      <c r="AM8" s="95">
        <v>1</v>
      </c>
      <c r="AN8" s="7"/>
      <c r="AO8" s="7" t="s">
        <v>185</v>
      </c>
      <c r="AP8" s="7" t="s">
        <v>186</v>
      </c>
      <c r="AQ8" s="7" t="s">
        <v>63</v>
      </c>
      <c r="AR8" s="7" t="s">
        <v>174</v>
      </c>
      <c r="AS8" s="7" t="s">
        <v>33</v>
      </c>
      <c r="AT8" s="7" t="s">
        <v>36</v>
      </c>
      <c r="AU8" s="7"/>
      <c r="AV8" s="7"/>
      <c r="AW8" s="7"/>
      <c r="AX8" s="7"/>
      <c r="AY8" s="7"/>
      <c r="AZ8" s="7" t="s">
        <v>36</v>
      </c>
      <c r="BA8" s="101" t="s">
        <v>187</v>
      </c>
      <c r="BB8" s="21">
        <v>200</v>
      </c>
      <c r="BC8" s="21">
        <v>1</v>
      </c>
      <c r="BD8" s="21" t="s">
        <v>188</v>
      </c>
      <c r="BE8" s="21" t="str">
        <f t="shared" si="0"/>
        <v>PhuongTT</v>
      </c>
      <c r="BF8" s="21" t="str">
        <f t="shared" si="1"/>
        <v>VST</v>
      </c>
      <c r="BG8" s="63" t="b">
        <v>0</v>
      </c>
      <c r="BH8" s="21" t="s">
        <v>189</v>
      </c>
      <c r="BI8" s="21" t="s">
        <v>188</v>
      </c>
      <c r="BJ8" s="21" t="s">
        <v>188</v>
      </c>
      <c r="BK8" s="21" t="s">
        <v>190</v>
      </c>
      <c r="BL8" s="63" t="b">
        <v>0</v>
      </c>
    </row>
    <row r="9" s="29" customFormat="1" ht="69" customHeight="1" spans="1:64">
      <c r="A9" s="7" t="s">
        <v>202</v>
      </c>
      <c r="B9" s="7" t="s">
        <v>171</v>
      </c>
      <c r="C9" s="94" t="s">
        <v>29</v>
      </c>
      <c r="D9" s="17" t="s">
        <v>172</v>
      </c>
      <c r="E9" s="7" t="s">
        <v>173</v>
      </c>
      <c r="F9" s="7" t="s">
        <v>31</v>
      </c>
      <c r="G9" s="7" t="s">
        <v>32</v>
      </c>
      <c r="H9" s="7" t="s">
        <v>174</v>
      </c>
      <c r="I9" s="7" t="s">
        <v>175</v>
      </c>
      <c r="J9" s="7"/>
      <c r="K9" s="7" t="s">
        <v>176</v>
      </c>
      <c r="L9" s="7"/>
      <c r="M9" s="106"/>
      <c r="N9" s="106"/>
      <c r="O9" s="7"/>
      <c r="P9" s="7"/>
      <c r="Q9" s="7"/>
      <c r="R9" s="7"/>
      <c r="S9" s="7"/>
      <c r="T9" s="106"/>
      <c r="U9" s="7"/>
      <c r="V9" s="106"/>
      <c r="W9" s="7" t="s">
        <v>177</v>
      </c>
      <c r="X9" s="7" t="s">
        <v>178</v>
      </c>
      <c r="Y9" s="7" t="s">
        <v>177</v>
      </c>
      <c r="Z9" s="7" t="s">
        <v>178</v>
      </c>
      <c r="AA9" s="7" t="s">
        <v>178</v>
      </c>
      <c r="AB9" s="7"/>
      <c r="AC9" s="7" t="s">
        <v>179</v>
      </c>
      <c r="AD9" s="7" t="s">
        <v>173</v>
      </c>
      <c r="AE9" s="7" t="s">
        <v>203</v>
      </c>
      <c r="AF9" s="7"/>
      <c r="AG9" s="7"/>
      <c r="AH9" s="7" t="s">
        <v>181</v>
      </c>
      <c r="AI9" s="7" t="s">
        <v>182</v>
      </c>
      <c r="AJ9" s="120" t="s">
        <v>183</v>
      </c>
      <c r="AK9" s="95" t="s">
        <v>42</v>
      </c>
      <c r="AL9" s="95" t="s">
        <v>199</v>
      </c>
      <c r="AM9" s="95">
        <v>2</v>
      </c>
      <c r="AN9" s="7"/>
      <c r="AO9" s="7" t="s">
        <v>185</v>
      </c>
      <c r="AP9" s="7" t="s">
        <v>186</v>
      </c>
      <c r="AQ9" s="7" t="s">
        <v>63</v>
      </c>
      <c r="AR9" s="7" t="s">
        <v>174</v>
      </c>
      <c r="AS9" s="7" t="s">
        <v>33</v>
      </c>
      <c r="AT9" s="7" t="s">
        <v>36</v>
      </c>
      <c r="AU9" s="7"/>
      <c r="AV9" s="7"/>
      <c r="AW9" s="7"/>
      <c r="AX9" s="7"/>
      <c r="AY9" s="7"/>
      <c r="AZ9" s="7" t="s">
        <v>36</v>
      </c>
      <c r="BA9" s="101" t="s">
        <v>187</v>
      </c>
      <c r="BB9" s="21">
        <v>200</v>
      </c>
      <c r="BC9" s="21">
        <v>1</v>
      </c>
      <c r="BD9" s="21" t="s">
        <v>188</v>
      </c>
      <c r="BE9" s="21" t="str">
        <f t="shared" si="0"/>
        <v>PhuongTT</v>
      </c>
      <c r="BF9" s="21" t="str">
        <f t="shared" si="1"/>
        <v>VST</v>
      </c>
      <c r="BG9" s="63" t="b">
        <v>0</v>
      </c>
      <c r="BH9" s="21" t="s">
        <v>189</v>
      </c>
      <c r="BI9" s="21" t="s">
        <v>188</v>
      </c>
      <c r="BJ9" s="21" t="s">
        <v>188</v>
      </c>
      <c r="BK9" s="21" t="s">
        <v>190</v>
      </c>
      <c r="BL9" s="63" t="b">
        <v>0</v>
      </c>
    </row>
    <row r="10" s="29" customFormat="1" ht="69" customHeight="1" spans="1:64">
      <c r="A10" s="7" t="s">
        <v>204</v>
      </c>
      <c r="B10" s="7" t="s">
        <v>171</v>
      </c>
      <c r="C10" s="94" t="s">
        <v>29</v>
      </c>
      <c r="D10" s="17" t="s">
        <v>172</v>
      </c>
      <c r="E10" s="7" t="s">
        <v>173</v>
      </c>
      <c r="F10" s="7" t="s">
        <v>31</v>
      </c>
      <c r="G10" s="7" t="s">
        <v>32</v>
      </c>
      <c r="H10" s="7" t="s">
        <v>174</v>
      </c>
      <c r="I10" s="7" t="s">
        <v>175</v>
      </c>
      <c r="J10" s="7"/>
      <c r="K10" s="7" t="s">
        <v>176</v>
      </c>
      <c r="L10" s="7"/>
      <c r="M10" s="106"/>
      <c r="N10" s="106"/>
      <c r="O10" s="7"/>
      <c r="P10" s="7"/>
      <c r="Q10" s="7"/>
      <c r="R10" s="7"/>
      <c r="S10" s="7"/>
      <c r="T10" s="106"/>
      <c r="U10" s="7"/>
      <c r="V10" s="106"/>
      <c r="W10" s="7" t="s">
        <v>177</v>
      </c>
      <c r="X10" s="7" t="s">
        <v>178</v>
      </c>
      <c r="Y10" s="7" t="s">
        <v>177</v>
      </c>
      <c r="Z10" s="7" t="s">
        <v>178</v>
      </c>
      <c r="AA10" s="7" t="s">
        <v>178</v>
      </c>
      <c r="AB10" s="7"/>
      <c r="AC10" s="7" t="s">
        <v>179</v>
      </c>
      <c r="AD10" s="7" t="s">
        <v>173</v>
      </c>
      <c r="AE10" s="7" t="s">
        <v>205</v>
      </c>
      <c r="AF10" s="7"/>
      <c r="AG10" s="7"/>
      <c r="AH10" s="7" t="s">
        <v>181</v>
      </c>
      <c r="AI10" s="7" t="s">
        <v>182</v>
      </c>
      <c r="AJ10" s="120" t="s">
        <v>183</v>
      </c>
      <c r="AK10" s="95" t="s">
        <v>42</v>
      </c>
      <c r="AL10" s="95" t="s">
        <v>199</v>
      </c>
      <c r="AM10" s="95">
        <v>3</v>
      </c>
      <c r="AN10" s="7"/>
      <c r="AO10" s="7" t="s">
        <v>185</v>
      </c>
      <c r="AP10" s="7" t="s">
        <v>186</v>
      </c>
      <c r="AQ10" s="7" t="s">
        <v>63</v>
      </c>
      <c r="AR10" s="7" t="s">
        <v>174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7" t="s">
        <v>36</v>
      </c>
      <c r="BA10" s="101" t="s">
        <v>187</v>
      </c>
      <c r="BB10" s="21">
        <v>200</v>
      </c>
      <c r="BC10" s="21">
        <v>1</v>
      </c>
      <c r="BD10" s="21" t="s">
        <v>188</v>
      </c>
      <c r="BE10" s="21" t="str">
        <f t="shared" si="0"/>
        <v>PhuongTT</v>
      </c>
      <c r="BF10" s="21" t="str">
        <f t="shared" si="1"/>
        <v>VST</v>
      </c>
      <c r="BG10" s="63" t="b">
        <v>0</v>
      </c>
      <c r="BH10" s="21" t="s">
        <v>189</v>
      </c>
      <c r="BI10" s="21" t="s">
        <v>188</v>
      </c>
      <c r="BJ10" s="21" t="s">
        <v>188</v>
      </c>
      <c r="BK10" s="21" t="s">
        <v>190</v>
      </c>
      <c r="BL10" s="63" t="b">
        <v>0</v>
      </c>
    </row>
    <row r="11" s="29" customFormat="1" ht="69" customHeight="1" spans="1:64">
      <c r="A11" s="7" t="s">
        <v>206</v>
      </c>
      <c r="B11" s="7" t="s">
        <v>171</v>
      </c>
      <c r="C11" s="94" t="s">
        <v>29</v>
      </c>
      <c r="D11" s="17" t="s">
        <v>172</v>
      </c>
      <c r="E11" s="7" t="s">
        <v>173</v>
      </c>
      <c r="F11" s="7" t="s">
        <v>31</v>
      </c>
      <c r="G11" s="7" t="s">
        <v>32</v>
      </c>
      <c r="H11" s="7" t="s">
        <v>174</v>
      </c>
      <c r="I11" s="7" t="s">
        <v>175</v>
      </c>
      <c r="J11" s="7"/>
      <c r="K11" s="7" t="s">
        <v>176</v>
      </c>
      <c r="L11" s="7"/>
      <c r="M11" s="106"/>
      <c r="N11" s="106"/>
      <c r="O11" s="7"/>
      <c r="P11" s="7"/>
      <c r="Q11" s="7"/>
      <c r="R11" s="7"/>
      <c r="S11" s="7"/>
      <c r="T11" s="106"/>
      <c r="U11" s="7"/>
      <c r="V11" s="106"/>
      <c r="W11" s="7" t="s">
        <v>177</v>
      </c>
      <c r="X11" s="7" t="s">
        <v>178</v>
      </c>
      <c r="Y11" s="7" t="s">
        <v>177</v>
      </c>
      <c r="Z11" s="7" t="s">
        <v>178</v>
      </c>
      <c r="AA11" s="7" t="s">
        <v>178</v>
      </c>
      <c r="AB11" s="7"/>
      <c r="AC11" s="7" t="s">
        <v>179</v>
      </c>
      <c r="AD11" s="7" t="s">
        <v>173</v>
      </c>
      <c r="AE11" s="7" t="s">
        <v>207</v>
      </c>
      <c r="AF11" s="7"/>
      <c r="AG11" s="7"/>
      <c r="AH11" s="7" t="s">
        <v>181</v>
      </c>
      <c r="AI11" s="7" t="s">
        <v>182</v>
      </c>
      <c r="AJ11" s="120" t="s">
        <v>183</v>
      </c>
      <c r="AK11" s="121">
        <v>0.761111111111111</v>
      </c>
      <c r="AL11" s="121">
        <v>0.861111111111111</v>
      </c>
      <c r="AM11" s="117">
        <v>0</v>
      </c>
      <c r="AN11" s="7"/>
      <c r="AO11" s="7" t="s">
        <v>185</v>
      </c>
      <c r="AP11" s="7" t="s">
        <v>186</v>
      </c>
      <c r="AQ11" s="7" t="s">
        <v>63</v>
      </c>
      <c r="AR11" s="7" t="s">
        <v>174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7" t="s">
        <v>36</v>
      </c>
      <c r="BA11" s="101" t="s">
        <v>187</v>
      </c>
      <c r="BB11" s="21">
        <v>200</v>
      </c>
      <c r="BC11" s="21">
        <v>1</v>
      </c>
      <c r="BD11" s="21" t="s">
        <v>188</v>
      </c>
      <c r="BE11" s="21" t="str">
        <f t="shared" si="0"/>
        <v>PhuongTT</v>
      </c>
      <c r="BF11" s="21" t="str">
        <f t="shared" si="1"/>
        <v>VST</v>
      </c>
      <c r="BG11" s="63" t="b">
        <v>0</v>
      </c>
      <c r="BH11" s="21" t="s">
        <v>189</v>
      </c>
      <c r="BI11" s="21" t="s">
        <v>188</v>
      </c>
      <c r="BJ11" s="21" t="s">
        <v>188</v>
      </c>
      <c r="BK11" s="21" t="s">
        <v>190</v>
      </c>
      <c r="BL11" s="63" t="b">
        <v>0</v>
      </c>
    </row>
    <row r="12" s="29" customFormat="1" ht="69" customHeight="1" spans="1:64">
      <c r="A12" s="7" t="s">
        <v>208</v>
      </c>
      <c r="B12" s="7" t="s">
        <v>171</v>
      </c>
      <c r="C12" s="94" t="s">
        <v>29</v>
      </c>
      <c r="D12" s="17" t="s">
        <v>172</v>
      </c>
      <c r="E12" s="7" t="s">
        <v>173</v>
      </c>
      <c r="F12" s="7" t="s">
        <v>31</v>
      </c>
      <c r="G12" s="7" t="s">
        <v>32</v>
      </c>
      <c r="H12" s="7" t="s">
        <v>174</v>
      </c>
      <c r="I12" s="7" t="s">
        <v>175</v>
      </c>
      <c r="J12" s="7"/>
      <c r="K12" s="7" t="s">
        <v>176</v>
      </c>
      <c r="L12" s="7"/>
      <c r="M12" s="106"/>
      <c r="N12" s="106"/>
      <c r="O12" s="7"/>
      <c r="P12" s="7"/>
      <c r="Q12" s="7"/>
      <c r="R12" s="7"/>
      <c r="S12" s="7"/>
      <c r="T12" s="106"/>
      <c r="U12" s="7"/>
      <c r="V12" s="106"/>
      <c r="W12" s="7" t="s">
        <v>177</v>
      </c>
      <c r="X12" s="7" t="s">
        <v>178</v>
      </c>
      <c r="Y12" s="7" t="s">
        <v>177</v>
      </c>
      <c r="Z12" s="7" t="s">
        <v>178</v>
      </c>
      <c r="AA12" s="7" t="s">
        <v>178</v>
      </c>
      <c r="AB12" s="7"/>
      <c r="AC12" s="7" t="s">
        <v>179</v>
      </c>
      <c r="AD12" s="7" t="s">
        <v>173</v>
      </c>
      <c r="AE12" s="7" t="s">
        <v>209</v>
      </c>
      <c r="AF12" s="7"/>
      <c r="AG12" s="7"/>
      <c r="AH12" s="7" t="s">
        <v>181</v>
      </c>
      <c r="AI12" s="7" t="s">
        <v>182</v>
      </c>
      <c r="AJ12" s="120" t="s">
        <v>183</v>
      </c>
      <c r="AK12" s="121">
        <v>0.761111111111111</v>
      </c>
      <c r="AL12" s="121">
        <v>0.861111111111111</v>
      </c>
      <c r="AM12" s="117">
        <v>1</v>
      </c>
      <c r="AN12" s="7"/>
      <c r="AO12" s="7" t="s">
        <v>185</v>
      </c>
      <c r="AP12" s="7" t="s">
        <v>186</v>
      </c>
      <c r="AQ12" s="7" t="s">
        <v>63</v>
      </c>
      <c r="AR12" s="7" t="s">
        <v>174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7" t="s">
        <v>36</v>
      </c>
      <c r="BA12" s="101" t="s">
        <v>187</v>
      </c>
      <c r="BB12" s="21">
        <v>200</v>
      </c>
      <c r="BC12" s="21">
        <v>1</v>
      </c>
      <c r="BD12" s="21" t="s">
        <v>188</v>
      </c>
      <c r="BE12" s="21" t="str">
        <f t="shared" si="0"/>
        <v>PhuongTT</v>
      </c>
      <c r="BF12" s="21" t="str">
        <f t="shared" si="1"/>
        <v>VST</v>
      </c>
      <c r="BG12" s="63" t="b">
        <v>0</v>
      </c>
      <c r="BH12" s="21" t="s">
        <v>189</v>
      </c>
      <c r="BI12" s="21" t="s">
        <v>188</v>
      </c>
      <c r="BJ12" s="21" t="s">
        <v>188</v>
      </c>
      <c r="BK12" s="21" t="s">
        <v>190</v>
      </c>
      <c r="BL12" s="63" t="b">
        <v>0</v>
      </c>
    </row>
    <row r="13" s="29" customFormat="1" ht="50" customHeight="1" spans="1:64">
      <c r="A13" s="7" t="s">
        <v>210</v>
      </c>
      <c r="B13" s="7" t="s">
        <v>171</v>
      </c>
      <c r="C13" s="94" t="s">
        <v>29</v>
      </c>
      <c r="D13" s="17" t="s">
        <v>172</v>
      </c>
      <c r="E13" s="7" t="s">
        <v>173</v>
      </c>
      <c r="F13" s="7" t="s">
        <v>31</v>
      </c>
      <c r="G13" s="7" t="s">
        <v>32</v>
      </c>
      <c r="H13" s="7" t="s">
        <v>174</v>
      </c>
      <c r="I13" s="7" t="s">
        <v>175</v>
      </c>
      <c r="J13" s="7"/>
      <c r="K13" s="7" t="s">
        <v>176</v>
      </c>
      <c r="L13" s="7"/>
      <c r="M13" s="106"/>
      <c r="N13" s="106"/>
      <c r="O13" s="7"/>
      <c r="P13" s="7"/>
      <c r="Q13" s="7"/>
      <c r="R13" s="7"/>
      <c r="S13" s="7"/>
      <c r="T13" s="106"/>
      <c r="U13" s="7"/>
      <c r="V13" s="106"/>
      <c r="W13" s="7" t="s">
        <v>177</v>
      </c>
      <c r="X13" s="7" t="s">
        <v>178</v>
      </c>
      <c r="Y13" s="7" t="s">
        <v>177</v>
      </c>
      <c r="Z13" s="7" t="s">
        <v>178</v>
      </c>
      <c r="AA13" s="7" t="s">
        <v>178</v>
      </c>
      <c r="AB13" s="7"/>
      <c r="AC13" s="7" t="s">
        <v>179</v>
      </c>
      <c r="AD13" s="7" t="s">
        <v>173</v>
      </c>
      <c r="AE13" s="7" t="s">
        <v>211</v>
      </c>
      <c r="AF13" s="7"/>
      <c r="AG13" s="7"/>
      <c r="AH13" s="7" t="s">
        <v>181</v>
      </c>
      <c r="AI13" s="7" t="s">
        <v>182</v>
      </c>
      <c r="AJ13" s="120" t="s">
        <v>183</v>
      </c>
      <c r="AK13" s="122">
        <v>0.761111111111111</v>
      </c>
      <c r="AL13" s="122">
        <v>0.861111111111111</v>
      </c>
      <c r="AM13" s="123">
        <v>2</v>
      </c>
      <c r="AN13" s="7"/>
      <c r="AO13" s="7" t="s">
        <v>185</v>
      </c>
      <c r="AP13" s="7" t="s">
        <v>186</v>
      </c>
      <c r="AQ13" s="7" t="s">
        <v>63</v>
      </c>
      <c r="AR13" s="7" t="s">
        <v>174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7" t="s">
        <v>36</v>
      </c>
      <c r="BA13" s="101" t="s">
        <v>187</v>
      </c>
      <c r="BB13" s="21">
        <v>200</v>
      </c>
      <c r="BC13" s="21">
        <v>1</v>
      </c>
      <c r="BD13" s="21" t="s">
        <v>188</v>
      </c>
      <c r="BE13" s="21" t="str">
        <f t="shared" si="0"/>
        <v>PhuongTT</v>
      </c>
      <c r="BF13" s="21" t="str">
        <f t="shared" si="1"/>
        <v>VST</v>
      </c>
      <c r="BG13" s="63" t="b">
        <v>0</v>
      </c>
      <c r="BH13" s="21" t="s">
        <v>189</v>
      </c>
      <c r="BI13" s="21" t="s">
        <v>188</v>
      </c>
      <c r="BJ13" s="21" t="s">
        <v>188</v>
      </c>
      <c r="BK13" s="21" t="s">
        <v>190</v>
      </c>
      <c r="BL13" s="63" t="b">
        <v>0</v>
      </c>
    </row>
    <row r="14" s="29" customFormat="1" ht="69" customHeight="1" spans="1:64">
      <c r="A14" s="7" t="s">
        <v>212</v>
      </c>
      <c r="B14" s="7" t="s">
        <v>171</v>
      </c>
      <c r="C14" s="94" t="s">
        <v>29</v>
      </c>
      <c r="D14" s="17" t="s">
        <v>172</v>
      </c>
      <c r="E14" s="7" t="s">
        <v>173</v>
      </c>
      <c r="F14" s="7" t="s">
        <v>31</v>
      </c>
      <c r="G14" s="7" t="s">
        <v>32</v>
      </c>
      <c r="H14" s="7" t="s">
        <v>174</v>
      </c>
      <c r="I14" s="7" t="s">
        <v>175</v>
      </c>
      <c r="J14" s="7"/>
      <c r="K14" s="7" t="s">
        <v>176</v>
      </c>
      <c r="L14" s="7"/>
      <c r="M14" s="106"/>
      <c r="N14" s="106"/>
      <c r="O14" s="7"/>
      <c r="P14" s="7"/>
      <c r="Q14" s="7"/>
      <c r="R14" s="7"/>
      <c r="S14" s="7"/>
      <c r="T14" s="106"/>
      <c r="U14" s="7"/>
      <c r="V14" s="106"/>
      <c r="W14" s="7" t="s">
        <v>177</v>
      </c>
      <c r="X14" s="7" t="s">
        <v>178</v>
      </c>
      <c r="Y14" s="7" t="s">
        <v>177</v>
      </c>
      <c r="Z14" s="7" t="s">
        <v>178</v>
      </c>
      <c r="AA14" s="7" t="s">
        <v>178</v>
      </c>
      <c r="AB14" s="7"/>
      <c r="AC14" s="7" t="s">
        <v>179</v>
      </c>
      <c r="AD14" s="7" t="s">
        <v>173</v>
      </c>
      <c r="AE14" s="7" t="s">
        <v>213</v>
      </c>
      <c r="AF14" s="7"/>
      <c r="AG14" s="7"/>
      <c r="AH14" s="7" t="s">
        <v>181</v>
      </c>
      <c r="AI14" s="7" t="s">
        <v>182</v>
      </c>
      <c r="AJ14" s="120" t="s">
        <v>183</v>
      </c>
      <c r="AK14" s="122">
        <v>0.761111111111111</v>
      </c>
      <c r="AL14" s="122">
        <v>0.861111111111111</v>
      </c>
      <c r="AM14" s="123">
        <v>3</v>
      </c>
      <c r="AN14" s="7"/>
      <c r="AO14" s="7" t="s">
        <v>185</v>
      </c>
      <c r="AP14" s="7" t="s">
        <v>186</v>
      </c>
      <c r="AQ14" s="7" t="s">
        <v>63</v>
      </c>
      <c r="AR14" s="7" t="s">
        <v>174</v>
      </c>
      <c r="AS14" s="7" t="s">
        <v>33</v>
      </c>
      <c r="AT14" s="7" t="s">
        <v>36</v>
      </c>
      <c r="AU14" s="7"/>
      <c r="AV14" s="7"/>
      <c r="AW14" s="7"/>
      <c r="AX14" s="7"/>
      <c r="AY14" s="7"/>
      <c r="AZ14" s="7" t="s">
        <v>36</v>
      </c>
      <c r="BA14" s="101" t="s">
        <v>187</v>
      </c>
      <c r="BB14" s="21">
        <v>200</v>
      </c>
      <c r="BC14" s="21">
        <v>1</v>
      </c>
      <c r="BD14" s="21" t="s">
        <v>188</v>
      </c>
      <c r="BE14" s="21" t="str">
        <f t="shared" si="0"/>
        <v>PhuongTT</v>
      </c>
      <c r="BF14" s="21" t="str">
        <f t="shared" si="1"/>
        <v>VST</v>
      </c>
      <c r="BG14" s="63" t="b">
        <v>0</v>
      </c>
      <c r="BH14" s="21" t="s">
        <v>189</v>
      </c>
      <c r="BI14" s="21" t="s">
        <v>188</v>
      </c>
      <c r="BJ14" s="21" t="s">
        <v>188</v>
      </c>
      <c r="BK14" s="21" t="s">
        <v>190</v>
      </c>
      <c r="BL14" s="63" t="b">
        <v>0</v>
      </c>
    </row>
    <row r="15" s="29" customFormat="1" ht="69" customHeight="1" spans="1:64">
      <c r="A15" s="7" t="s">
        <v>214</v>
      </c>
      <c r="B15" s="7" t="s">
        <v>171</v>
      </c>
      <c r="C15" s="94" t="s">
        <v>29</v>
      </c>
      <c r="D15" s="17" t="s">
        <v>172</v>
      </c>
      <c r="E15" s="7" t="s">
        <v>173</v>
      </c>
      <c r="F15" s="7" t="s">
        <v>31</v>
      </c>
      <c r="G15" s="7" t="s">
        <v>32</v>
      </c>
      <c r="H15" s="7" t="s">
        <v>174</v>
      </c>
      <c r="I15" s="7" t="s">
        <v>175</v>
      </c>
      <c r="J15" s="7"/>
      <c r="K15" s="7" t="s">
        <v>176</v>
      </c>
      <c r="L15" s="7"/>
      <c r="M15" s="106"/>
      <c r="N15" s="106"/>
      <c r="O15" s="7"/>
      <c r="P15" s="7"/>
      <c r="Q15" s="7"/>
      <c r="R15" s="7"/>
      <c r="S15" s="7"/>
      <c r="T15" s="106"/>
      <c r="U15" s="7"/>
      <c r="V15" s="106"/>
      <c r="W15" s="7" t="s">
        <v>177</v>
      </c>
      <c r="X15" s="7" t="s">
        <v>178</v>
      </c>
      <c r="Y15" s="7" t="s">
        <v>177</v>
      </c>
      <c r="Z15" s="7" t="s">
        <v>178</v>
      </c>
      <c r="AA15" s="7" t="s">
        <v>178</v>
      </c>
      <c r="AB15" s="7"/>
      <c r="AC15" s="7" t="s">
        <v>179</v>
      </c>
      <c r="AD15" s="7" t="s">
        <v>173</v>
      </c>
      <c r="AE15" s="7" t="s">
        <v>215</v>
      </c>
      <c r="AF15" s="7"/>
      <c r="AG15" s="7"/>
      <c r="AH15" s="7" t="s">
        <v>181</v>
      </c>
      <c r="AI15" s="7" t="s">
        <v>182</v>
      </c>
      <c r="AJ15" s="120" t="s">
        <v>183</v>
      </c>
      <c r="AK15" s="122">
        <v>0.766666666666667</v>
      </c>
      <c r="AL15" s="122">
        <v>0.866666666666667</v>
      </c>
      <c r="AM15" s="123">
        <v>0</v>
      </c>
      <c r="AN15" s="7"/>
      <c r="AO15" s="7" t="s">
        <v>185</v>
      </c>
      <c r="AP15" s="7" t="s">
        <v>186</v>
      </c>
      <c r="AQ15" s="7" t="s">
        <v>63</v>
      </c>
      <c r="AR15" s="7" t="s">
        <v>174</v>
      </c>
      <c r="AS15" s="7" t="s">
        <v>33</v>
      </c>
      <c r="AT15" s="7" t="s">
        <v>36</v>
      </c>
      <c r="AU15" s="7"/>
      <c r="AV15" s="7"/>
      <c r="AW15" s="7"/>
      <c r="AX15" s="7"/>
      <c r="AY15" s="7"/>
      <c r="AZ15" s="7" t="s">
        <v>36</v>
      </c>
      <c r="BA15" s="101" t="s">
        <v>187</v>
      </c>
      <c r="BB15" s="21">
        <v>200</v>
      </c>
      <c r="BC15" s="21">
        <v>1</v>
      </c>
      <c r="BD15" s="21" t="s">
        <v>188</v>
      </c>
      <c r="BE15" s="21" t="str">
        <f t="shared" si="0"/>
        <v>PhuongTT</v>
      </c>
      <c r="BF15" s="21" t="str">
        <f t="shared" si="1"/>
        <v>VST</v>
      </c>
      <c r="BG15" s="63" t="b">
        <v>0</v>
      </c>
      <c r="BH15" s="21" t="s">
        <v>189</v>
      </c>
      <c r="BI15" s="21" t="s">
        <v>188</v>
      </c>
      <c r="BJ15" s="21" t="s">
        <v>188</v>
      </c>
      <c r="BK15" s="21" t="s">
        <v>190</v>
      </c>
      <c r="BL15" s="63" t="b">
        <v>0</v>
      </c>
    </row>
    <row r="16" s="29" customFormat="1" ht="69" customHeight="1" spans="1:64">
      <c r="A16" s="7" t="s">
        <v>216</v>
      </c>
      <c r="B16" s="7" t="s">
        <v>171</v>
      </c>
      <c r="C16" s="94" t="s">
        <v>29</v>
      </c>
      <c r="D16" s="17" t="s">
        <v>172</v>
      </c>
      <c r="E16" s="7" t="s">
        <v>173</v>
      </c>
      <c r="F16" s="7" t="s">
        <v>31</v>
      </c>
      <c r="G16" s="7" t="s">
        <v>32</v>
      </c>
      <c r="H16" s="7" t="s">
        <v>174</v>
      </c>
      <c r="I16" s="7" t="s">
        <v>175</v>
      </c>
      <c r="J16" s="7"/>
      <c r="K16" s="7" t="s">
        <v>176</v>
      </c>
      <c r="L16" s="7"/>
      <c r="M16" s="106"/>
      <c r="N16" s="106"/>
      <c r="O16" s="7"/>
      <c r="P16" s="7"/>
      <c r="Q16" s="7"/>
      <c r="R16" s="7"/>
      <c r="S16" s="7"/>
      <c r="T16" s="106"/>
      <c r="U16" s="7"/>
      <c r="V16" s="106"/>
      <c r="W16" s="7" t="s">
        <v>177</v>
      </c>
      <c r="X16" s="7" t="s">
        <v>178</v>
      </c>
      <c r="Y16" s="7" t="s">
        <v>177</v>
      </c>
      <c r="Z16" s="7" t="s">
        <v>178</v>
      </c>
      <c r="AA16" s="7" t="s">
        <v>178</v>
      </c>
      <c r="AB16" s="7"/>
      <c r="AC16" s="7" t="s">
        <v>179</v>
      </c>
      <c r="AD16" s="7" t="s">
        <v>173</v>
      </c>
      <c r="AE16" s="7" t="s">
        <v>217</v>
      </c>
      <c r="AF16" s="7"/>
      <c r="AG16" s="7"/>
      <c r="AH16" s="7" t="s">
        <v>181</v>
      </c>
      <c r="AI16" s="7" t="s">
        <v>182</v>
      </c>
      <c r="AJ16" s="120" t="s">
        <v>183</v>
      </c>
      <c r="AK16" s="122">
        <v>0.766666666666667</v>
      </c>
      <c r="AL16" s="122">
        <v>0.866666666666667</v>
      </c>
      <c r="AM16" s="123">
        <v>1</v>
      </c>
      <c r="AN16" s="7"/>
      <c r="AO16" s="7" t="s">
        <v>185</v>
      </c>
      <c r="AP16" s="7" t="s">
        <v>186</v>
      </c>
      <c r="AQ16" s="7" t="s">
        <v>63</v>
      </c>
      <c r="AR16" s="7" t="s">
        <v>174</v>
      </c>
      <c r="AS16" s="7" t="s">
        <v>33</v>
      </c>
      <c r="AT16" s="7" t="s">
        <v>36</v>
      </c>
      <c r="AU16" s="7"/>
      <c r="AV16" s="7"/>
      <c r="AW16" s="7"/>
      <c r="AX16" s="7"/>
      <c r="AY16" s="7"/>
      <c r="AZ16" s="7" t="s">
        <v>36</v>
      </c>
      <c r="BA16" s="101" t="s">
        <v>187</v>
      </c>
      <c r="BB16" s="21">
        <v>200</v>
      </c>
      <c r="BC16" s="21">
        <v>1</v>
      </c>
      <c r="BD16" s="21" t="s">
        <v>188</v>
      </c>
      <c r="BE16" s="21" t="str">
        <f t="shared" si="0"/>
        <v>PhuongTT</v>
      </c>
      <c r="BF16" s="21" t="str">
        <f t="shared" si="1"/>
        <v>VST</v>
      </c>
      <c r="BG16" s="63" t="b">
        <v>0</v>
      </c>
      <c r="BH16" s="21" t="s">
        <v>189</v>
      </c>
      <c r="BI16" s="21" t="s">
        <v>188</v>
      </c>
      <c r="BJ16" s="21" t="s">
        <v>188</v>
      </c>
      <c r="BK16" s="21" t="s">
        <v>190</v>
      </c>
      <c r="BL16" s="63" t="b">
        <v>0</v>
      </c>
    </row>
    <row r="17" s="29" customFormat="1" ht="69" customHeight="1" spans="1:64">
      <c r="A17" s="7" t="s">
        <v>218</v>
      </c>
      <c r="B17" s="7" t="s">
        <v>171</v>
      </c>
      <c r="C17" s="94" t="s">
        <v>29</v>
      </c>
      <c r="D17" s="17" t="s">
        <v>172</v>
      </c>
      <c r="E17" s="7" t="s">
        <v>173</v>
      </c>
      <c r="F17" s="7" t="s">
        <v>31</v>
      </c>
      <c r="G17" s="7" t="s">
        <v>32</v>
      </c>
      <c r="H17" s="7" t="s">
        <v>174</v>
      </c>
      <c r="I17" s="7" t="s">
        <v>175</v>
      </c>
      <c r="J17" s="7"/>
      <c r="K17" s="7" t="s">
        <v>176</v>
      </c>
      <c r="L17" s="7"/>
      <c r="M17" s="106"/>
      <c r="N17" s="106"/>
      <c r="O17" s="7"/>
      <c r="P17" s="7"/>
      <c r="Q17" s="7"/>
      <c r="R17" s="7"/>
      <c r="S17" s="7"/>
      <c r="T17" s="106"/>
      <c r="U17" s="7"/>
      <c r="V17" s="106"/>
      <c r="W17" s="7" t="s">
        <v>177</v>
      </c>
      <c r="X17" s="7" t="s">
        <v>178</v>
      </c>
      <c r="Y17" s="7" t="s">
        <v>177</v>
      </c>
      <c r="Z17" s="7" t="s">
        <v>178</v>
      </c>
      <c r="AA17" s="7" t="s">
        <v>178</v>
      </c>
      <c r="AB17" s="7"/>
      <c r="AC17" s="7" t="s">
        <v>179</v>
      </c>
      <c r="AD17" s="7" t="s">
        <v>173</v>
      </c>
      <c r="AE17" s="7" t="s">
        <v>219</v>
      </c>
      <c r="AF17" s="7"/>
      <c r="AG17" s="7"/>
      <c r="AH17" s="7" t="s">
        <v>181</v>
      </c>
      <c r="AI17" s="7" t="s">
        <v>182</v>
      </c>
      <c r="AJ17" s="120" t="s">
        <v>183</v>
      </c>
      <c r="AK17" s="122">
        <v>0.766666666666667</v>
      </c>
      <c r="AL17" s="122">
        <v>0.866666666666667</v>
      </c>
      <c r="AM17" s="123">
        <v>2</v>
      </c>
      <c r="AN17" s="7"/>
      <c r="AO17" s="7" t="s">
        <v>185</v>
      </c>
      <c r="AP17" s="7" t="s">
        <v>186</v>
      </c>
      <c r="AQ17" s="7" t="s">
        <v>63</v>
      </c>
      <c r="AR17" s="7" t="s">
        <v>174</v>
      </c>
      <c r="AS17" s="7" t="s">
        <v>33</v>
      </c>
      <c r="AT17" s="7" t="s">
        <v>36</v>
      </c>
      <c r="AU17" s="7"/>
      <c r="AV17" s="7"/>
      <c r="AW17" s="7"/>
      <c r="AX17" s="7"/>
      <c r="AY17" s="7"/>
      <c r="AZ17" s="7" t="s">
        <v>36</v>
      </c>
      <c r="BA17" s="101" t="s">
        <v>187</v>
      </c>
      <c r="BB17" s="21">
        <v>200</v>
      </c>
      <c r="BC17" s="21">
        <v>1</v>
      </c>
      <c r="BD17" s="21" t="s">
        <v>188</v>
      </c>
      <c r="BE17" s="21" t="str">
        <f t="shared" si="0"/>
        <v>PhuongTT</v>
      </c>
      <c r="BF17" s="21" t="str">
        <f t="shared" si="1"/>
        <v>VST</v>
      </c>
      <c r="BG17" s="63" t="b">
        <v>0</v>
      </c>
      <c r="BH17" s="21" t="s">
        <v>189</v>
      </c>
      <c r="BI17" s="21" t="s">
        <v>188</v>
      </c>
      <c r="BJ17" s="21" t="s">
        <v>188</v>
      </c>
      <c r="BK17" s="21" t="s">
        <v>190</v>
      </c>
      <c r="BL17" s="63" t="b">
        <v>0</v>
      </c>
    </row>
    <row r="18" s="29" customFormat="1" ht="50" customHeight="1" spans="1:64">
      <c r="A18" s="7" t="s">
        <v>220</v>
      </c>
      <c r="B18" s="7" t="s">
        <v>171</v>
      </c>
      <c r="C18" s="94" t="s">
        <v>29</v>
      </c>
      <c r="D18" s="17" t="s">
        <v>172</v>
      </c>
      <c r="E18" s="7" t="s">
        <v>173</v>
      </c>
      <c r="F18" s="7" t="s">
        <v>31</v>
      </c>
      <c r="G18" s="7" t="s">
        <v>32</v>
      </c>
      <c r="H18" s="7" t="s">
        <v>174</v>
      </c>
      <c r="I18" s="7" t="s">
        <v>175</v>
      </c>
      <c r="J18" s="7"/>
      <c r="K18" s="7" t="s">
        <v>176</v>
      </c>
      <c r="L18" s="7"/>
      <c r="M18" s="106"/>
      <c r="N18" s="106"/>
      <c r="O18" s="7"/>
      <c r="P18" s="7"/>
      <c r="Q18" s="7"/>
      <c r="R18" s="7"/>
      <c r="S18" s="7"/>
      <c r="T18" s="106"/>
      <c r="U18" s="7"/>
      <c r="V18" s="106"/>
      <c r="W18" s="7" t="s">
        <v>177</v>
      </c>
      <c r="X18" s="7" t="s">
        <v>178</v>
      </c>
      <c r="Y18" s="7" t="s">
        <v>177</v>
      </c>
      <c r="Z18" s="7" t="s">
        <v>178</v>
      </c>
      <c r="AA18" s="7" t="s">
        <v>178</v>
      </c>
      <c r="AB18" s="7"/>
      <c r="AC18" s="7" t="s">
        <v>179</v>
      </c>
      <c r="AD18" s="7" t="s">
        <v>173</v>
      </c>
      <c r="AE18" s="7" t="s">
        <v>221</v>
      </c>
      <c r="AF18" s="7"/>
      <c r="AG18" s="7"/>
      <c r="AH18" s="7" t="s">
        <v>181</v>
      </c>
      <c r="AI18" s="7" t="s">
        <v>182</v>
      </c>
      <c r="AJ18" s="120" t="s">
        <v>183</v>
      </c>
      <c r="AK18" s="122">
        <v>0.766666666666667</v>
      </c>
      <c r="AL18" s="122">
        <v>0.866666666666667</v>
      </c>
      <c r="AM18" s="123">
        <v>3</v>
      </c>
      <c r="AN18" s="7"/>
      <c r="AO18" s="7" t="s">
        <v>185</v>
      </c>
      <c r="AP18" s="7" t="s">
        <v>186</v>
      </c>
      <c r="AQ18" s="7" t="s">
        <v>63</v>
      </c>
      <c r="AR18" s="7" t="s">
        <v>174</v>
      </c>
      <c r="AS18" s="7" t="s">
        <v>33</v>
      </c>
      <c r="AT18" s="7" t="s">
        <v>36</v>
      </c>
      <c r="AU18" s="7"/>
      <c r="AV18" s="7"/>
      <c r="AW18" s="7"/>
      <c r="AX18" s="7"/>
      <c r="AY18" s="7"/>
      <c r="AZ18" s="7" t="s">
        <v>36</v>
      </c>
      <c r="BA18" s="101" t="s">
        <v>187</v>
      </c>
      <c r="BB18" s="21">
        <v>200</v>
      </c>
      <c r="BC18" s="21">
        <v>1</v>
      </c>
      <c r="BD18" s="21" t="s">
        <v>188</v>
      </c>
      <c r="BE18" s="21" t="str">
        <f t="shared" si="0"/>
        <v>PhuongTT</v>
      </c>
      <c r="BF18" s="21" t="str">
        <f t="shared" si="1"/>
        <v>VST</v>
      </c>
      <c r="BG18" s="63" t="b">
        <v>0</v>
      </c>
      <c r="BH18" s="21" t="s">
        <v>189</v>
      </c>
      <c r="BI18" s="21" t="s">
        <v>188</v>
      </c>
      <c r="BJ18" s="21" t="s">
        <v>188</v>
      </c>
      <c r="BK18" s="21" t="s">
        <v>190</v>
      </c>
      <c r="BL18" s="63" t="b">
        <v>0</v>
      </c>
    </row>
    <row r="19" s="29" customFormat="1" ht="69" customHeight="1" spans="1:64">
      <c r="A19" s="7" t="s">
        <v>222</v>
      </c>
      <c r="B19" s="7" t="s">
        <v>171</v>
      </c>
      <c r="C19" s="94" t="s">
        <v>29</v>
      </c>
      <c r="D19" s="17" t="s">
        <v>172</v>
      </c>
      <c r="E19" s="7" t="s">
        <v>173</v>
      </c>
      <c r="F19" s="7" t="s">
        <v>31</v>
      </c>
      <c r="G19" s="7" t="s">
        <v>32</v>
      </c>
      <c r="H19" s="7" t="s">
        <v>174</v>
      </c>
      <c r="I19" s="7" t="s">
        <v>175</v>
      </c>
      <c r="J19" s="7"/>
      <c r="K19" s="7" t="s">
        <v>176</v>
      </c>
      <c r="L19" s="7"/>
      <c r="M19" s="106"/>
      <c r="N19" s="106"/>
      <c r="O19" s="7"/>
      <c r="P19" s="7"/>
      <c r="Q19" s="7"/>
      <c r="R19" s="7"/>
      <c r="S19" s="7"/>
      <c r="T19" s="106"/>
      <c r="U19" s="7"/>
      <c r="V19" s="106"/>
      <c r="W19" s="7" t="s">
        <v>177</v>
      </c>
      <c r="X19" s="7" t="s">
        <v>178</v>
      </c>
      <c r="Y19" s="7" t="s">
        <v>177</v>
      </c>
      <c r="Z19" s="7" t="s">
        <v>178</v>
      </c>
      <c r="AA19" s="7" t="s">
        <v>178</v>
      </c>
      <c r="AB19" s="7"/>
      <c r="AC19" s="7" t="s">
        <v>179</v>
      </c>
      <c r="AD19" s="7" t="s">
        <v>173</v>
      </c>
      <c r="AE19" s="7" t="s">
        <v>223</v>
      </c>
      <c r="AF19" s="7"/>
      <c r="AG19" s="7"/>
      <c r="AH19" s="7" t="s">
        <v>181</v>
      </c>
      <c r="AI19" s="7" t="s">
        <v>182</v>
      </c>
      <c r="AJ19" s="120" t="s">
        <v>183</v>
      </c>
      <c r="AK19" s="122">
        <v>0.772222222222222</v>
      </c>
      <c r="AL19" s="122">
        <v>0.872222222222222</v>
      </c>
      <c r="AM19" s="123">
        <v>0</v>
      </c>
      <c r="AN19" s="7"/>
      <c r="AO19" s="7" t="s">
        <v>185</v>
      </c>
      <c r="AP19" s="7" t="s">
        <v>186</v>
      </c>
      <c r="AQ19" s="7" t="s">
        <v>63</v>
      </c>
      <c r="AR19" s="7" t="s">
        <v>174</v>
      </c>
      <c r="AS19" s="7" t="s">
        <v>33</v>
      </c>
      <c r="AT19" s="7" t="s">
        <v>36</v>
      </c>
      <c r="AU19" s="7"/>
      <c r="AV19" s="7"/>
      <c r="AW19" s="7"/>
      <c r="AX19" s="7"/>
      <c r="AY19" s="7"/>
      <c r="AZ19" s="7" t="s">
        <v>36</v>
      </c>
      <c r="BA19" s="101" t="s">
        <v>187</v>
      </c>
      <c r="BB19" s="21">
        <v>200</v>
      </c>
      <c r="BC19" s="21">
        <v>1</v>
      </c>
      <c r="BD19" s="21" t="s">
        <v>188</v>
      </c>
      <c r="BE19" s="21" t="str">
        <f t="shared" si="0"/>
        <v>PhuongTT</v>
      </c>
      <c r="BF19" s="21" t="str">
        <f t="shared" si="1"/>
        <v>VST</v>
      </c>
      <c r="BG19" s="63" t="b">
        <v>0</v>
      </c>
      <c r="BH19" s="21" t="s">
        <v>189</v>
      </c>
      <c r="BI19" s="21" t="s">
        <v>188</v>
      </c>
      <c r="BJ19" s="21" t="s">
        <v>188</v>
      </c>
      <c r="BK19" s="21" t="s">
        <v>190</v>
      </c>
      <c r="BL19" s="63" t="b">
        <v>0</v>
      </c>
    </row>
    <row r="20" s="29" customFormat="1" ht="69" customHeight="1" spans="1:64">
      <c r="A20" s="7" t="s">
        <v>224</v>
      </c>
      <c r="B20" s="7" t="s">
        <v>171</v>
      </c>
      <c r="C20" s="94" t="s">
        <v>29</v>
      </c>
      <c r="D20" s="17" t="s">
        <v>172</v>
      </c>
      <c r="E20" s="7" t="s">
        <v>173</v>
      </c>
      <c r="F20" s="7" t="s">
        <v>31</v>
      </c>
      <c r="G20" s="7" t="s">
        <v>32</v>
      </c>
      <c r="H20" s="7" t="s">
        <v>174</v>
      </c>
      <c r="I20" s="7" t="s">
        <v>175</v>
      </c>
      <c r="J20" s="7"/>
      <c r="K20" s="7" t="s">
        <v>176</v>
      </c>
      <c r="L20" s="7"/>
      <c r="M20" s="106"/>
      <c r="N20" s="106"/>
      <c r="O20" s="7"/>
      <c r="P20" s="7"/>
      <c r="Q20" s="7"/>
      <c r="R20" s="7"/>
      <c r="S20" s="7"/>
      <c r="T20" s="106"/>
      <c r="U20" s="7"/>
      <c r="V20" s="106"/>
      <c r="W20" s="7" t="s">
        <v>177</v>
      </c>
      <c r="X20" s="7" t="s">
        <v>178</v>
      </c>
      <c r="Y20" s="7" t="s">
        <v>177</v>
      </c>
      <c r="Z20" s="7" t="s">
        <v>178</v>
      </c>
      <c r="AA20" s="7" t="s">
        <v>178</v>
      </c>
      <c r="AB20" s="7"/>
      <c r="AC20" s="7" t="s">
        <v>179</v>
      </c>
      <c r="AD20" s="7" t="s">
        <v>173</v>
      </c>
      <c r="AE20" s="7" t="s">
        <v>225</v>
      </c>
      <c r="AF20" s="7"/>
      <c r="AG20" s="7"/>
      <c r="AH20" s="7" t="s">
        <v>181</v>
      </c>
      <c r="AI20" s="7" t="s">
        <v>182</v>
      </c>
      <c r="AJ20" s="120" t="s">
        <v>183</v>
      </c>
      <c r="AK20" s="122">
        <v>0.772222222222222</v>
      </c>
      <c r="AL20" s="122">
        <v>0.872222222222222</v>
      </c>
      <c r="AM20" s="123">
        <v>1</v>
      </c>
      <c r="AN20" s="7"/>
      <c r="AO20" s="7" t="s">
        <v>185</v>
      </c>
      <c r="AP20" s="7" t="s">
        <v>186</v>
      </c>
      <c r="AQ20" s="7" t="s">
        <v>63</v>
      </c>
      <c r="AR20" s="7" t="s">
        <v>174</v>
      </c>
      <c r="AS20" s="7" t="s">
        <v>33</v>
      </c>
      <c r="AT20" s="7" t="s">
        <v>36</v>
      </c>
      <c r="AU20" s="7"/>
      <c r="AV20" s="7"/>
      <c r="AW20" s="7"/>
      <c r="AX20" s="7"/>
      <c r="AY20" s="7"/>
      <c r="AZ20" s="7" t="s">
        <v>36</v>
      </c>
      <c r="BA20" s="101" t="s">
        <v>187</v>
      </c>
      <c r="BB20" s="21">
        <v>200</v>
      </c>
      <c r="BC20" s="21">
        <v>1</v>
      </c>
      <c r="BD20" s="21" t="s">
        <v>188</v>
      </c>
      <c r="BE20" s="21" t="str">
        <f t="shared" si="0"/>
        <v>PhuongTT</v>
      </c>
      <c r="BF20" s="21" t="str">
        <f t="shared" si="1"/>
        <v>VST</v>
      </c>
      <c r="BG20" s="63" t="b">
        <v>0</v>
      </c>
      <c r="BH20" s="21" t="s">
        <v>189</v>
      </c>
      <c r="BI20" s="21" t="s">
        <v>188</v>
      </c>
      <c r="BJ20" s="21" t="s">
        <v>188</v>
      </c>
      <c r="BK20" s="21" t="s">
        <v>190</v>
      </c>
      <c r="BL20" s="63" t="b">
        <v>0</v>
      </c>
    </row>
    <row r="21" s="29" customFormat="1" ht="69" customHeight="1" spans="1:64">
      <c r="A21" s="7" t="s">
        <v>226</v>
      </c>
      <c r="B21" s="7" t="s">
        <v>171</v>
      </c>
      <c r="C21" s="94" t="s">
        <v>29</v>
      </c>
      <c r="D21" s="17" t="s">
        <v>172</v>
      </c>
      <c r="E21" s="7" t="s">
        <v>173</v>
      </c>
      <c r="F21" s="7" t="s">
        <v>31</v>
      </c>
      <c r="G21" s="7" t="s">
        <v>32</v>
      </c>
      <c r="H21" s="7" t="s">
        <v>174</v>
      </c>
      <c r="I21" s="7" t="s">
        <v>175</v>
      </c>
      <c r="J21" s="7"/>
      <c r="K21" s="7" t="s">
        <v>176</v>
      </c>
      <c r="L21" s="7"/>
      <c r="M21" s="106"/>
      <c r="N21" s="106"/>
      <c r="O21" s="7"/>
      <c r="P21" s="7"/>
      <c r="Q21" s="7"/>
      <c r="R21" s="7"/>
      <c r="S21" s="7"/>
      <c r="T21" s="106"/>
      <c r="U21" s="7"/>
      <c r="V21" s="106"/>
      <c r="W21" s="7" t="s">
        <v>177</v>
      </c>
      <c r="X21" s="7" t="s">
        <v>178</v>
      </c>
      <c r="Y21" s="7" t="s">
        <v>177</v>
      </c>
      <c r="Z21" s="7" t="s">
        <v>178</v>
      </c>
      <c r="AA21" s="7" t="s">
        <v>178</v>
      </c>
      <c r="AB21" s="7"/>
      <c r="AC21" s="7" t="s">
        <v>179</v>
      </c>
      <c r="AD21" s="7" t="s">
        <v>173</v>
      </c>
      <c r="AE21" s="7" t="s">
        <v>227</v>
      </c>
      <c r="AF21" s="7"/>
      <c r="AG21" s="7"/>
      <c r="AH21" s="7" t="s">
        <v>181</v>
      </c>
      <c r="AI21" s="7" t="s">
        <v>182</v>
      </c>
      <c r="AJ21" s="120" t="s">
        <v>183</v>
      </c>
      <c r="AK21" s="122">
        <v>0.772222222222222</v>
      </c>
      <c r="AL21" s="122">
        <v>0.872222222222222</v>
      </c>
      <c r="AM21" s="123">
        <v>2</v>
      </c>
      <c r="AN21" s="7"/>
      <c r="AO21" s="7" t="s">
        <v>185</v>
      </c>
      <c r="AP21" s="7" t="s">
        <v>186</v>
      </c>
      <c r="AQ21" s="7" t="s">
        <v>63</v>
      </c>
      <c r="AR21" s="7" t="s">
        <v>174</v>
      </c>
      <c r="AS21" s="7" t="s">
        <v>33</v>
      </c>
      <c r="AT21" s="7" t="s">
        <v>36</v>
      </c>
      <c r="AU21" s="7"/>
      <c r="AV21" s="7"/>
      <c r="AW21" s="7"/>
      <c r="AX21" s="7"/>
      <c r="AY21" s="7"/>
      <c r="AZ21" s="7" t="s">
        <v>36</v>
      </c>
      <c r="BA21" s="101" t="s">
        <v>187</v>
      </c>
      <c r="BB21" s="21">
        <v>200</v>
      </c>
      <c r="BC21" s="21">
        <v>1</v>
      </c>
      <c r="BD21" s="21" t="s">
        <v>188</v>
      </c>
      <c r="BE21" s="21" t="str">
        <f t="shared" si="0"/>
        <v>PhuongTT</v>
      </c>
      <c r="BF21" s="21" t="str">
        <f t="shared" si="1"/>
        <v>VST</v>
      </c>
      <c r="BG21" s="63" t="b">
        <v>0</v>
      </c>
      <c r="BH21" s="21" t="s">
        <v>189</v>
      </c>
      <c r="BI21" s="21" t="s">
        <v>188</v>
      </c>
      <c r="BJ21" s="21" t="s">
        <v>188</v>
      </c>
      <c r="BK21" s="21" t="s">
        <v>190</v>
      </c>
      <c r="BL21" s="63" t="b">
        <v>0</v>
      </c>
    </row>
    <row r="22" s="29" customFormat="1" ht="69" customHeight="1" spans="1:64">
      <c r="A22" s="7" t="s">
        <v>228</v>
      </c>
      <c r="B22" s="7" t="s">
        <v>171</v>
      </c>
      <c r="C22" s="94" t="s">
        <v>29</v>
      </c>
      <c r="D22" s="17" t="s">
        <v>172</v>
      </c>
      <c r="E22" s="7" t="s">
        <v>173</v>
      </c>
      <c r="F22" s="7" t="s">
        <v>31</v>
      </c>
      <c r="G22" s="7" t="s">
        <v>32</v>
      </c>
      <c r="H22" s="7" t="s">
        <v>174</v>
      </c>
      <c r="I22" s="7" t="s">
        <v>175</v>
      </c>
      <c r="J22" s="7"/>
      <c r="K22" s="7" t="s">
        <v>176</v>
      </c>
      <c r="L22" s="7"/>
      <c r="M22" s="106"/>
      <c r="N22" s="106"/>
      <c r="O22" s="7"/>
      <c r="P22" s="7"/>
      <c r="Q22" s="7"/>
      <c r="R22" s="7"/>
      <c r="S22" s="7"/>
      <c r="T22" s="106"/>
      <c r="U22" s="7"/>
      <c r="V22" s="106"/>
      <c r="W22" s="7" t="s">
        <v>177</v>
      </c>
      <c r="X22" s="7" t="s">
        <v>178</v>
      </c>
      <c r="Y22" s="7" t="s">
        <v>177</v>
      </c>
      <c r="Z22" s="7" t="s">
        <v>178</v>
      </c>
      <c r="AA22" s="7" t="s">
        <v>178</v>
      </c>
      <c r="AB22" s="7"/>
      <c r="AC22" s="7" t="s">
        <v>179</v>
      </c>
      <c r="AD22" s="7" t="s">
        <v>173</v>
      </c>
      <c r="AE22" s="7" t="s">
        <v>229</v>
      </c>
      <c r="AF22" s="7"/>
      <c r="AG22" s="7"/>
      <c r="AH22" s="7" t="s">
        <v>181</v>
      </c>
      <c r="AI22" s="7" t="s">
        <v>182</v>
      </c>
      <c r="AJ22" s="120" t="s">
        <v>183</v>
      </c>
      <c r="AK22" s="122">
        <v>0.772222222222222</v>
      </c>
      <c r="AL22" s="122">
        <v>0.872222222222222</v>
      </c>
      <c r="AM22" s="123">
        <v>3</v>
      </c>
      <c r="AN22" s="7"/>
      <c r="AO22" s="7" t="s">
        <v>185</v>
      </c>
      <c r="AP22" s="7" t="s">
        <v>186</v>
      </c>
      <c r="AQ22" s="7" t="s">
        <v>63</v>
      </c>
      <c r="AR22" s="7" t="s">
        <v>174</v>
      </c>
      <c r="AS22" s="7" t="s">
        <v>33</v>
      </c>
      <c r="AT22" s="7" t="s">
        <v>36</v>
      </c>
      <c r="AU22" s="7"/>
      <c r="AV22" s="7"/>
      <c r="AW22" s="7"/>
      <c r="AX22" s="7"/>
      <c r="AY22" s="7"/>
      <c r="AZ22" s="7" t="s">
        <v>36</v>
      </c>
      <c r="BA22" s="101" t="s">
        <v>187</v>
      </c>
      <c r="BB22" s="21">
        <v>200</v>
      </c>
      <c r="BC22" s="21">
        <v>1</v>
      </c>
      <c r="BD22" s="21" t="s">
        <v>188</v>
      </c>
      <c r="BE22" s="21" t="str">
        <f t="shared" si="0"/>
        <v>PhuongTT</v>
      </c>
      <c r="BF22" s="21" t="str">
        <f t="shared" si="1"/>
        <v>VST</v>
      </c>
      <c r="BG22" s="63" t="b">
        <v>0</v>
      </c>
      <c r="BH22" s="21" t="s">
        <v>189</v>
      </c>
      <c r="BI22" s="21" t="s">
        <v>188</v>
      </c>
      <c r="BJ22" s="21" t="s">
        <v>188</v>
      </c>
      <c r="BK22" s="21" t="s">
        <v>190</v>
      </c>
      <c r="BL22" s="63" t="b">
        <v>0</v>
      </c>
    </row>
    <row r="23" s="29" customFormat="1" ht="50" customHeight="1" spans="1:64">
      <c r="A23" s="7" t="s">
        <v>230</v>
      </c>
      <c r="B23" s="7" t="s">
        <v>171</v>
      </c>
      <c r="C23" s="94" t="s">
        <v>29</v>
      </c>
      <c r="D23" s="17" t="s">
        <v>172</v>
      </c>
      <c r="E23" s="7" t="s">
        <v>173</v>
      </c>
      <c r="F23" s="7" t="s">
        <v>31</v>
      </c>
      <c r="G23" s="7" t="s">
        <v>32</v>
      </c>
      <c r="H23" s="7" t="s">
        <v>174</v>
      </c>
      <c r="I23" s="7" t="s">
        <v>175</v>
      </c>
      <c r="J23" s="7"/>
      <c r="K23" s="7" t="s">
        <v>176</v>
      </c>
      <c r="L23" s="7"/>
      <c r="M23" s="106"/>
      <c r="N23" s="106"/>
      <c r="O23" s="7"/>
      <c r="P23" s="7"/>
      <c r="Q23" s="7"/>
      <c r="R23" s="7"/>
      <c r="S23" s="7"/>
      <c r="T23" s="106"/>
      <c r="U23" s="7"/>
      <c r="V23" s="106"/>
      <c r="W23" s="7" t="s">
        <v>177</v>
      </c>
      <c r="X23" s="7" t="s">
        <v>178</v>
      </c>
      <c r="Y23" s="7" t="s">
        <v>177</v>
      </c>
      <c r="Z23" s="7" t="s">
        <v>178</v>
      </c>
      <c r="AA23" s="7" t="s">
        <v>178</v>
      </c>
      <c r="AB23" s="7"/>
      <c r="AC23" s="7" t="s">
        <v>179</v>
      </c>
      <c r="AD23" s="7" t="s">
        <v>173</v>
      </c>
      <c r="AE23" s="7" t="s">
        <v>231</v>
      </c>
      <c r="AF23" s="7"/>
      <c r="AG23" s="7"/>
      <c r="AH23" s="7" t="s">
        <v>181</v>
      </c>
      <c r="AI23" s="7" t="s">
        <v>182</v>
      </c>
      <c r="AJ23" s="120" t="s">
        <v>183</v>
      </c>
      <c r="AK23" s="122">
        <v>0.777777777777778</v>
      </c>
      <c r="AL23" s="122">
        <v>0.877777777777778</v>
      </c>
      <c r="AM23" s="123">
        <v>0</v>
      </c>
      <c r="AN23" s="7"/>
      <c r="AO23" s="7" t="s">
        <v>185</v>
      </c>
      <c r="AP23" s="7" t="s">
        <v>186</v>
      </c>
      <c r="AQ23" s="7" t="s">
        <v>63</v>
      </c>
      <c r="AR23" s="7" t="s">
        <v>174</v>
      </c>
      <c r="AS23" s="7" t="s">
        <v>33</v>
      </c>
      <c r="AT23" s="7" t="s">
        <v>36</v>
      </c>
      <c r="AU23" s="7"/>
      <c r="AV23" s="7"/>
      <c r="AW23" s="7"/>
      <c r="AX23" s="7"/>
      <c r="AY23" s="7"/>
      <c r="AZ23" s="7" t="s">
        <v>36</v>
      </c>
      <c r="BA23" s="101" t="s">
        <v>187</v>
      </c>
      <c r="BB23" s="21">
        <v>200</v>
      </c>
      <c r="BC23" s="21">
        <v>1</v>
      </c>
      <c r="BD23" s="21" t="s">
        <v>188</v>
      </c>
      <c r="BE23" s="21" t="str">
        <f t="shared" si="0"/>
        <v>PhuongTT</v>
      </c>
      <c r="BF23" s="21" t="str">
        <f t="shared" si="1"/>
        <v>VST</v>
      </c>
      <c r="BG23" s="63" t="b">
        <v>0</v>
      </c>
      <c r="BH23" s="21" t="s">
        <v>189</v>
      </c>
      <c r="BI23" s="21" t="s">
        <v>188</v>
      </c>
      <c r="BJ23" s="21" t="s">
        <v>188</v>
      </c>
      <c r="BK23" s="21" t="s">
        <v>190</v>
      </c>
      <c r="BL23" s="63" t="b">
        <v>0</v>
      </c>
    </row>
    <row r="24" s="29" customFormat="1" ht="69" customHeight="1" spans="1:64">
      <c r="A24" s="7" t="s">
        <v>232</v>
      </c>
      <c r="B24" s="7" t="s">
        <v>171</v>
      </c>
      <c r="C24" s="94" t="s">
        <v>29</v>
      </c>
      <c r="D24" s="17" t="s">
        <v>172</v>
      </c>
      <c r="E24" s="7" t="s">
        <v>173</v>
      </c>
      <c r="F24" s="7" t="s">
        <v>31</v>
      </c>
      <c r="G24" s="7" t="s">
        <v>32</v>
      </c>
      <c r="H24" s="7" t="s">
        <v>174</v>
      </c>
      <c r="I24" s="7" t="s">
        <v>175</v>
      </c>
      <c r="J24" s="7"/>
      <c r="K24" s="7" t="s">
        <v>176</v>
      </c>
      <c r="L24" s="7"/>
      <c r="M24" s="106"/>
      <c r="N24" s="106"/>
      <c r="O24" s="7"/>
      <c r="P24" s="7"/>
      <c r="Q24" s="7"/>
      <c r="R24" s="7"/>
      <c r="S24" s="7"/>
      <c r="T24" s="106"/>
      <c r="U24" s="7"/>
      <c r="V24" s="106"/>
      <c r="W24" s="7" t="s">
        <v>177</v>
      </c>
      <c r="X24" s="7" t="s">
        <v>178</v>
      </c>
      <c r="Y24" s="7" t="s">
        <v>177</v>
      </c>
      <c r="Z24" s="7" t="s">
        <v>178</v>
      </c>
      <c r="AA24" s="7" t="s">
        <v>178</v>
      </c>
      <c r="AB24" s="7"/>
      <c r="AC24" s="7" t="s">
        <v>179</v>
      </c>
      <c r="AD24" s="7" t="s">
        <v>173</v>
      </c>
      <c r="AE24" s="7" t="s">
        <v>233</v>
      </c>
      <c r="AF24" s="7"/>
      <c r="AG24" s="7"/>
      <c r="AH24" s="7" t="s">
        <v>181</v>
      </c>
      <c r="AI24" s="7" t="s">
        <v>182</v>
      </c>
      <c r="AJ24" s="120" t="s">
        <v>183</v>
      </c>
      <c r="AK24" s="122">
        <v>0.777777777777778</v>
      </c>
      <c r="AL24" s="122">
        <v>0.877777777777778</v>
      </c>
      <c r="AM24" s="123">
        <v>1</v>
      </c>
      <c r="AN24" s="7"/>
      <c r="AO24" s="7" t="s">
        <v>185</v>
      </c>
      <c r="AP24" s="7" t="s">
        <v>186</v>
      </c>
      <c r="AQ24" s="7" t="s">
        <v>63</v>
      </c>
      <c r="AR24" s="7" t="s">
        <v>174</v>
      </c>
      <c r="AS24" s="7" t="s">
        <v>33</v>
      </c>
      <c r="AT24" s="7" t="s">
        <v>36</v>
      </c>
      <c r="AU24" s="7"/>
      <c r="AV24" s="7"/>
      <c r="AW24" s="7"/>
      <c r="AX24" s="7"/>
      <c r="AY24" s="7"/>
      <c r="AZ24" s="7" t="s">
        <v>36</v>
      </c>
      <c r="BA24" s="101" t="s">
        <v>187</v>
      </c>
      <c r="BB24" s="21">
        <v>200</v>
      </c>
      <c r="BC24" s="21">
        <v>1</v>
      </c>
      <c r="BD24" s="21" t="s">
        <v>188</v>
      </c>
      <c r="BE24" s="21" t="str">
        <f t="shared" si="0"/>
        <v>PhuongTT</v>
      </c>
      <c r="BF24" s="21" t="str">
        <f t="shared" si="1"/>
        <v>VST</v>
      </c>
      <c r="BG24" s="63" t="b">
        <v>0</v>
      </c>
      <c r="BH24" s="21" t="s">
        <v>189</v>
      </c>
      <c r="BI24" s="21" t="s">
        <v>188</v>
      </c>
      <c r="BJ24" s="21" t="s">
        <v>188</v>
      </c>
      <c r="BK24" s="21" t="s">
        <v>190</v>
      </c>
      <c r="BL24" s="63" t="b">
        <v>0</v>
      </c>
    </row>
    <row r="25" s="29" customFormat="1" ht="69" customHeight="1" spans="1:64">
      <c r="A25" s="7" t="s">
        <v>234</v>
      </c>
      <c r="B25" s="7" t="s">
        <v>171</v>
      </c>
      <c r="C25" s="94" t="s">
        <v>29</v>
      </c>
      <c r="D25" s="17" t="s">
        <v>172</v>
      </c>
      <c r="E25" s="7" t="s">
        <v>173</v>
      </c>
      <c r="F25" s="7" t="s">
        <v>31</v>
      </c>
      <c r="G25" s="7" t="s">
        <v>32</v>
      </c>
      <c r="H25" s="7" t="s">
        <v>174</v>
      </c>
      <c r="I25" s="7" t="s">
        <v>175</v>
      </c>
      <c r="J25" s="7"/>
      <c r="K25" s="7" t="s">
        <v>176</v>
      </c>
      <c r="L25" s="7"/>
      <c r="M25" s="106"/>
      <c r="N25" s="106"/>
      <c r="O25" s="7"/>
      <c r="P25" s="7"/>
      <c r="Q25" s="7"/>
      <c r="R25" s="7"/>
      <c r="S25" s="7"/>
      <c r="T25" s="106"/>
      <c r="U25" s="7"/>
      <c r="V25" s="106"/>
      <c r="W25" s="7" t="s">
        <v>177</v>
      </c>
      <c r="X25" s="7" t="s">
        <v>178</v>
      </c>
      <c r="Y25" s="7" t="s">
        <v>177</v>
      </c>
      <c r="Z25" s="7" t="s">
        <v>178</v>
      </c>
      <c r="AA25" s="7" t="s">
        <v>178</v>
      </c>
      <c r="AB25" s="7"/>
      <c r="AC25" s="7" t="s">
        <v>179</v>
      </c>
      <c r="AD25" s="7" t="s">
        <v>173</v>
      </c>
      <c r="AE25" s="7" t="s">
        <v>235</v>
      </c>
      <c r="AF25" s="7"/>
      <c r="AG25" s="7"/>
      <c r="AH25" s="7" t="s">
        <v>181</v>
      </c>
      <c r="AI25" s="7" t="s">
        <v>182</v>
      </c>
      <c r="AJ25" s="120" t="s">
        <v>183</v>
      </c>
      <c r="AK25" s="122">
        <v>0.777777777777778</v>
      </c>
      <c r="AL25" s="122">
        <v>0.877777777777778</v>
      </c>
      <c r="AM25" s="123">
        <v>2</v>
      </c>
      <c r="AN25" s="7"/>
      <c r="AO25" s="7" t="s">
        <v>185</v>
      </c>
      <c r="AP25" s="7" t="s">
        <v>186</v>
      </c>
      <c r="AQ25" s="7" t="s">
        <v>63</v>
      </c>
      <c r="AR25" s="7" t="s">
        <v>174</v>
      </c>
      <c r="AS25" s="7" t="s">
        <v>33</v>
      </c>
      <c r="AT25" s="7" t="s">
        <v>36</v>
      </c>
      <c r="AU25" s="7"/>
      <c r="AV25" s="7"/>
      <c r="AW25" s="7"/>
      <c r="AX25" s="7"/>
      <c r="AY25" s="7"/>
      <c r="AZ25" s="7" t="s">
        <v>36</v>
      </c>
      <c r="BA25" s="101" t="s">
        <v>187</v>
      </c>
      <c r="BB25" s="21">
        <v>200</v>
      </c>
      <c r="BC25" s="21">
        <v>1</v>
      </c>
      <c r="BD25" s="21" t="s">
        <v>188</v>
      </c>
      <c r="BE25" s="21" t="str">
        <f t="shared" si="0"/>
        <v>PhuongTT</v>
      </c>
      <c r="BF25" s="21" t="str">
        <f t="shared" si="1"/>
        <v>VST</v>
      </c>
      <c r="BG25" s="63" t="b">
        <v>0</v>
      </c>
      <c r="BH25" s="21" t="s">
        <v>189</v>
      </c>
      <c r="BI25" s="21" t="s">
        <v>188</v>
      </c>
      <c r="BJ25" s="21" t="s">
        <v>188</v>
      </c>
      <c r="BK25" s="21" t="s">
        <v>190</v>
      </c>
      <c r="BL25" s="63" t="b">
        <v>0</v>
      </c>
    </row>
    <row r="26" s="29" customFormat="1" ht="69" customHeight="1" spans="1:64">
      <c r="A26" s="7" t="s">
        <v>236</v>
      </c>
      <c r="B26" s="7" t="s">
        <v>171</v>
      </c>
      <c r="C26" s="94" t="s">
        <v>29</v>
      </c>
      <c r="D26" s="17" t="s">
        <v>172</v>
      </c>
      <c r="E26" s="7" t="s">
        <v>173</v>
      </c>
      <c r="F26" s="7" t="s">
        <v>31</v>
      </c>
      <c r="G26" s="7" t="s">
        <v>32</v>
      </c>
      <c r="H26" s="7" t="s">
        <v>174</v>
      </c>
      <c r="I26" s="7" t="s">
        <v>175</v>
      </c>
      <c r="J26" s="7"/>
      <c r="K26" s="7" t="s">
        <v>176</v>
      </c>
      <c r="L26" s="7"/>
      <c r="M26" s="106"/>
      <c r="N26" s="106"/>
      <c r="O26" s="7"/>
      <c r="P26" s="7"/>
      <c r="Q26" s="7"/>
      <c r="R26" s="7"/>
      <c r="S26" s="7"/>
      <c r="T26" s="106"/>
      <c r="U26" s="7"/>
      <c r="V26" s="106"/>
      <c r="W26" s="7" t="s">
        <v>177</v>
      </c>
      <c r="X26" s="7" t="s">
        <v>178</v>
      </c>
      <c r="Y26" s="7" t="s">
        <v>177</v>
      </c>
      <c r="Z26" s="7" t="s">
        <v>178</v>
      </c>
      <c r="AA26" s="7" t="s">
        <v>178</v>
      </c>
      <c r="AB26" s="7"/>
      <c r="AC26" s="7" t="s">
        <v>179</v>
      </c>
      <c r="AD26" s="7" t="s">
        <v>173</v>
      </c>
      <c r="AE26" s="7" t="s">
        <v>237</v>
      </c>
      <c r="AF26" s="7"/>
      <c r="AG26" s="7"/>
      <c r="AH26" s="7" t="s">
        <v>181</v>
      </c>
      <c r="AI26" s="7" t="s">
        <v>182</v>
      </c>
      <c r="AJ26" s="120" t="s">
        <v>183</v>
      </c>
      <c r="AK26" s="122">
        <v>0.777777777777778</v>
      </c>
      <c r="AL26" s="122">
        <v>0.877777777777778</v>
      </c>
      <c r="AM26" s="123">
        <v>3</v>
      </c>
      <c r="AN26" s="7"/>
      <c r="AO26" s="7" t="s">
        <v>185</v>
      </c>
      <c r="AP26" s="7" t="s">
        <v>186</v>
      </c>
      <c r="AQ26" s="7" t="s">
        <v>63</v>
      </c>
      <c r="AR26" s="7" t="s">
        <v>174</v>
      </c>
      <c r="AS26" s="7" t="s">
        <v>33</v>
      </c>
      <c r="AT26" s="7" t="s">
        <v>36</v>
      </c>
      <c r="AU26" s="7"/>
      <c r="AV26" s="7"/>
      <c r="AW26" s="7"/>
      <c r="AX26" s="7"/>
      <c r="AY26" s="7"/>
      <c r="AZ26" s="7" t="s">
        <v>36</v>
      </c>
      <c r="BA26" s="101" t="s">
        <v>187</v>
      </c>
      <c r="BB26" s="21">
        <v>200</v>
      </c>
      <c r="BC26" s="21">
        <v>1</v>
      </c>
      <c r="BD26" s="21" t="s">
        <v>188</v>
      </c>
      <c r="BE26" s="21" t="str">
        <f t="shared" si="0"/>
        <v>PhuongTT</v>
      </c>
      <c r="BF26" s="21" t="str">
        <f t="shared" si="1"/>
        <v>VST</v>
      </c>
      <c r="BG26" s="63" t="b">
        <v>0</v>
      </c>
      <c r="BH26" s="21" t="s">
        <v>189</v>
      </c>
      <c r="BI26" s="21" t="s">
        <v>188</v>
      </c>
      <c r="BJ26" s="21" t="s">
        <v>188</v>
      </c>
      <c r="BK26" s="21" t="s">
        <v>190</v>
      </c>
      <c r="BL26" s="63" t="b">
        <v>0</v>
      </c>
    </row>
    <row r="27" s="29" customFormat="1" ht="69" customHeight="1" spans="1:64">
      <c r="A27" s="7" t="s">
        <v>238</v>
      </c>
      <c r="B27" s="7" t="s">
        <v>171</v>
      </c>
      <c r="C27" s="94" t="s">
        <v>29</v>
      </c>
      <c r="D27" s="17" t="s">
        <v>172</v>
      </c>
      <c r="E27" s="7" t="s">
        <v>173</v>
      </c>
      <c r="F27" s="7" t="s">
        <v>31</v>
      </c>
      <c r="G27" s="7" t="s">
        <v>32</v>
      </c>
      <c r="H27" s="7" t="s">
        <v>174</v>
      </c>
      <c r="I27" s="7" t="s">
        <v>175</v>
      </c>
      <c r="J27" s="7"/>
      <c r="K27" s="7" t="s">
        <v>176</v>
      </c>
      <c r="L27" s="7"/>
      <c r="M27" s="106"/>
      <c r="N27" s="106"/>
      <c r="O27" s="7"/>
      <c r="P27" s="7"/>
      <c r="Q27" s="7"/>
      <c r="R27" s="7"/>
      <c r="S27" s="7"/>
      <c r="T27" s="106"/>
      <c r="U27" s="7"/>
      <c r="V27" s="106"/>
      <c r="W27" s="7" t="s">
        <v>177</v>
      </c>
      <c r="X27" s="7" t="s">
        <v>178</v>
      </c>
      <c r="Y27" s="7" t="s">
        <v>177</v>
      </c>
      <c r="Z27" s="7" t="s">
        <v>178</v>
      </c>
      <c r="AA27" s="7" t="s">
        <v>178</v>
      </c>
      <c r="AB27" s="7"/>
      <c r="AC27" s="7" t="s">
        <v>179</v>
      </c>
      <c r="AD27" s="7" t="s">
        <v>173</v>
      </c>
      <c r="AE27" s="7" t="s">
        <v>239</v>
      </c>
      <c r="AF27" s="7"/>
      <c r="AG27" s="7"/>
      <c r="AH27" s="7" t="s">
        <v>181</v>
      </c>
      <c r="AI27" s="7" t="s">
        <v>182</v>
      </c>
      <c r="AJ27" s="120" t="s">
        <v>183</v>
      </c>
      <c r="AK27" s="122">
        <v>0.783333333333333</v>
      </c>
      <c r="AL27" s="122">
        <v>0.883333333333333</v>
      </c>
      <c r="AM27" s="123">
        <v>0</v>
      </c>
      <c r="AN27" s="7"/>
      <c r="AO27" s="7" t="s">
        <v>185</v>
      </c>
      <c r="AP27" s="7" t="s">
        <v>186</v>
      </c>
      <c r="AQ27" s="7" t="s">
        <v>63</v>
      </c>
      <c r="AR27" s="7" t="s">
        <v>174</v>
      </c>
      <c r="AS27" s="7" t="s">
        <v>33</v>
      </c>
      <c r="AT27" s="7" t="s">
        <v>36</v>
      </c>
      <c r="AU27" s="7"/>
      <c r="AV27" s="7"/>
      <c r="AW27" s="7"/>
      <c r="AX27" s="7"/>
      <c r="AY27" s="7"/>
      <c r="AZ27" s="7" t="s">
        <v>36</v>
      </c>
      <c r="BA27" s="101" t="s">
        <v>187</v>
      </c>
      <c r="BB27" s="21">
        <v>200</v>
      </c>
      <c r="BC27" s="21">
        <v>1</v>
      </c>
      <c r="BD27" s="21" t="s">
        <v>188</v>
      </c>
      <c r="BE27" s="21" t="str">
        <f t="shared" si="0"/>
        <v>PhuongTT</v>
      </c>
      <c r="BF27" s="21" t="str">
        <f t="shared" si="1"/>
        <v>VST</v>
      </c>
      <c r="BG27" s="63" t="b">
        <v>0</v>
      </c>
      <c r="BH27" s="21" t="s">
        <v>189</v>
      </c>
      <c r="BI27" s="21" t="s">
        <v>188</v>
      </c>
      <c r="BJ27" s="21" t="s">
        <v>188</v>
      </c>
      <c r="BK27" s="21" t="s">
        <v>190</v>
      </c>
      <c r="BL27" s="63" t="b">
        <v>0</v>
      </c>
    </row>
    <row r="28" s="29" customFormat="1" ht="50" customHeight="1" spans="1:64">
      <c r="A28" s="7" t="s">
        <v>240</v>
      </c>
      <c r="B28" s="7" t="s">
        <v>171</v>
      </c>
      <c r="C28" s="94" t="s">
        <v>29</v>
      </c>
      <c r="D28" s="17" t="s">
        <v>172</v>
      </c>
      <c r="E28" s="7" t="s">
        <v>173</v>
      </c>
      <c r="F28" s="7" t="s">
        <v>31</v>
      </c>
      <c r="G28" s="7" t="s">
        <v>32</v>
      </c>
      <c r="H28" s="7" t="s">
        <v>174</v>
      </c>
      <c r="I28" s="7" t="s">
        <v>175</v>
      </c>
      <c r="J28" s="7"/>
      <c r="K28" s="7" t="s">
        <v>176</v>
      </c>
      <c r="L28" s="7"/>
      <c r="M28" s="106"/>
      <c r="N28" s="106"/>
      <c r="O28" s="7"/>
      <c r="P28" s="7"/>
      <c r="Q28" s="7"/>
      <c r="R28" s="7"/>
      <c r="S28" s="7"/>
      <c r="T28" s="106"/>
      <c r="U28" s="7"/>
      <c r="V28" s="106"/>
      <c r="W28" s="7" t="s">
        <v>177</v>
      </c>
      <c r="X28" s="7" t="s">
        <v>178</v>
      </c>
      <c r="Y28" s="7" t="s">
        <v>177</v>
      </c>
      <c r="Z28" s="7" t="s">
        <v>178</v>
      </c>
      <c r="AA28" s="7" t="s">
        <v>178</v>
      </c>
      <c r="AB28" s="7"/>
      <c r="AC28" s="7" t="s">
        <v>179</v>
      </c>
      <c r="AD28" s="7" t="s">
        <v>173</v>
      </c>
      <c r="AE28" s="7" t="s">
        <v>241</v>
      </c>
      <c r="AF28" s="7"/>
      <c r="AG28" s="7"/>
      <c r="AH28" s="7" t="s">
        <v>181</v>
      </c>
      <c r="AI28" s="7" t="s">
        <v>182</v>
      </c>
      <c r="AJ28" s="120" t="s">
        <v>183</v>
      </c>
      <c r="AK28" s="122">
        <v>0.783333333333333</v>
      </c>
      <c r="AL28" s="122">
        <v>0.883333333333333</v>
      </c>
      <c r="AM28" s="123">
        <v>1</v>
      </c>
      <c r="AN28" s="7"/>
      <c r="AO28" s="7" t="s">
        <v>185</v>
      </c>
      <c r="AP28" s="7" t="s">
        <v>186</v>
      </c>
      <c r="AQ28" s="7" t="s">
        <v>63</v>
      </c>
      <c r="AR28" s="7" t="s">
        <v>174</v>
      </c>
      <c r="AS28" s="7" t="s">
        <v>33</v>
      </c>
      <c r="AT28" s="7" t="s">
        <v>36</v>
      </c>
      <c r="AU28" s="7"/>
      <c r="AV28" s="7"/>
      <c r="AW28" s="7"/>
      <c r="AX28" s="7"/>
      <c r="AY28" s="7"/>
      <c r="AZ28" s="7" t="s">
        <v>36</v>
      </c>
      <c r="BA28" s="101" t="s">
        <v>187</v>
      </c>
      <c r="BB28" s="21">
        <v>200</v>
      </c>
      <c r="BC28" s="21">
        <v>1</v>
      </c>
      <c r="BD28" s="21" t="s">
        <v>188</v>
      </c>
      <c r="BE28" s="21" t="str">
        <f t="shared" si="0"/>
        <v>PhuongTT</v>
      </c>
      <c r="BF28" s="21" t="str">
        <f t="shared" si="1"/>
        <v>VST</v>
      </c>
      <c r="BG28" s="63" t="b">
        <v>0</v>
      </c>
      <c r="BH28" s="21" t="s">
        <v>189</v>
      </c>
      <c r="BI28" s="21" t="s">
        <v>188</v>
      </c>
      <c r="BJ28" s="21" t="s">
        <v>188</v>
      </c>
      <c r="BK28" s="21" t="s">
        <v>190</v>
      </c>
      <c r="BL28" s="63" t="b">
        <v>0</v>
      </c>
    </row>
    <row r="29" s="29" customFormat="1" ht="69" customHeight="1" spans="1:64">
      <c r="A29" s="7" t="s">
        <v>242</v>
      </c>
      <c r="B29" s="7" t="s">
        <v>171</v>
      </c>
      <c r="C29" s="94" t="s">
        <v>29</v>
      </c>
      <c r="D29" s="17" t="s">
        <v>172</v>
      </c>
      <c r="E29" s="7" t="s">
        <v>173</v>
      </c>
      <c r="F29" s="7" t="s">
        <v>31</v>
      </c>
      <c r="G29" s="7" t="s">
        <v>32</v>
      </c>
      <c r="H29" s="7" t="s">
        <v>174</v>
      </c>
      <c r="I29" s="7" t="s">
        <v>175</v>
      </c>
      <c r="J29" s="7"/>
      <c r="K29" s="7" t="s">
        <v>176</v>
      </c>
      <c r="L29" s="7"/>
      <c r="M29" s="106"/>
      <c r="N29" s="106"/>
      <c r="O29" s="7"/>
      <c r="P29" s="7"/>
      <c r="Q29" s="7"/>
      <c r="R29" s="7"/>
      <c r="S29" s="7"/>
      <c r="T29" s="106"/>
      <c r="U29" s="7"/>
      <c r="V29" s="106"/>
      <c r="W29" s="7" t="s">
        <v>177</v>
      </c>
      <c r="X29" s="7" t="s">
        <v>178</v>
      </c>
      <c r="Y29" s="7" t="s">
        <v>177</v>
      </c>
      <c r="Z29" s="7" t="s">
        <v>178</v>
      </c>
      <c r="AA29" s="7" t="s">
        <v>178</v>
      </c>
      <c r="AB29" s="7"/>
      <c r="AC29" s="7" t="s">
        <v>179</v>
      </c>
      <c r="AD29" s="7" t="s">
        <v>173</v>
      </c>
      <c r="AE29" s="7" t="s">
        <v>243</v>
      </c>
      <c r="AF29" s="7"/>
      <c r="AG29" s="7"/>
      <c r="AH29" s="7" t="s">
        <v>181</v>
      </c>
      <c r="AI29" s="7" t="s">
        <v>182</v>
      </c>
      <c r="AJ29" s="120" t="s">
        <v>183</v>
      </c>
      <c r="AK29" s="122">
        <v>0.783333333333333</v>
      </c>
      <c r="AL29" s="122">
        <v>0.883333333333333</v>
      </c>
      <c r="AM29" s="123">
        <v>2</v>
      </c>
      <c r="AN29" s="7"/>
      <c r="AO29" s="7" t="s">
        <v>185</v>
      </c>
      <c r="AP29" s="7" t="s">
        <v>186</v>
      </c>
      <c r="AQ29" s="7" t="s">
        <v>63</v>
      </c>
      <c r="AR29" s="7" t="s">
        <v>174</v>
      </c>
      <c r="AS29" s="7" t="s">
        <v>33</v>
      </c>
      <c r="AT29" s="7" t="s">
        <v>36</v>
      </c>
      <c r="AU29" s="7"/>
      <c r="AV29" s="7"/>
      <c r="AW29" s="7"/>
      <c r="AX29" s="7"/>
      <c r="AY29" s="7"/>
      <c r="AZ29" s="7" t="s">
        <v>36</v>
      </c>
      <c r="BA29" s="101" t="s">
        <v>187</v>
      </c>
      <c r="BB29" s="21">
        <v>200</v>
      </c>
      <c r="BC29" s="21">
        <v>1</v>
      </c>
      <c r="BD29" s="21" t="s">
        <v>188</v>
      </c>
      <c r="BE29" s="21" t="str">
        <f t="shared" si="0"/>
        <v>PhuongTT</v>
      </c>
      <c r="BF29" s="21" t="str">
        <f t="shared" si="1"/>
        <v>VST</v>
      </c>
      <c r="BG29" s="63" t="b">
        <v>0</v>
      </c>
      <c r="BH29" s="21" t="s">
        <v>189</v>
      </c>
      <c r="BI29" s="21" t="s">
        <v>188</v>
      </c>
      <c r="BJ29" s="21" t="s">
        <v>188</v>
      </c>
      <c r="BK29" s="21" t="s">
        <v>190</v>
      </c>
      <c r="BL29" s="63" t="b">
        <v>0</v>
      </c>
    </row>
    <row r="30" s="29" customFormat="1" ht="69" customHeight="1" spans="1:64">
      <c r="A30" s="7" t="s">
        <v>244</v>
      </c>
      <c r="B30" s="7" t="s">
        <v>171</v>
      </c>
      <c r="C30" s="94" t="s">
        <v>29</v>
      </c>
      <c r="D30" s="17" t="s">
        <v>172</v>
      </c>
      <c r="E30" s="7" t="s">
        <v>173</v>
      </c>
      <c r="F30" s="7" t="s">
        <v>31</v>
      </c>
      <c r="G30" s="7" t="s">
        <v>32</v>
      </c>
      <c r="H30" s="7" t="s">
        <v>174</v>
      </c>
      <c r="I30" s="7" t="s">
        <v>175</v>
      </c>
      <c r="J30" s="7"/>
      <c r="K30" s="7" t="s">
        <v>176</v>
      </c>
      <c r="L30" s="7"/>
      <c r="M30" s="106"/>
      <c r="N30" s="106"/>
      <c r="O30" s="7"/>
      <c r="P30" s="7"/>
      <c r="Q30" s="7"/>
      <c r="R30" s="7"/>
      <c r="S30" s="7"/>
      <c r="T30" s="106"/>
      <c r="U30" s="7"/>
      <c r="V30" s="106"/>
      <c r="W30" s="7" t="s">
        <v>177</v>
      </c>
      <c r="X30" s="7" t="s">
        <v>178</v>
      </c>
      <c r="Y30" s="7" t="s">
        <v>177</v>
      </c>
      <c r="Z30" s="7" t="s">
        <v>178</v>
      </c>
      <c r="AA30" s="7" t="s">
        <v>178</v>
      </c>
      <c r="AB30" s="7"/>
      <c r="AC30" s="7" t="s">
        <v>179</v>
      </c>
      <c r="AD30" s="7" t="s">
        <v>173</v>
      </c>
      <c r="AE30" s="7" t="s">
        <v>245</v>
      </c>
      <c r="AF30" s="7"/>
      <c r="AG30" s="7"/>
      <c r="AH30" s="7" t="s">
        <v>181</v>
      </c>
      <c r="AI30" s="7" t="s">
        <v>182</v>
      </c>
      <c r="AJ30" s="120" t="s">
        <v>183</v>
      </c>
      <c r="AK30" s="122">
        <v>0.783333333333333</v>
      </c>
      <c r="AL30" s="122">
        <v>0.883333333333333</v>
      </c>
      <c r="AM30" s="123">
        <v>3</v>
      </c>
      <c r="AN30" s="7"/>
      <c r="AO30" s="7" t="s">
        <v>185</v>
      </c>
      <c r="AP30" s="7" t="s">
        <v>186</v>
      </c>
      <c r="AQ30" s="7" t="s">
        <v>63</v>
      </c>
      <c r="AR30" s="7" t="s">
        <v>174</v>
      </c>
      <c r="AS30" s="7" t="s">
        <v>33</v>
      </c>
      <c r="AT30" s="7" t="s">
        <v>36</v>
      </c>
      <c r="AU30" s="7"/>
      <c r="AV30" s="7"/>
      <c r="AW30" s="7"/>
      <c r="AX30" s="7"/>
      <c r="AY30" s="7"/>
      <c r="AZ30" s="7" t="s">
        <v>36</v>
      </c>
      <c r="BA30" s="101" t="s">
        <v>187</v>
      </c>
      <c r="BB30" s="21">
        <v>200</v>
      </c>
      <c r="BC30" s="21">
        <v>1</v>
      </c>
      <c r="BD30" s="21" t="s">
        <v>188</v>
      </c>
      <c r="BE30" s="21" t="str">
        <f t="shared" si="0"/>
        <v>PhuongTT</v>
      </c>
      <c r="BF30" s="21" t="str">
        <f t="shared" si="1"/>
        <v>VST</v>
      </c>
      <c r="BG30" s="63" t="b">
        <v>0</v>
      </c>
      <c r="BH30" s="21" t="s">
        <v>189</v>
      </c>
      <c r="BI30" s="21" t="s">
        <v>188</v>
      </c>
      <c r="BJ30" s="21" t="s">
        <v>188</v>
      </c>
      <c r="BK30" s="21" t="s">
        <v>190</v>
      </c>
      <c r="BL30" s="63" t="b">
        <v>0</v>
      </c>
    </row>
    <row r="31" s="29" customFormat="1" ht="69" customHeight="1" spans="1:64">
      <c r="A31" s="7" t="s">
        <v>246</v>
      </c>
      <c r="B31" s="7" t="s">
        <v>171</v>
      </c>
      <c r="C31" s="94" t="s">
        <v>29</v>
      </c>
      <c r="D31" s="17" t="s">
        <v>172</v>
      </c>
      <c r="E31" s="7" t="s">
        <v>173</v>
      </c>
      <c r="F31" s="7" t="s">
        <v>31</v>
      </c>
      <c r="G31" s="7" t="s">
        <v>32</v>
      </c>
      <c r="H31" s="7" t="s">
        <v>174</v>
      </c>
      <c r="I31" s="7" t="s">
        <v>175</v>
      </c>
      <c r="J31" s="7"/>
      <c r="K31" s="7" t="s">
        <v>176</v>
      </c>
      <c r="L31" s="7"/>
      <c r="M31" s="106"/>
      <c r="N31" s="106"/>
      <c r="O31" s="7"/>
      <c r="P31" s="7"/>
      <c r="Q31" s="7"/>
      <c r="R31" s="7"/>
      <c r="S31" s="7"/>
      <c r="T31" s="106"/>
      <c r="U31" s="7"/>
      <c r="V31" s="106"/>
      <c r="W31" s="7" t="s">
        <v>177</v>
      </c>
      <c r="X31" s="7" t="s">
        <v>178</v>
      </c>
      <c r="Y31" s="7" t="s">
        <v>177</v>
      </c>
      <c r="Z31" s="7" t="s">
        <v>178</v>
      </c>
      <c r="AA31" s="7" t="s">
        <v>178</v>
      </c>
      <c r="AB31" s="7"/>
      <c r="AC31" s="7" t="s">
        <v>179</v>
      </c>
      <c r="AD31" s="7" t="s">
        <v>173</v>
      </c>
      <c r="AE31" s="7" t="s">
        <v>247</v>
      </c>
      <c r="AF31" s="7"/>
      <c r="AG31" s="7"/>
      <c r="AH31" s="7" t="s">
        <v>181</v>
      </c>
      <c r="AI31" s="7" t="s">
        <v>182</v>
      </c>
      <c r="AJ31" s="120" t="s">
        <v>183</v>
      </c>
      <c r="AK31" s="122">
        <v>0.788888888888889</v>
      </c>
      <c r="AL31" s="122">
        <v>0.888888888888889</v>
      </c>
      <c r="AM31" s="123">
        <v>0</v>
      </c>
      <c r="AN31" s="7"/>
      <c r="AO31" s="7" t="s">
        <v>185</v>
      </c>
      <c r="AP31" s="7" t="s">
        <v>186</v>
      </c>
      <c r="AQ31" s="7" t="s">
        <v>63</v>
      </c>
      <c r="AR31" s="7" t="s">
        <v>174</v>
      </c>
      <c r="AS31" s="7" t="s">
        <v>33</v>
      </c>
      <c r="AT31" s="7" t="s">
        <v>36</v>
      </c>
      <c r="AU31" s="7"/>
      <c r="AV31" s="7"/>
      <c r="AW31" s="7"/>
      <c r="AX31" s="7"/>
      <c r="AY31" s="7"/>
      <c r="AZ31" s="7" t="s">
        <v>36</v>
      </c>
      <c r="BA31" s="101" t="s">
        <v>187</v>
      </c>
      <c r="BB31" s="21">
        <v>200</v>
      </c>
      <c r="BC31" s="21">
        <v>1</v>
      </c>
      <c r="BD31" s="21" t="s">
        <v>188</v>
      </c>
      <c r="BE31" s="21" t="str">
        <f t="shared" si="0"/>
        <v>PhuongTT</v>
      </c>
      <c r="BF31" s="21" t="str">
        <f t="shared" si="1"/>
        <v>VST</v>
      </c>
      <c r="BG31" s="63" t="b">
        <v>0</v>
      </c>
      <c r="BH31" s="21" t="s">
        <v>189</v>
      </c>
      <c r="BI31" s="21" t="s">
        <v>188</v>
      </c>
      <c r="BJ31" s="21" t="s">
        <v>188</v>
      </c>
      <c r="BK31" s="21" t="s">
        <v>190</v>
      </c>
      <c r="BL31" s="63" t="b">
        <v>0</v>
      </c>
    </row>
    <row r="32" s="29" customFormat="1" ht="69" customHeight="1" spans="1:64">
      <c r="A32" s="7" t="s">
        <v>248</v>
      </c>
      <c r="B32" s="7" t="s">
        <v>171</v>
      </c>
      <c r="C32" s="94" t="s">
        <v>29</v>
      </c>
      <c r="D32" s="17" t="s">
        <v>172</v>
      </c>
      <c r="E32" s="7" t="s">
        <v>173</v>
      </c>
      <c r="F32" s="7" t="s">
        <v>31</v>
      </c>
      <c r="G32" s="7" t="s">
        <v>32</v>
      </c>
      <c r="H32" s="7" t="s">
        <v>174</v>
      </c>
      <c r="I32" s="7" t="s">
        <v>175</v>
      </c>
      <c r="J32" s="7"/>
      <c r="K32" s="7" t="s">
        <v>176</v>
      </c>
      <c r="L32" s="7"/>
      <c r="M32" s="106"/>
      <c r="N32" s="106"/>
      <c r="O32" s="7"/>
      <c r="P32" s="7"/>
      <c r="Q32" s="7"/>
      <c r="R32" s="7"/>
      <c r="S32" s="7"/>
      <c r="T32" s="106"/>
      <c r="U32" s="7"/>
      <c r="V32" s="106"/>
      <c r="W32" s="7" t="s">
        <v>177</v>
      </c>
      <c r="X32" s="7" t="s">
        <v>178</v>
      </c>
      <c r="Y32" s="7" t="s">
        <v>177</v>
      </c>
      <c r="Z32" s="7" t="s">
        <v>178</v>
      </c>
      <c r="AA32" s="7" t="s">
        <v>178</v>
      </c>
      <c r="AB32" s="7"/>
      <c r="AC32" s="7" t="s">
        <v>179</v>
      </c>
      <c r="AD32" s="7" t="s">
        <v>173</v>
      </c>
      <c r="AE32" s="7" t="s">
        <v>249</v>
      </c>
      <c r="AF32" s="7"/>
      <c r="AG32" s="7"/>
      <c r="AH32" s="7" t="s">
        <v>181</v>
      </c>
      <c r="AI32" s="7" t="s">
        <v>182</v>
      </c>
      <c r="AJ32" s="120" t="s">
        <v>183</v>
      </c>
      <c r="AK32" s="122">
        <v>0.788888888888889</v>
      </c>
      <c r="AL32" s="122">
        <v>0.888888888888889</v>
      </c>
      <c r="AM32" s="123">
        <v>1</v>
      </c>
      <c r="AN32" s="7"/>
      <c r="AO32" s="7" t="s">
        <v>185</v>
      </c>
      <c r="AP32" s="7" t="s">
        <v>186</v>
      </c>
      <c r="AQ32" s="7" t="s">
        <v>63</v>
      </c>
      <c r="AR32" s="7" t="s">
        <v>174</v>
      </c>
      <c r="AS32" s="7" t="s">
        <v>33</v>
      </c>
      <c r="AT32" s="7" t="s">
        <v>36</v>
      </c>
      <c r="AU32" s="7"/>
      <c r="AV32" s="7"/>
      <c r="AW32" s="7"/>
      <c r="AX32" s="7"/>
      <c r="AY32" s="7"/>
      <c r="AZ32" s="7" t="s">
        <v>36</v>
      </c>
      <c r="BA32" s="101" t="s">
        <v>187</v>
      </c>
      <c r="BB32" s="21">
        <v>200</v>
      </c>
      <c r="BC32" s="21">
        <v>1</v>
      </c>
      <c r="BD32" s="21" t="s">
        <v>188</v>
      </c>
      <c r="BE32" s="21" t="str">
        <f t="shared" si="0"/>
        <v>PhuongTT</v>
      </c>
      <c r="BF32" s="21" t="str">
        <f t="shared" si="1"/>
        <v>VST</v>
      </c>
      <c r="BG32" s="63" t="b">
        <v>0</v>
      </c>
      <c r="BH32" s="21" t="s">
        <v>189</v>
      </c>
      <c r="BI32" s="21" t="s">
        <v>188</v>
      </c>
      <c r="BJ32" s="21" t="s">
        <v>188</v>
      </c>
      <c r="BK32" s="21" t="s">
        <v>190</v>
      </c>
      <c r="BL32" s="63" t="b">
        <v>0</v>
      </c>
    </row>
    <row r="33" s="28" customFormat="1" ht="21" customHeight="1" spans="1:52">
      <c r="A33" s="31"/>
      <c r="B33" s="32" t="s">
        <v>94</v>
      </c>
      <c r="C33" s="33"/>
      <c r="D33" s="33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49"/>
      <c r="R33" s="50"/>
      <c r="S33" s="50"/>
      <c r="T33" s="50"/>
      <c r="U33" s="50"/>
      <c r="V33" s="50"/>
      <c r="W33" s="51"/>
      <c r="X33" s="50"/>
      <c r="Y33" s="50"/>
      <c r="Z33" s="50"/>
      <c r="AA33" s="50"/>
      <c r="AB33" s="52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</row>
    <row r="34" s="29" customFormat="1" ht="50" customHeight="1" spans="1:64">
      <c r="A34" s="7" t="s">
        <v>250</v>
      </c>
      <c r="B34" s="7" t="s">
        <v>251</v>
      </c>
      <c r="C34" s="94" t="s">
        <v>29</v>
      </c>
      <c r="D34" s="17" t="s">
        <v>252</v>
      </c>
      <c r="E34" s="7" t="s">
        <v>173</v>
      </c>
      <c r="F34" s="7" t="s">
        <v>31</v>
      </c>
      <c r="G34" s="7" t="s">
        <v>32</v>
      </c>
      <c r="H34" s="7" t="s">
        <v>174</v>
      </c>
      <c r="I34" s="7" t="s">
        <v>253</v>
      </c>
      <c r="J34" s="125" t="s">
        <v>254</v>
      </c>
      <c r="K34" s="107" t="s">
        <v>255</v>
      </c>
      <c r="L34" s="7">
        <v>378</v>
      </c>
      <c r="M34" s="106" t="s">
        <v>177</v>
      </c>
      <c r="N34" s="106" t="s">
        <v>177</v>
      </c>
      <c r="O34" s="7">
        <v>1600000</v>
      </c>
      <c r="P34" s="7">
        <v>400000</v>
      </c>
      <c r="Q34" s="7" t="s">
        <v>185</v>
      </c>
      <c r="R34" s="7" t="s">
        <v>185</v>
      </c>
      <c r="S34" s="7" t="s">
        <v>185</v>
      </c>
      <c r="T34" s="106" t="s">
        <v>256</v>
      </c>
      <c r="U34" s="7">
        <v>100000</v>
      </c>
      <c r="V34" s="7" t="s">
        <v>185</v>
      </c>
      <c r="W34" s="7" t="s">
        <v>177</v>
      </c>
      <c r="X34" s="7" t="s">
        <v>178</v>
      </c>
      <c r="Y34" s="7" t="s">
        <v>177</v>
      </c>
      <c r="Z34" s="7" t="s">
        <v>178</v>
      </c>
      <c r="AA34" s="7" t="s">
        <v>178</v>
      </c>
      <c r="AB34" s="7"/>
      <c r="AC34" s="7" t="s">
        <v>179</v>
      </c>
      <c r="AD34" s="7" t="s">
        <v>173</v>
      </c>
      <c r="AE34" s="7" t="s">
        <v>257</v>
      </c>
      <c r="AF34" s="7"/>
      <c r="AG34" s="7"/>
      <c r="AH34" s="7" t="s">
        <v>181</v>
      </c>
      <c r="AI34" s="7" t="s">
        <v>182</v>
      </c>
      <c r="AJ34" s="120" t="s">
        <v>183</v>
      </c>
      <c r="AK34" s="120" t="s">
        <v>35</v>
      </c>
      <c r="AL34" s="120" t="s">
        <v>184</v>
      </c>
      <c r="AM34" s="120">
        <v>0</v>
      </c>
      <c r="AN34" s="7"/>
      <c r="AO34" s="7" t="s">
        <v>185</v>
      </c>
      <c r="AP34" s="7" t="s">
        <v>186</v>
      </c>
      <c r="AQ34" s="7" t="s">
        <v>65</v>
      </c>
      <c r="AR34" s="7">
        <v>18</v>
      </c>
      <c r="AS34" s="7" t="s">
        <v>33</v>
      </c>
      <c r="AT34" s="7" t="s">
        <v>36</v>
      </c>
      <c r="AU34" s="7"/>
      <c r="AV34" s="7"/>
      <c r="AW34" s="7"/>
      <c r="AX34" s="7"/>
      <c r="AY34" s="7"/>
      <c r="AZ34" s="7" t="s">
        <v>36</v>
      </c>
      <c r="BA34" s="101" t="s">
        <v>187</v>
      </c>
      <c r="BB34" s="21">
        <v>200</v>
      </c>
      <c r="BC34" s="21">
        <v>1</v>
      </c>
      <c r="BD34" s="21" t="s">
        <v>188</v>
      </c>
      <c r="BE34" s="21" t="str">
        <f t="shared" ref="BE34:BE63" si="2">I34</f>
        <v>VNPAY</v>
      </c>
      <c r="BF34" s="21" t="str">
        <f t="shared" ref="BF34:BF63" si="3">AQ34</f>
        <v>AGENT</v>
      </c>
      <c r="BG34" s="63" t="b">
        <v>0</v>
      </c>
      <c r="BH34" s="21" t="s">
        <v>189</v>
      </c>
      <c r="BI34" s="21" t="s">
        <v>188</v>
      </c>
      <c r="BJ34" s="21" t="s">
        <v>188</v>
      </c>
      <c r="BK34" s="21" t="s">
        <v>258</v>
      </c>
      <c r="BL34" s="63" t="b">
        <v>0</v>
      </c>
    </row>
    <row r="35" s="29" customFormat="1" ht="69" customHeight="1" spans="1:64">
      <c r="A35" s="7" t="s">
        <v>259</v>
      </c>
      <c r="B35" s="7" t="s">
        <v>251</v>
      </c>
      <c r="C35" s="94" t="s">
        <v>29</v>
      </c>
      <c r="D35" s="17" t="s">
        <v>252</v>
      </c>
      <c r="E35" s="7" t="s">
        <v>173</v>
      </c>
      <c r="F35" s="7" t="s">
        <v>31</v>
      </c>
      <c r="G35" s="7" t="s">
        <v>32</v>
      </c>
      <c r="H35" s="7" t="s">
        <v>174</v>
      </c>
      <c r="I35" s="7" t="s">
        <v>253</v>
      </c>
      <c r="J35" s="125" t="s">
        <v>254</v>
      </c>
      <c r="K35" s="107" t="s">
        <v>255</v>
      </c>
      <c r="L35" s="7">
        <v>378</v>
      </c>
      <c r="M35" s="106" t="s">
        <v>177</v>
      </c>
      <c r="N35" s="106" t="s">
        <v>177</v>
      </c>
      <c r="O35" s="7">
        <v>1600000</v>
      </c>
      <c r="P35" s="7">
        <v>400000</v>
      </c>
      <c r="Q35" s="7" t="s">
        <v>185</v>
      </c>
      <c r="R35" s="7" t="s">
        <v>185</v>
      </c>
      <c r="S35" s="7" t="s">
        <v>185</v>
      </c>
      <c r="T35" s="106" t="s">
        <v>256</v>
      </c>
      <c r="U35" s="7">
        <v>100000</v>
      </c>
      <c r="V35" s="7" t="s">
        <v>185</v>
      </c>
      <c r="W35" s="7" t="s">
        <v>177</v>
      </c>
      <c r="X35" s="7" t="s">
        <v>178</v>
      </c>
      <c r="Y35" s="7" t="s">
        <v>177</v>
      </c>
      <c r="Z35" s="7" t="s">
        <v>178</v>
      </c>
      <c r="AA35" s="7" t="s">
        <v>178</v>
      </c>
      <c r="AB35" s="7"/>
      <c r="AC35" s="7" t="s">
        <v>179</v>
      </c>
      <c r="AD35" s="7" t="s">
        <v>173</v>
      </c>
      <c r="AE35" s="7" t="s">
        <v>260</v>
      </c>
      <c r="AF35" s="7"/>
      <c r="AG35" s="7"/>
      <c r="AH35" s="7" t="s">
        <v>181</v>
      </c>
      <c r="AI35" s="7" t="s">
        <v>182</v>
      </c>
      <c r="AJ35" s="120" t="s">
        <v>183</v>
      </c>
      <c r="AK35" s="120" t="s">
        <v>35</v>
      </c>
      <c r="AL35" s="120" t="s">
        <v>184</v>
      </c>
      <c r="AM35" s="120">
        <v>1</v>
      </c>
      <c r="AN35" s="7"/>
      <c r="AO35" s="7" t="s">
        <v>185</v>
      </c>
      <c r="AP35" s="7" t="s">
        <v>186</v>
      </c>
      <c r="AQ35" s="7" t="s">
        <v>65</v>
      </c>
      <c r="AR35" s="7">
        <v>18</v>
      </c>
      <c r="AS35" s="7" t="s">
        <v>33</v>
      </c>
      <c r="AT35" s="7" t="s">
        <v>36</v>
      </c>
      <c r="AU35" s="7"/>
      <c r="AV35" s="7"/>
      <c r="AW35" s="7"/>
      <c r="AX35" s="7"/>
      <c r="AY35" s="7"/>
      <c r="AZ35" s="7" t="s">
        <v>36</v>
      </c>
      <c r="BA35" s="101" t="s">
        <v>187</v>
      </c>
      <c r="BB35" s="21">
        <v>200</v>
      </c>
      <c r="BC35" s="21">
        <v>1</v>
      </c>
      <c r="BD35" s="21" t="s">
        <v>188</v>
      </c>
      <c r="BE35" s="21" t="str">
        <f t="shared" si="2"/>
        <v>VNPAY</v>
      </c>
      <c r="BF35" s="21" t="str">
        <f t="shared" si="3"/>
        <v>AGENT</v>
      </c>
      <c r="BG35" s="63" t="b">
        <v>0</v>
      </c>
      <c r="BH35" s="21" t="s">
        <v>189</v>
      </c>
      <c r="BI35" s="21" t="s">
        <v>188</v>
      </c>
      <c r="BJ35" s="21" t="s">
        <v>188</v>
      </c>
      <c r="BK35" s="21" t="s">
        <v>258</v>
      </c>
      <c r="BL35" s="63" t="b">
        <v>0</v>
      </c>
    </row>
    <row r="36" s="29" customFormat="1" ht="69" customHeight="1" spans="1:64">
      <c r="A36" s="7" t="s">
        <v>261</v>
      </c>
      <c r="B36" s="7" t="s">
        <v>251</v>
      </c>
      <c r="C36" s="94" t="s">
        <v>29</v>
      </c>
      <c r="D36" s="17" t="s">
        <v>252</v>
      </c>
      <c r="E36" s="7" t="s">
        <v>173</v>
      </c>
      <c r="F36" s="7" t="s">
        <v>31</v>
      </c>
      <c r="G36" s="7" t="s">
        <v>32</v>
      </c>
      <c r="H36" s="7" t="s">
        <v>174</v>
      </c>
      <c r="I36" s="7" t="s">
        <v>253</v>
      </c>
      <c r="J36" s="125" t="s">
        <v>254</v>
      </c>
      <c r="K36" s="107" t="s">
        <v>255</v>
      </c>
      <c r="L36" s="7">
        <v>378</v>
      </c>
      <c r="M36" s="106" t="s">
        <v>177</v>
      </c>
      <c r="N36" s="106" t="s">
        <v>177</v>
      </c>
      <c r="O36" s="7">
        <v>1600000</v>
      </c>
      <c r="P36" s="7">
        <v>400000</v>
      </c>
      <c r="Q36" s="7" t="s">
        <v>185</v>
      </c>
      <c r="R36" s="7" t="s">
        <v>185</v>
      </c>
      <c r="S36" s="7" t="s">
        <v>185</v>
      </c>
      <c r="T36" s="106" t="s">
        <v>256</v>
      </c>
      <c r="U36" s="7">
        <v>100000</v>
      </c>
      <c r="V36" s="7" t="s">
        <v>185</v>
      </c>
      <c r="W36" s="7" t="s">
        <v>177</v>
      </c>
      <c r="X36" s="7" t="s">
        <v>178</v>
      </c>
      <c r="Y36" s="7" t="s">
        <v>177</v>
      </c>
      <c r="Z36" s="7" t="s">
        <v>178</v>
      </c>
      <c r="AA36" s="7" t="s">
        <v>178</v>
      </c>
      <c r="AB36" s="7"/>
      <c r="AC36" s="7" t="s">
        <v>179</v>
      </c>
      <c r="AD36" s="7" t="s">
        <v>173</v>
      </c>
      <c r="AE36" s="7" t="s">
        <v>262</v>
      </c>
      <c r="AF36" s="7"/>
      <c r="AG36" s="7"/>
      <c r="AH36" s="7" t="s">
        <v>181</v>
      </c>
      <c r="AI36" s="7" t="s">
        <v>182</v>
      </c>
      <c r="AJ36" s="120" t="s">
        <v>183</v>
      </c>
      <c r="AK36" s="120" t="s">
        <v>35</v>
      </c>
      <c r="AL36" s="120" t="s">
        <v>184</v>
      </c>
      <c r="AM36" s="120">
        <v>2</v>
      </c>
      <c r="AN36" s="7"/>
      <c r="AO36" s="7" t="s">
        <v>185</v>
      </c>
      <c r="AP36" s="7" t="s">
        <v>186</v>
      </c>
      <c r="AQ36" s="7" t="s">
        <v>65</v>
      </c>
      <c r="AR36" s="7">
        <v>18</v>
      </c>
      <c r="AS36" s="7" t="s">
        <v>33</v>
      </c>
      <c r="AT36" s="7" t="s">
        <v>36</v>
      </c>
      <c r="AU36" s="7"/>
      <c r="AV36" s="7"/>
      <c r="AW36" s="7"/>
      <c r="AX36" s="7"/>
      <c r="AY36" s="7"/>
      <c r="AZ36" s="7" t="s">
        <v>36</v>
      </c>
      <c r="BA36" s="101" t="s">
        <v>187</v>
      </c>
      <c r="BB36" s="21">
        <v>200</v>
      </c>
      <c r="BC36" s="21">
        <v>1</v>
      </c>
      <c r="BD36" s="21" t="s">
        <v>188</v>
      </c>
      <c r="BE36" s="21" t="str">
        <f t="shared" si="2"/>
        <v>VNPAY</v>
      </c>
      <c r="BF36" s="21" t="str">
        <f t="shared" si="3"/>
        <v>AGENT</v>
      </c>
      <c r="BG36" s="63" t="b">
        <v>0</v>
      </c>
      <c r="BH36" s="21" t="s">
        <v>189</v>
      </c>
      <c r="BI36" s="21" t="s">
        <v>188</v>
      </c>
      <c r="BJ36" s="21" t="s">
        <v>188</v>
      </c>
      <c r="BK36" s="21" t="s">
        <v>258</v>
      </c>
      <c r="BL36" s="63" t="b">
        <v>0</v>
      </c>
    </row>
    <row r="37" s="29" customFormat="1" ht="69" customHeight="1" spans="1:64">
      <c r="A37" s="7" t="s">
        <v>263</v>
      </c>
      <c r="B37" s="7" t="s">
        <v>251</v>
      </c>
      <c r="C37" s="94" t="s">
        <v>29</v>
      </c>
      <c r="D37" s="17" t="s">
        <v>252</v>
      </c>
      <c r="E37" s="7" t="s">
        <v>173</v>
      </c>
      <c r="F37" s="7" t="s">
        <v>31</v>
      </c>
      <c r="G37" s="7" t="s">
        <v>32</v>
      </c>
      <c r="H37" s="7" t="s">
        <v>174</v>
      </c>
      <c r="I37" s="7" t="s">
        <v>253</v>
      </c>
      <c r="J37" s="125" t="s">
        <v>254</v>
      </c>
      <c r="K37" s="107" t="s">
        <v>255</v>
      </c>
      <c r="L37" s="7">
        <v>378</v>
      </c>
      <c r="M37" s="106" t="s">
        <v>177</v>
      </c>
      <c r="N37" s="106" t="s">
        <v>177</v>
      </c>
      <c r="O37" s="7">
        <v>1600000</v>
      </c>
      <c r="P37" s="7">
        <v>400000</v>
      </c>
      <c r="Q37" s="7" t="s">
        <v>185</v>
      </c>
      <c r="R37" s="7" t="s">
        <v>185</v>
      </c>
      <c r="S37" s="7" t="s">
        <v>185</v>
      </c>
      <c r="T37" s="106" t="s">
        <v>256</v>
      </c>
      <c r="U37" s="7">
        <v>100000</v>
      </c>
      <c r="V37" s="7" t="s">
        <v>185</v>
      </c>
      <c r="W37" s="7" t="s">
        <v>177</v>
      </c>
      <c r="X37" s="7" t="s">
        <v>178</v>
      </c>
      <c r="Y37" s="7" t="s">
        <v>177</v>
      </c>
      <c r="Z37" s="7" t="s">
        <v>178</v>
      </c>
      <c r="AA37" s="7" t="s">
        <v>178</v>
      </c>
      <c r="AB37" s="7"/>
      <c r="AC37" s="7" t="s">
        <v>179</v>
      </c>
      <c r="AD37" s="7" t="s">
        <v>173</v>
      </c>
      <c r="AE37" s="7" t="s">
        <v>264</v>
      </c>
      <c r="AF37" s="7"/>
      <c r="AG37" s="7"/>
      <c r="AH37" s="7" t="s">
        <v>181</v>
      </c>
      <c r="AI37" s="7" t="s">
        <v>182</v>
      </c>
      <c r="AJ37" s="120" t="s">
        <v>183</v>
      </c>
      <c r="AK37" s="120" t="s">
        <v>35</v>
      </c>
      <c r="AL37" s="120" t="s">
        <v>184</v>
      </c>
      <c r="AM37" s="120">
        <v>3</v>
      </c>
      <c r="AN37" s="7"/>
      <c r="AO37" s="7" t="s">
        <v>185</v>
      </c>
      <c r="AP37" s="7" t="s">
        <v>186</v>
      </c>
      <c r="AQ37" s="7" t="s">
        <v>65</v>
      </c>
      <c r="AR37" s="7">
        <v>18</v>
      </c>
      <c r="AS37" s="7" t="s">
        <v>33</v>
      </c>
      <c r="AT37" s="7" t="s">
        <v>36</v>
      </c>
      <c r="AU37" s="7"/>
      <c r="AV37" s="7"/>
      <c r="AW37" s="7"/>
      <c r="AX37" s="7"/>
      <c r="AY37" s="7"/>
      <c r="AZ37" s="7" t="s">
        <v>36</v>
      </c>
      <c r="BA37" s="101" t="s">
        <v>187</v>
      </c>
      <c r="BB37" s="21">
        <v>200</v>
      </c>
      <c r="BC37" s="21">
        <v>1</v>
      </c>
      <c r="BD37" s="21" t="s">
        <v>188</v>
      </c>
      <c r="BE37" s="21" t="str">
        <f t="shared" si="2"/>
        <v>VNPAY</v>
      </c>
      <c r="BF37" s="21" t="str">
        <f t="shared" si="3"/>
        <v>AGENT</v>
      </c>
      <c r="BG37" s="63" t="b">
        <v>0</v>
      </c>
      <c r="BH37" s="21" t="s">
        <v>189</v>
      </c>
      <c r="BI37" s="21" t="s">
        <v>188</v>
      </c>
      <c r="BJ37" s="21" t="s">
        <v>188</v>
      </c>
      <c r="BK37" s="21" t="s">
        <v>258</v>
      </c>
      <c r="BL37" s="63" t="b">
        <v>0</v>
      </c>
    </row>
    <row r="38" s="29" customFormat="1" ht="69" customHeight="1" spans="1:64">
      <c r="A38" s="7" t="s">
        <v>265</v>
      </c>
      <c r="B38" s="7" t="s">
        <v>251</v>
      </c>
      <c r="C38" s="94" t="s">
        <v>29</v>
      </c>
      <c r="D38" s="17" t="s">
        <v>252</v>
      </c>
      <c r="E38" s="7" t="s">
        <v>173</v>
      </c>
      <c r="F38" s="7" t="s">
        <v>31</v>
      </c>
      <c r="G38" s="7" t="s">
        <v>32</v>
      </c>
      <c r="H38" s="7" t="s">
        <v>174</v>
      </c>
      <c r="I38" s="7" t="s">
        <v>253</v>
      </c>
      <c r="J38" s="125" t="s">
        <v>254</v>
      </c>
      <c r="K38" s="107" t="s">
        <v>255</v>
      </c>
      <c r="L38" s="7">
        <v>378</v>
      </c>
      <c r="M38" s="106" t="s">
        <v>177</v>
      </c>
      <c r="N38" s="106" t="s">
        <v>177</v>
      </c>
      <c r="O38" s="7">
        <v>1600000</v>
      </c>
      <c r="P38" s="7">
        <v>400000</v>
      </c>
      <c r="Q38" s="7" t="s">
        <v>185</v>
      </c>
      <c r="R38" s="7" t="s">
        <v>185</v>
      </c>
      <c r="S38" s="7" t="s">
        <v>185</v>
      </c>
      <c r="T38" s="106" t="s">
        <v>256</v>
      </c>
      <c r="U38" s="7">
        <v>100000</v>
      </c>
      <c r="V38" s="7" t="s">
        <v>185</v>
      </c>
      <c r="W38" s="7" t="s">
        <v>177</v>
      </c>
      <c r="X38" s="7" t="s">
        <v>178</v>
      </c>
      <c r="Y38" s="7" t="s">
        <v>177</v>
      </c>
      <c r="Z38" s="7" t="s">
        <v>178</v>
      </c>
      <c r="AA38" s="7" t="s">
        <v>178</v>
      </c>
      <c r="AB38" s="7"/>
      <c r="AC38" s="7" t="s">
        <v>179</v>
      </c>
      <c r="AD38" s="7" t="s">
        <v>173</v>
      </c>
      <c r="AE38" s="7" t="s">
        <v>266</v>
      </c>
      <c r="AF38" s="7"/>
      <c r="AG38" s="7"/>
      <c r="AH38" s="7" t="s">
        <v>181</v>
      </c>
      <c r="AI38" s="7" t="s">
        <v>182</v>
      </c>
      <c r="AJ38" s="120" t="s">
        <v>183</v>
      </c>
      <c r="AK38" s="120" t="s">
        <v>42</v>
      </c>
      <c r="AL38" s="120" t="s">
        <v>199</v>
      </c>
      <c r="AM38" s="120">
        <v>0</v>
      </c>
      <c r="AN38" s="7"/>
      <c r="AO38" s="7" t="s">
        <v>185</v>
      </c>
      <c r="AP38" s="7" t="s">
        <v>186</v>
      </c>
      <c r="AQ38" s="7" t="s">
        <v>65</v>
      </c>
      <c r="AR38" s="7">
        <v>18</v>
      </c>
      <c r="AS38" s="7" t="s">
        <v>33</v>
      </c>
      <c r="AT38" s="7" t="s">
        <v>36</v>
      </c>
      <c r="AU38" s="7"/>
      <c r="AV38" s="7"/>
      <c r="AW38" s="7"/>
      <c r="AX38" s="7"/>
      <c r="AY38" s="7"/>
      <c r="AZ38" s="7" t="s">
        <v>36</v>
      </c>
      <c r="BA38" s="101" t="s">
        <v>187</v>
      </c>
      <c r="BB38" s="21">
        <v>200</v>
      </c>
      <c r="BC38" s="21">
        <v>1</v>
      </c>
      <c r="BD38" s="21" t="s">
        <v>188</v>
      </c>
      <c r="BE38" s="21" t="str">
        <f t="shared" si="2"/>
        <v>VNPAY</v>
      </c>
      <c r="BF38" s="21" t="str">
        <f t="shared" si="3"/>
        <v>AGENT</v>
      </c>
      <c r="BG38" s="63" t="b">
        <v>0</v>
      </c>
      <c r="BH38" s="21" t="s">
        <v>189</v>
      </c>
      <c r="BI38" s="21" t="s">
        <v>188</v>
      </c>
      <c r="BJ38" s="21" t="s">
        <v>188</v>
      </c>
      <c r="BK38" s="21" t="s">
        <v>258</v>
      </c>
      <c r="BL38" s="63" t="b">
        <v>0</v>
      </c>
    </row>
    <row r="39" s="29" customFormat="1" ht="50" customHeight="1" spans="1:64">
      <c r="A39" s="7" t="s">
        <v>267</v>
      </c>
      <c r="B39" s="7" t="s">
        <v>251</v>
      </c>
      <c r="C39" s="94" t="s">
        <v>29</v>
      </c>
      <c r="D39" s="17" t="s">
        <v>252</v>
      </c>
      <c r="E39" s="7" t="s">
        <v>173</v>
      </c>
      <c r="F39" s="7" t="s">
        <v>31</v>
      </c>
      <c r="G39" s="7" t="s">
        <v>32</v>
      </c>
      <c r="H39" s="7" t="s">
        <v>174</v>
      </c>
      <c r="I39" s="7" t="s">
        <v>253</v>
      </c>
      <c r="J39" s="125" t="s">
        <v>254</v>
      </c>
      <c r="K39" s="107" t="s">
        <v>255</v>
      </c>
      <c r="L39" s="7">
        <v>378</v>
      </c>
      <c r="M39" s="106" t="s">
        <v>177</v>
      </c>
      <c r="N39" s="106" t="s">
        <v>177</v>
      </c>
      <c r="O39" s="7">
        <v>1600000</v>
      </c>
      <c r="P39" s="7">
        <v>400000</v>
      </c>
      <c r="Q39" s="7" t="s">
        <v>185</v>
      </c>
      <c r="R39" s="7" t="s">
        <v>185</v>
      </c>
      <c r="S39" s="7" t="s">
        <v>185</v>
      </c>
      <c r="T39" s="106" t="s">
        <v>256</v>
      </c>
      <c r="U39" s="7">
        <v>100000</v>
      </c>
      <c r="V39" s="7" t="s">
        <v>185</v>
      </c>
      <c r="W39" s="7" t="s">
        <v>177</v>
      </c>
      <c r="X39" s="7" t="s">
        <v>178</v>
      </c>
      <c r="Y39" s="7" t="s">
        <v>177</v>
      </c>
      <c r="Z39" s="7" t="s">
        <v>178</v>
      </c>
      <c r="AA39" s="7" t="s">
        <v>178</v>
      </c>
      <c r="AB39" s="7"/>
      <c r="AC39" s="7" t="s">
        <v>179</v>
      </c>
      <c r="AD39" s="7" t="s">
        <v>173</v>
      </c>
      <c r="AE39" s="7" t="s">
        <v>268</v>
      </c>
      <c r="AF39" s="7"/>
      <c r="AG39" s="7"/>
      <c r="AH39" s="7" t="s">
        <v>181</v>
      </c>
      <c r="AI39" s="7" t="s">
        <v>182</v>
      </c>
      <c r="AJ39" s="120" t="s">
        <v>183</v>
      </c>
      <c r="AK39" s="95" t="s">
        <v>42</v>
      </c>
      <c r="AL39" s="95" t="s">
        <v>199</v>
      </c>
      <c r="AM39" s="95">
        <v>1</v>
      </c>
      <c r="AN39" s="7"/>
      <c r="AO39" s="7" t="s">
        <v>185</v>
      </c>
      <c r="AP39" s="7" t="s">
        <v>186</v>
      </c>
      <c r="AQ39" s="7" t="s">
        <v>65</v>
      </c>
      <c r="AR39" s="7">
        <v>18</v>
      </c>
      <c r="AS39" s="7" t="s">
        <v>33</v>
      </c>
      <c r="AT39" s="7" t="s">
        <v>36</v>
      </c>
      <c r="AU39" s="7"/>
      <c r="AV39" s="7"/>
      <c r="AW39" s="7"/>
      <c r="AX39" s="7"/>
      <c r="AY39" s="7"/>
      <c r="AZ39" s="7" t="s">
        <v>36</v>
      </c>
      <c r="BA39" s="101" t="s">
        <v>187</v>
      </c>
      <c r="BB39" s="21">
        <v>200</v>
      </c>
      <c r="BC39" s="21">
        <v>1</v>
      </c>
      <c r="BD39" s="21" t="s">
        <v>188</v>
      </c>
      <c r="BE39" s="21" t="str">
        <f t="shared" si="2"/>
        <v>VNPAY</v>
      </c>
      <c r="BF39" s="21" t="str">
        <f t="shared" si="3"/>
        <v>AGENT</v>
      </c>
      <c r="BG39" s="63" t="b">
        <v>0</v>
      </c>
      <c r="BH39" s="21" t="s">
        <v>189</v>
      </c>
      <c r="BI39" s="21" t="s">
        <v>188</v>
      </c>
      <c r="BJ39" s="21" t="s">
        <v>188</v>
      </c>
      <c r="BK39" s="21" t="s">
        <v>258</v>
      </c>
      <c r="BL39" s="63" t="b">
        <v>0</v>
      </c>
    </row>
    <row r="40" s="29" customFormat="1" ht="69" customHeight="1" spans="1:64">
      <c r="A40" s="7" t="s">
        <v>269</v>
      </c>
      <c r="B40" s="7" t="s">
        <v>251</v>
      </c>
      <c r="C40" s="94" t="s">
        <v>29</v>
      </c>
      <c r="D40" s="17" t="s">
        <v>252</v>
      </c>
      <c r="E40" s="7" t="s">
        <v>173</v>
      </c>
      <c r="F40" s="7" t="s">
        <v>31</v>
      </c>
      <c r="G40" s="7" t="s">
        <v>32</v>
      </c>
      <c r="H40" s="7" t="s">
        <v>174</v>
      </c>
      <c r="I40" s="7" t="s">
        <v>253</v>
      </c>
      <c r="J40" s="125" t="s">
        <v>254</v>
      </c>
      <c r="K40" s="107" t="s">
        <v>255</v>
      </c>
      <c r="L40" s="7">
        <v>378</v>
      </c>
      <c r="M40" s="106" t="s">
        <v>177</v>
      </c>
      <c r="N40" s="106" t="s">
        <v>177</v>
      </c>
      <c r="O40" s="7">
        <v>1600000</v>
      </c>
      <c r="P40" s="7">
        <v>400000</v>
      </c>
      <c r="Q40" s="7" t="s">
        <v>185</v>
      </c>
      <c r="R40" s="7" t="s">
        <v>185</v>
      </c>
      <c r="S40" s="7" t="s">
        <v>185</v>
      </c>
      <c r="T40" s="106" t="s">
        <v>256</v>
      </c>
      <c r="U40" s="7">
        <v>100000</v>
      </c>
      <c r="V40" s="7" t="s">
        <v>185</v>
      </c>
      <c r="W40" s="7" t="s">
        <v>177</v>
      </c>
      <c r="X40" s="7" t="s">
        <v>178</v>
      </c>
      <c r="Y40" s="7" t="s">
        <v>177</v>
      </c>
      <c r="Z40" s="7" t="s">
        <v>178</v>
      </c>
      <c r="AA40" s="7" t="s">
        <v>178</v>
      </c>
      <c r="AB40" s="7"/>
      <c r="AC40" s="7" t="s">
        <v>179</v>
      </c>
      <c r="AD40" s="7" t="s">
        <v>173</v>
      </c>
      <c r="AE40" s="7" t="s">
        <v>270</v>
      </c>
      <c r="AF40" s="7"/>
      <c r="AG40" s="7"/>
      <c r="AH40" s="7" t="s">
        <v>181</v>
      </c>
      <c r="AI40" s="7" t="s">
        <v>182</v>
      </c>
      <c r="AJ40" s="120" t="s">
        <v>183</v>
      </c>
      <c r="AK40" s="95" t="s">
        <v>42</v>
      </c>
      <c r="AL40" s="95" t="s">
        <v>199</v>
      </c>
      <c r="AM40" s="95">
        <v>2</v>
      </c>
      <c r="AN40" s="7"/>
      <c r="AO40" s="7" t="s">
        <v>185</v>
      </c>
      <c r="AP40" s="7" t="s">
        <v>186</v>
      </c>
      <c r="AQ40" s="7" t="s">
        <v>65</v>
      </c>
      <c r="AR40" s="7">
        <v>18</v>
      </c>
      <c r="AS40" s="7" t="s">
        <v>33</v>
      </c>
      <c r="AT40" s="7" t="s">
        <v>36</v>
      </c>
      <c r="AU40" s="7"/>
      <c r="AV40" s="7"/>
      <c r="AW40" s="7"/>
      <c r="AX40" s="7"/>
      <c r="AY40" s="7"/>
      <c r="AZ40" s="7" t="s">
        <v>36</v>
      </c>
      <c r="BA40" s="101" t="s">
        <v>187</v>
      </c>
      <c r="BB40" s="21">
        <v>200</v>
      </c>
      <c r="BC40" s="21">
        <v>1</v>
      </c>
      <c r="BD40" s="21" t="s">
        <v>188</v>
      </c>
      <c r="BE40" s="21" t="str">
        <f t="shared" si="2"/>
        <v>VNPAY</v>
      </c>
      <c r="BF40" s="21" t="str">
        <f t="shared" si="3"/>
        <v>AGENT</v>
      </c>
      <c r="BG40" s="63" t="b">
        <v>0</v>
      </c>
      <c r="BH40" s="21" t="s">
        <v>189</v>
      </c>
      <c r="BI40" s="21" t="s">
        <v>188</v>
      </c>
      <c r="BJ40" s="21" t="s">
        <v>188</v>
      </c>
      <c r="BK40" s="21" t="s">
        <v>258</v>
      </c>
      <c r="BL40" s="63" t="b">
        <v>0</v>
      </c>
    </row>
    <row r="41" s="29" customFormat="1" ht="69" customHeight="1" spans="1:64">
      <c r="A41" s="7" t="s">
        <v>271</v>
      </c>
      <c r="B41" s="7" t="s">
        <v>251</v>
      </c>
      <c r="C41" s="94" t="s">
        <v>29</v>
      </c>
      <c r="D41" s="17" t="s">
        <v>252</v>
      </c>
      <c r="E41" s="7" t="s">
        <v>173</v>
      </c>
      <c r="F41" s="7" t="s">
        <v>31</v>
      </c>
      <c r="G41" s="7" t="s">
        <v>32</v>
      </c>
      <c r="H41" s="7" t="s">
        <v>174</v>
      </c>
      <c r="I41" s="7" t="s">
        <v>253</v>
      </c>
      <c r="J41" s="125" t="s">
        <v>254</v>
      </c>
      <c r="K41" s="107" t="s">
        <v>255</v>
      </c>
      <c r="L41" s="7">
        <v>378</v>
      </c>
      <c r="M41" s="106" t="s">
        <v>177</v>
      </c>
      <c r="N41" s="106" t="s">
        <v>177</v>
      </c>
      <c r="O41" s="7">
        <v>1600000</v>
      </c>
      <c r="P41" s="7">
        <v>400000</v>
      </c>
      <c r="Q41" s="7" t="s">
        <v>185</v>
      </c>
      <c r="R41" s="7" t="s">
        <v>185</v>
      </c>
      <c r="S41" s="7" t="s">
        <v>185</v>
      </c>
      <c r="T41" s="106" t="s">
        <v>256</v>
      </c>
      <c r="U41" s="7">
        <v>100000</v>
      </c>
      <c r="V41" s="7" t="s">
        <v>185</v>
      </c>
      <c r="W41" s="7" t="s">
        <v>177</v>
      </c>
      <c r="X41" s="7" t="s">
        <v>178</v>
      </c>
      <c r="Y41" s="7" t="s">
        <v>177</v>
      </c>
      <c r="Z41" s="7" t="s">
        <v>178</v>
      </c>
      <c r="AA41" s="7" t="s">
        <v>178</v>
      </c>
      <c r="AB41" s="7"/>
      <c r="AC41" s="7" t="s">
        <v>179</v>
      </c>
      <c r="AD41" s="7" t="s">
        <v>173</v>
      </c>
      <c r="AE41" s="7" t="s">
        <v>272</v>
      </c>
      <c r="AF41" s="7"/>
      <c r="AG41" s="7"/>
      <c r="AH41" s="7" t="s">
        <v>181</v>
      </c>
      <c r="AI41" s="7" t="s">
        <v>182</v>
      </c>
      <c r="AJ41" s="120" t="s">
        <v>183</v>
      </c>
      <c r="AK41" s="95" t="s">
        <v>42</v>
      </c>
      <c r="AL41" s="95" t="s">
        <v>199</v>
      </c>
      <c r="AM41" s="95">
        <v>3</v>
      </c>
      <c r="AN41" s="7"/>
      <c r="AO41" s="7" t="s">
        <v>185</v>
      </c>
      <c r="AP41" s="7" t="s">
        <v>186</v>
      </c>
      <c r="AQ41" s="7" t="s">
        <v>65</v>
      </c>
      <c r="AR41" s="7">
        <v>18</v>
      </c>
      <c r="AS41" s="7" t="s">
        <v>33</v>
      </c>
      <c r="AT41" s="7" t="s">
        <v>36</v>
      </c>
      <c r="AU41" s="7"/>
      <c r="AV41" s="7"/>
      <c r="AW41" s="7"/>
      <c r="AX41" s="7"/>
      <c r="AY41" s="7"/>
      <c r="AZ41" s="7" t="s">
        <v>36</v>
      </c>
      <c r="BA41" s="101" t="s">
        <v>187</v>
      </c>
      <c r="BB41" s="21">
        <v>200</v>
      </c>
      <c r="BC41" s="21">
        <v>1</v>
      </c>
      <c r="BD41" s="21" t="s">
        <v>188</v>
      </c>
      <c r="BE41" s="21" t="str">
        <f t="shared" si="2"/>
        <v>VNPAY</v>
      </c>
      <c r="BF41" s="21" t="str">
        <f t="shared" si="3"/>
        <v>AGENT</v>
      </c>
      <c r="BG41" s="63" t="b">
        <v>0</v>
      </c>
      <c r="BH41" s="21" t="s">
        <v>189</v>
      </c>
      <c r="BI41" s="21" t="s">
        <v>188</v>
      </c>
      <c r="BJ41" s="21" t="s">
        <v>188</v>
      </c>
      <c r="BK41" s="21" t="s">
        <v>258</v>
      </c>
      <c r="BL41" s="63" t="b">
        <v>0</v>
      </c>
    </row>
    <row r="42" s="29" customFormat="1" ht="69" customHeight="1" spans="1:64">
      <c r="A42" s="7" t="s">
        <v>273</v>
      </c>
      <c r="B42" s="7" t="s">
        <v>251</v>
      </c>
      <c r="C42" s="94" t="s">
        <v>29</v>
      </c>
      <c r="D42" s="17" t="s">
        <v>252</v>
      </c>
      <c r="E42" s="7" t="s">
        <v>173</v>
      </c>
      <c r="F42" s="7" t="s">
        <v>31</v>
      </c>
      <c r="G42" s="7" t="s">
        <v>32</v>
      </c>
      <c r="H42" s="7" t="s">
        <v>174</v>
      </c>
      <c r="I42" s="7" t="s">
        <v>253</v>
      </c>
      <c r="J42" s="125" t="s">
        <v>254</v>
      </c>
      <c r="K42" s="107" t="s">
        <v>255</v>
      </c>
      <c r="L42" s="7">
        <v>378</v>
      </c>
      <c r="M42" s="106" t="s">
        <v>177</v>
      </c>
      <c r="N42" s="106" t="s">
        <v>177</v>
      </c>
      <c r="O42" s="7">
        <v>1600000</v>
      </c>
      <c r="P42" s="7">
        <v>400000</v>
      </c>
      <c r="Q42" s="7" t="s">
        <v>185</v>
      </c>
      <c r="R42" s="7" t="s">
        <v>185</v>
      </c>
      <c r="S42" s="7" t="s">
        <v>185</v>
      </c>
      <c r="T42" s="106" t="s">
        <v>256</v>
      </c>
      <c r="U42" s="7">
        <v>100000</v>
      </c>
      <c r="V42" s="7" t="s">
        <v>185</v>
      </c>
      <c r="W42" s="7" t="s">
        <v>177</v>
      </c>
      <c r="X42" s="7" t="s">
        <v>178</v>
      </c>
      <c r="Y42" s="7" t="s">
        <v>177</v>
      </c>
      <c r="Z42" s="7" t="s">
        <v>178</v>
      </c>
      <c r="AA42" s="7" t="s">
        <v>178</v>
      </c>
      <c r="AB42" s="7"/>
      <c r="AC42" s="7" t="s">
        <v>179</v>
      </c>
      <c r="AD42" s="7" t="s">
        <v>173</v>
      </c>
      <c r="AE42" s="7" t="s">
        <v>274</v>
      </c>
      <c r="AF42" s="7"/>
      <c r="AG42" s="7"/>
      <c r="AH42" s="7" t="s">
        <v>181</v>
      </c>
      <c r="AI42" s="7" t="s">
        <v>182</v>
      </c>
      <c r="AJ42" s="120" t="s">
        <v>183</v>
      </c>
      <c r="AK42" s="121">
        <v>0.761111111111111</v>
      </c>
      <c r="AL42" s="121">
        <v>0.861111111111111</v>
      </c>
      <c r="AM42" s="117">
        <v>0</v>
      </c>
      <c r="AN42" s="7"/>
      <c r="AO42" s="7" t="s">
        <v>185</v>
      </c>
      <c r="AP42" s="7" t="s">
        <v>186</v>
      </c>
      <c r="AQ42" s="7" t="s">
        <v>65</v>
      </c>
      <c r="AR42" s="7">
        <v>18</v>
      </c>
      <c r="AS42" s="7" t="s">
        <v>33</v>
      </c>
      <c r="AT42" s="7" t="s">
        <v>36</v>
      </c>
      <c r="AU42" s="7"/>
      <c r="AV42" s="7"/>
      <c r="AW42" s="7"/>
      <c r="AX42" s="7"/>
      <c r="AY42" s="7"/>
      <c r="AZ42" s="7" t="s">
        <v>36</v>
      </c>
      <c r="BA42" s="101" t="s">
        <v>187</v>
      </c>
      <c r="BB42" s="21">
        <v>200</v>
      </c>
      <c r="BC42" s="21">
        <v>1</v>
      </c>
      <c r="BD42" s="21" t="s">
        <v>188</v>
      </c>
      <c r="BE42" s="21" t="str">
        <f t="shared" si="2"/>
        <v>VNPAY</v>
      </c>
      <c r="BF42" s="21" t="str">
        <f t="shared" si="3"/>
        <v>AGENT</v>
      </c>
      <c r="BG42" s="63" t="b">
        <v>0</v>
      </c>
      <c r="BH42" s="21" t="s">
        <v>189</v>
      </c>
      <c r="BI42" s="21" t="s">
        <v>188</v>
      </c>
      <c r="BJ42" s="21" t="s">
        <v>188</v>
      </c>
      <c r="BK42" s="21" t="s">
        <v>258</v>
      </c>
      <c r="BL42" s="63" t="b">
        <v>0</v>
      </c>
    </row>
    <row r="43" s="29" customFormat="1" ht="69" customHeight="1" spans="1:64">
      <c r="A43" s="7" t="s">
        <v>275</v>
      </c>
      <c r="B43" s="7" t="s">
        <v>251</v>
      </c>
      <c r="C43" s="94" t="s">
        <v>29</v>
      </c>
      <c r="D43" s="17" t="s">
        <v>252</v>
      </c>
      <c r="E43" s="7" t="s">
        <v>173</v>
      </c>
      <c r="F43" s="7" t="s">
        <v>31</v>
      </c>
      <c r="G43" s="7" t="s">
        <v>32</v>
      </c>
      <c r="H43" s="7" t="s">
        <v>174</v>
      </c>
      <c r="I43" s="7" t="s">
        <v>253</v>
      </c>
      <c r="J43" s="125" t="s">
        <v>254</v>
      </c>
      <c r="K43" s="107" t="s">
        <v>255</v>
      </c>
      <c r="L43" s="7">
        <v>378</v>
      </c>
      <c r="M43" s="106" t="s">
        <v>177</v>
      </c>
      <c r="N43" s="106" t="s">
        <v>177</v>
      </c>
      <c r="O43" s="7">
        <v>1600000</v>
      </c>
      <c r="P43" s="7">
        <v>400000</v>
      </c>
      <c r="Q43" s="7" t="s">
        <v>185</v>
      </c>
      <c r="R43" s="7" t="s">
        <v>185</v>
      </c>
      <c r="S43" s="7" t="s">
        <v>185</v>
      </c>
      <c r="T43" s="106" t="s">
        <v>256</v>
      </c>
      <c r="U43" s="7">
        <v>100000</v>
      </c>
      <c r="V43" s="7" t="s">
        <v>185</v>
      </c>
      <c r="W43" s="7" t="s">
        <v>177</v>
      </c>
      <c r="X43" s="7" t="s">
        <v>178</v>
      </c>
      <c r="Y43" s="7" t="s">
        <v>177</v>
      </c>
      <c r="Z43" s="7" t="s">
        <v>178</v>
      </c>
      <c r="AA43" s="7" t="s">
        <v>178</v>
      </c>
      <c r="AB43" s="7"/>
      <c r="AC43" s="7" t="s">
        <v>179</v>
      </c>
      <c r="AD43" s="7" t="s">
        <v>173</v>
      </c>
      <c r="AE43" s="7" t="s">
        <v>276</v>
      </c>
      <c r="AF43" s="7"/>
      <c r="AG43" s="7"/>
      <c r="AH43" s="7" t="s">
        <v>181</v>
      </c>
      <c r="AI43" s="7" t="s">
        <v>182</v>
      </c>
      <c r="AJ43" s="120" t="s">
        <v>183</v>
      </c>
      <c r="AK43" s="121">
        <v>0.761111111111111</v>
      </c>
      <c r="AL43" s="121">
        <v>0.861111111111111</v>
      </c>
      <c r="AM43" s="117">
        <v>1</v>
      </c>
      <c r="AN43" s="7"/>
      <c r="AO43" s="7" t="s">
        <v>185</v>
      </c>
      <c r="AP43" s="7" t="s">
        <v>186</v>
      </c>
      <c r="AQ43" s="7" t="s">
        <v>65</v>
      </c>
      <c r="AR43" s="7">
        <v>18</v>
      </c>
      <c r="AS43" s="7" t="s">
        <v>33</v>
      </c>
      <c r="AT43" s="7" t="s">
        <v>36</v>
      </c>
      <c r="AU43" s="7"/>
      <c r="AV43" s="7"/>
      <c r="AW43" s="7"/>
      <c r="AX43" s="7"/>
      <c r="AY43" s="7"/>
      <c r="AZ43" s="7" t="s">
        <v>36</v>
      </c>
      <c r="BA43" s="101" t="s">
        <v>187</v>
      </c>
      <c r="BB43" s="21">
        <v>200</v>
      </c>
      <c r="BC43" s="21">
        <v>1</v>
      </c>
      <c r="BD43" s="21" t="s">
        <v>188</v>
      </c>
      <c r="BE43" s="21" t="str">
        <f t="shared" si="2"/>
        <v>VNPAY</v>
      </c>
      <c r="BF43" s="21" t="str">
        <f t="shared" si="3"/>
        <v>AGENT</v>
      </c>
      <c r="BG43" s="63" t="b">
        <v>0</v>
      </c>
      <c r="BH43" s="21" t="s">
        <v>189</v>
      </c>
      <c r="BI43" s="21" t="s">
        <v>188</v>
      </c>
      <c r="BJ43" s="21" t="s">
        <v>188</v>
      </c>
      <c r="BK43" s="21" t="s">
        <v>258</v>
      </c>
      <c r="BL43" s="63" t="b">
        <v>0</v>
      </c>
    </row>
    <row r="44" s="29" customFormat="1" ht="50" customHeight="1" spans="1:64">
      <c r="A44" s="7" t="s">
        <v>277</v>
      </c>
      <c r="B44" s="7" t="s">
        <v>251</v>
      </c>
      <c r="C44" s="94" t="s">
        <v>29</v>
      </c>
      <c r="D44" s="17" t="s">
        <v>252</v>
      </c>
      <c r="E44" s="7" t="s">
        <v>173</v>
      </c>
      <c r="F44" s="7" t="s">
        <v>31</v>
      </c>
      <c r="G44" s="7" t="s">
        <v>32</v>
      </c>
      <c r="H44" s="7" t="s">
        <v>174</v>
      </c>
      <c r="I44" s="7" t="s">
        <v>253</v>
      </c>
      <c r="J44" s="125" t="s">
        <v>254</v>
      </c>
      <c r="K44" s="107" t="s">
        <v>255</v>
      </c>
      <c r="L44" s="7">
        <v>378</v>
      </c>
      <c r="M44" s="106" t="s">
        <v>177</v>
      </c>
      <c r="N44" s="106" t="s">
        <v>177</v>
      </c>
      <c r="O44" s="7">
        <v>1600000</v>
      </c>
      <c r="P44" s="7">
        <v>400000</v>
      </c>
      <c r="Q44" s="7" t="s">
        <v>185</v>
      </c>
      <c r="R44" s="7" t="s">
        <v>185</v>
      </c>
      <c r="S44" s="7" t="s">
        <v>185</v>
      </c>
      <c r="T44" s="106" t="s">
        <v>256</v>
      </c>
      <c r="U44" s="7">
        <v>100000</v>
      </c>
      <c r="V44" s="7" t="s">
        <v>185</v>
      </c>
      <c r="W44" s="7" t="s">
        <v>177</v>
      </c>
      <c r="X44" s="7" t="s">
        <v>178</v>
      </c>
      <c r="Y44" s="7" t="s">
        <v>177</v>
      </c>
      <c r="Z44" s="7" t="s">
        <v>178</v>
      </c>
      <c r="AA44" s="7" t="s">
        <v>178</v>
      </c>
      <c r="AB44" s="7"/>
      <c r="AC44" s="7" t="s">
        <v>179</v>
      </c>
      <c r="AD44" s="7" t="s">
        <v>173</v>
      </c>
      <c r="AE44" s="7" t="s">
        <v>278</v>
      </c>
      <c r="AF44" s="7"/>
      <c r="AG44" s="7"/>
      <c r="AH44" s="7" t="s">
        <v>181</v>
      </c>
      <c r="AI44" s="7" t="s">
        <v>182</v>
      </c>
      <c r="AJ44" s="120" t="s">
        <v>183</v>
      </c>
      <c r="AK44" s="122">
        <v>0.761111111111111</v>
      </c>
      <c r="AL44" s="122">
        <v>0.861111111111111</v>
      </c>
      <c r="AM44" s="123">
        <v>2</v>
      </c>
      <c r="AN44" s="7"/>
      <c r="AO44" s="7" t="s">
        <v>185</v>
      </c>
      <c r="AP44" s="7" t="s">
        <v>186</v>
      </c>
      <c r="AQ44" s="7" t="s">
        <v>65</v>
      </c>
      <c r="AR44" s="7">
        <v>18</v>
      </c>
      <c r="AS44" s="7" t="s">
        <v>33</v>
      </c>
      <c r="AT44" s="7" t="s">
        <v>36</v>
      </c>
      <c r="AU44" s="7"/>
      <c r="AV44" s="7"/>
      <c r="AW44" s="7"/>
      <c r="AX44" s="7"/>
      <c r="AY44" s="7"/>
      <c r="AZ44" s="7" t="s">
        <v>36</v>
      </c>
      <c r="BA44" s="101" t="s">
        <v>187</v>
      </c>
      <c r="BB44" s="21">
        <v>200</v>
      </c>
      <c r="BC44" s="21">
        <v>1</v>
      </c>
      <c r="BD44" s="21" t="s">
        <v>188</v>
      </c>
      <c r="BE44" s="21" t="str">
        <f t="shared" si="2"/>
        <v>VNPAY</v>
      </c>
      <c r="BF44" s="21" t="str">
        <f t="shared" si="3"/>
        <v>AGENT</v>
      </c>
      <c r="BG44" s="63" t="b">
        <v>0</v>
      </c>
      <c r="BH44" s="21" t="s">
        <v>189</v>
      </c>
      <c r="BI44" s="21" t="s">
        <v>188</v>
      </c>
      <c r="BJ44" s="21" t="s">
        <v>188</v>
      </c>
      <c r="BK44" s="21" t="s">
        <v>258</v>
      </c>
      <c r="BL44" s="63" t="b">
        <v>0</v>
      </c>
    </row>
    <row r="45" s="29" customFormat="1" ht="69" customHeight="1" spans="1:64">
      <c r="A45" s="7" t="s">
        <v>279</v>
      </c>
      <c r="B45" s="7" t="s">
        <v>251</v>
      </c>
      <c r="C45" s="94" t="s">
        <v>29</v>
      </c>
      <c r="D45" s="17" t="s">
        <v>252</v>
      </c>
      <c r="E45" s="7" t="s">
        <v>173</v>
      </c>
      <c r="F45" s="7" t="s">
        <v>31</v>
      </c>
      <c r="G45" s="7" t="s">
        <v>32</v>
      </c>
      <c r="H45" s="7" t="s">
        <v>174</v>
      </c>
      <c r="I45" s="7" t="s">
        <v>253</v>
      </c>
      <c r="J45" s="125" t="s">
        <v>254</v>
      </c>
      <c r="K45" s="107" t="s">
        <v>255</v>
      </c>
      <c r="L45" s="7">
        <v>378</v>
      </c>
      <c r="M45" s="106" t="s">
        <v>177</v>
      </c>
      <c r="N45" s="106" t="s">
        <v>177</v>
      </c>
      <c r="O45" s="7">
        <v>1600000</v>
      </c>
      <c r="P45" s="7">
        <v>400000</v>
      </c>
      <c r="Q45" s="7" t="s">
        <v>185</v>
      </c>
      <c r="R45" s="7" t="s">
        <v>185</v>
      </c>
      <c r="S45" s="7" t="s">
        <v>185</v>
      </c>
      <c r="T45" s="106" t="s">
        <v>256</v>
      </c>
      <c r="U45" s="7">
        <v>100000</v>
      </c>
      <c r="V45" s="7" t="s">
        <v>185</v>
      </c>
      <c r="W45" s="7" t="s">
        <v>177</v>
      </c>
      <c r="X45" s="7" t="s">
        <v>178</v>
      </c>
      <c r="Y45" s="7" t="s">
        <v>177</v>
      </c>
      <c r="Z45" s="7" t="s">
        <v>178</v>
      </c>
      <c r="AA45" s="7" t="s">
        <v>178</v>
      </c>
      <c r="AB45" s="7"/>
      <c r="AC45" s="7" t="s">
        <v>179</v>
      </c>
      <c r="AD45" s="7" t="s">
        <v>173</v>
      </c>
      <c r="AE45" s="7" t="s">
        <v>280</v>
      </c>
      <c r="AF45" s="7"/>
      <c r="AG45" s="7"/>
      <c r="AH45" s="7" t="s">
        <v>181</v>
      </c>
      <c r="AI45" s="7" t="s">
        <v>182</v>
      </c>
      <c r="AJ45" s="120" t="s">
        <v>183</v>
      </c>
      <c r="AK45" s="122">
        <v>0.761111111111111</v>
      </c>
      <c r="AL45" s="122">
        <v>0.861111111111111</v>
      </c>
      <c r="AM45" s="123">
        <v>3</v>
      </c>
      <c r="AN45" s="7"/>
      <c r="AO45" s="7" t="s">
        <v>185</v>
      </c>
      <c r="AP45" s="7" t="s">
        <v>186</v>
      </c>
      <c r="AQ45" s="7" t="s">
        <v>65</v>
      </c>
      <c r="AR45" s="7">
        <v>18</v>
      </c>
      <c r="AS45" s="7" t="s">
        <v>33</v>
      </c>
      <c r="AT45" s="7" t="s">
        <v>36</v>
      </c>
      <c r="AU45" s="7"/>
      <c r="AV45" s="7"/>
      <c r="AW45" s="7"/>
      <c r="AX45" s="7"/>
      <c r="AY45" s="7"/>
      <c r="AZ45" s="7" t="s">
        <v>36</v>
      </c>
      <c r="BA45" s="101" t="s">
        <v>187</v>
      </c>
      <c r="BB45" s="21">
        <v>200</v>
      </c>
      <c r="BC45" s="21">
        <v>1</v>
      </c>
      <c r="BD45" s="21" t="s">
        <v>188</v>
      </c>
      <c r="BE45" s="21" t="str">
        <f t="shared" si="2"/>
        <v>VNPAY</v>
      </c>
      <c r="BF45" s="21" t="str">
        <f t="shared" si="3"/>
        <v>AGENT</v>
      </c>
      <c r="BG45" s="63" t="b">
        <v>0</v>
      </c>
      <c r="BH45" s="21" t="s">
        <v>189</v>
      </c>
      <c r="BI45" s="21" t="s">
        <v>188</v>
      </c>
      <c r="BJ45" s="21" t="s">
        <v>188</v>
      </c>
      <c r="BK45" s="21" t="s">
        <v>258</v>
      </c>
      <c r="BL45" s="63" t="b">
        <v>0</v>
      </c>
    </row>
    <row r="46" s="29" customFormat="1" ht="69" customHeight="1" spans="1:64">
      <c r="A46" s="7" t="s">
        <v>281</v>
      </c>
      <c r="B46" s="7" t="s">
        <v>251</v>
      </c>
      <c r="C46" s="94" t="s">
        <v>29</v>
      </c>
      <c r="D46" s="17" t="s">
        <v>252</v>
      </c>
      <c r="E46" s="7" t="s">
        <v>173</v>
      </c>
      <c r="F46" s="7" t="s">
        <v>31</v>
      </c>
      <c r="G46" s="7" t="s">
        <v>32</v>
      </c>
      <c r="H46" s="7" t="s">
        <v>174</v>
      </c>
      <c r="I46" s="7" t="s">
        <v>253</v>
      </c>
      <c r="J46" s="125" t="s">
        <v>254</v>
      </c>
      <c r="K46" s="107" t="s">
        <v>255</v>
      </c>
      <c r="L46" s="7">
        <v>378</v>
      </c>
      <c r="M46" s="106" t="s">
        <v>177</v>
      </c>
      <c r="N46" s="106" t="s">
        <v>177</v>
      </c>
      <c r="O46" s="7">
        <v>1600000</v>
      </c>
      <c r="P46" s="7">
        <v>400000</v>
      </c>
      <c r="Q46" s="7" t="s">
        <v>185</v>
      </c>
      <c r="R46" s="7" t="s">
        <v>185</v>
      </c>
      <c r="S46" s="7" t="s">
        <v>185</v>
      </c>
      <c r="T46" s="106" t="s">
        <v>256</v>
      </c>
      <c r="U46" s="7">
        <v>100000</v>
      </c>
      <c r="V46" s="7" t="s">
        <v>185</v>
      </c>
      <c r="W46" s="7" t="s">
        <v>177</v>
      </c>
      <c r="X46" s="7" t="s">
        <v>178</v>
      </c>
      <c r="Y46" s="7" t="s">
        <v>177</v>
      </c>
      <c r="Z46" s="7" t="s">
        <v>178</v>
      </c>
      <c r="AA46" s="7" t="s">
        <v>178</v>
      </c>
      <c r="AB46" s="7"/>
      <c r="AC46" s="7" t="s">
        <v>179</v>
      </c>
      <c r="AD46" s="7" t="s">
        <v>173</v>
      </c>
      <c r="AE46" s="7" t="s">
        <v>282</v>
      </c>
      <c r="AF46" s="7"/>
      <c r="AG46" s="7"/>
      <c r="AH46" s="7" t="s">
        <v>181</v>
      </c>
      <c r="AI46" s="7" t="s">
        <v>182</v>
      </c>
      <c r="AJ46" s="120" t="s">
        <v>183</v>
      </c>
      <c r="AK46" s="122">
        <v>0.766666666666667</v>
      </c>
      <c r="AL46" s="122">
        <v>0.866666666666667</v>
      </c>
      <c r="AM46" s="123">
        <v>0</v>
      </c>
      <c r="AN46" s="7"/>
      <c r="AO46" s="7" t="s">
        <v>185</v>
      </c>
      <c r="AP46" s="7" t="s">
        <v>186</v>
      </c>
      <c r="AQ46" s="7" t="s">
        <v>65</v>
      </c>
      <c r="AR46" s="7">
        <v>18</v>
      </c>
      <c r="AS46" s="7" t="s">
        <v>33</v>
      </c>
      <c r="AT46" s="7" t="s">
        <v>36</v>
      </c>
      <c r="AU46" s="7"/>
      <c r="AV46" s="7"/>
      <c r="AW46" s="7"/>
      <c r="AX46" s="7"/>
      <c r="AY46" s="7"/>
      <c r="AZ46" s="7" t="s">
        <v>36</v>
      </c>
      <c r="BA46" s="101" t="s">
        <v>187</v>
      </c>
      <c r="BB46" s="21">
        <v>200</v>
      </c>
      <c r="BC46" s="21">
        <v>1</v>
      </c>
      <c r="BD46" s="21" t="s">
        <v>188</v>
      </c>
      <c r="BE46" s="21" t="str">
        <f t="shared" si="2"/>
        <v>VNPAY</v>
      </c>
      <c r="BF46" s="21" t="str">
        <f t="shared" si="3"/>
        <v>AGENT</v>
      </c>
      <c r="BG46" s="63" t="b">
        <v>0</v>
      </c>
      <c r="BH46" s="21" t="s">
        <v>189</v>
      </c>
      <c r="BI46" s="21" t="s">
        <v>188</v>
      </c>
      <c r="BJ46" s="21" t="s">
        <v>188</v>
      </c>
      <c r="BK46" s="21" t="s">
        <v>258</v>
      </c>
      <c r="BL46" s="63" t="b">
        <v>0</v>
      </c>
    </row>
    <row r="47" s="29" customFormat="1" ht="69" customHeight="1" spans="1:64">
      <c r="A47" s="7" t="s">
        <v>283</v>
      </c>
      <c r="B47" s="7" t="s">
        <v>251</v>
      </c>
      <c r="C47" s="94" t="s">
        <v>29</v>
      </c>
      <c r="D47" s="17" t="s">
        <v>252</v>
      </c>
      <c r="E47" s="7" t="s">
        <v>173</v>
      </c>
      <c r="F47" s="7" t="s">
        <v>31</v>
      </c>
      <c r="G47" s="7" t="s">
        <v>32</v>
      </c>
      <c r="H47" s="7" t="s">
        <v>174</v>
      </c>
      <c r="I47" s="7" t="s">
        <v>253</v>
      </c>
      <c r="J47" s="125" t="s">
        <v>254</v>
      </c>
      <c r="K47" s="107" t="s">
        <v>255</v>
      </c>
      <c r="L47" s="7">
        <v>378</v>
      </c>
      <c r="M47" s="106" t="s">
        <v>177</v>
      </c>
      <c r="N47" s="106" t="s">
        <v>177</v>
      </c>
      <c r="O47" s="7">
        <v>1600000</v>
      </c>
      <c r="P47" s="7">
        <v>400000</v>
      </c>
      <c r="Q47" s="7" t="s">
        <v>185</v>
      </c>
      <c r="R47" s="7" t="s">
        <v>185</v>
      </c>
      <c r="S47" s="7" t="s">
        <v>185</v>
      </c>
      <c r="T47" s="106" t="s">
        <v>256</v>
      </c>
      <c r="U47" s="7">
        <v>100000</v>
      </c>
      <c r="V47" s="7" t="s">
        <v>185</v>
      </c>
      <c r="W47" s="7" t="s">
        <v>177</v>
      </c>
      <c r="X47" s="7" t="s">
        <v>178</v>
      </c>
      <c r="Y47" s="7" t="s">
        <v>177</v>
      </c>
      <c r="Z47" s="7" t="s">
        <v>178</v>
      </c>
      <c r="AA47" s="7" t="s">
        <v>178</v>
      </c>
      <c r="AB47" s="7"/>
      <c r="AC47" s="7" t="s">
        <v>179</v>
      </c>
      <c r="AD47" s="7" t="s">
        <v>173</v>
      </c>
      <c r="AE47" s="7" t="s">
        <v>284</v>
      </c>
      <c r="AF47" s="7"/>
      <c r="AG47" s="7"/>
      <c r="AH47" s="7" t="s">
        <v>181</v>
      </c>
      <c r="AI47" s="7" t="s">
        <v>182</v>
      </c>
      <c r="AJ47" s="120" t="s">
        <v>183</v>
      </c>
      <c r="AK47" s="122">
        <v>0.766666666666667</v>
      </c>
      <c r="AL47" s="122">
        <v>0.866666666666667</v>
      </c>
      <c r="AM47" s="123">
        <v>1</v>
      </c>
      <c r="AN47" s="7"/>
      <c r="AO47" s="7" t="s">
        <v>185</v>
      </c>
      <c r="AP47" s="7" t="s">
        <v>186</v>
      </c>
      <c r="AQ47" s="7" t="s">
        <v>65</v>
      </c>
      <c r="AR47" s="7">
        <v>18</v>
      </c>
      <c r="AS47" s="7" t="s">
        <v>33</v>
      </c>
      <c r="AT47" s="7" t="s">
        <v>36</v>
      </c>
      <c r="AU47" s="7"/>
      <c r="AV47" s="7"/>
      <c r="AW47" s="7"/>
      <c r="AX47" s="7"/>
      <c r="AY47" s="7"/>
      <c r="AZ47" s="7" t="s">
        <v>36</v>
      </c>
      <c r="BA47" s="101" t="s">
        <v>187</v>
      </c>
      <c r="BB47" s="21">
        <v>200</v>
      </c>
      <c r="BC47" s="21">
        <v>1</v>
      </c>
      <c r="BD47" s="21" t="s">
        <v>188</v>
      </c>
      <c r="BE47" s="21" t="str">
        <f t="shared" si="2"/>
        <v>VNPAY</v>
      </c>
      <c r="BF47" s="21" t="str">
        <f t="shared" si="3"/>
        <v>AGENT</v>
      </c>
      <c r="BG47" s="63" t="b">
        <v>0</v>
      </c>
      <c r="BH47" s="21" t="s">
        <v>189</v>
      </c>
      <c r="BI47" s="21" t="s">
        <v>188</v>
      </c>
      <c r="BJ47" s="21" t="s">
        <v>188</v>
      </c>
      <c r="BK47" s="21" t="s">
        <v>258</v>
      </c>
      <c r="BL47" s="63" t="b">
        <v>0</v>
      </c>
    </row>
    <row r="48" s="29" customFormat="1" ht="69" customHeight="1" spans="1:64">
      <c r="A48" s="7" t="s">
        <v>285</v>
      </c>
      <c r="B48" s="7" t="s">
        <v>251</v>
      </c>
      <c r="C48" s="94" t="s">
        <v>29</v>
      </c>
      <c r="D48" s="17" t="s">
        <v>252</v>
      </c>
      <c r="E48" s="7" t="s">
        <v>173</v>
      </c>
      <c r="F48" s="7" t="s">
        <v>31</v>
      </c>
      <c r="G48" s="7" t="s">
        <v>32</v>
      </c>
      <c r="H48" s="7" t="s">
        <v>174</v>
      </c>
      <c r="I48" s="7" t="s">
        <v>253</v>
      </c>
      <c r="J48" s="125" t="s">
        <v>254</v>
      </c>
      <c r="K48" s="107" t="s">
        <v>255</v>
      </c>
      <c r="L48" s="7">
        <v>378</v>
      </c>
      <c r="M48" s="106" t="s">
        <v>177</v>
      </c>
      <c r="N48" s="106" t="s">
        <v>177</v>
      </c>
      <c r="O48" s="7">
        <v>1600000</v>
      </c>
      <c r="P48" s="7">
        <v>400000</v>
      </c>
      <c r="Q48" s="7" t="s">
        <v>185</v>
      </c>
      <c r="R48" s="7" t="s">
        <v>185</v>
      </c>
      <c r="S48" s="7" t="s">
        <v>185</v>
      </c>
      <c r="T48" s="106" t="s">
        <v>256</v>
      </c>
      <c r="U48" s="7">
        <v>100000</v>
      </c>
      <c r="V48" s="7" t="s">
        <v>185</v>
      </c>
      <c r="W48" s="7" t="s">
        <v>177</v>
      </c>
      <c r="X48" s="7" t="s">
        <v>178</v>
      </c>
      <c r="Y48" s="7" t="s">
        <v>177</v>
      </c>
      <c r="Z48" s="7" t="s">
        <v>178</v>
      </c>
      <c r="AA48" s="7" t="s">
        <v>178</v>
      </c>
      <c r="AB48" s="7"/>
      <c r="AC48" s="7" t="s">
        <v>179</v>
      </c>
      <c r="AD48" s="7" t="s">
        <v>173</v>
      </c>
      <c r="AE48" s="7" t="s">
        <v>286</v>
      </c>
      <c r="AF48" s="7"/>
      <c r="AG48" s="7"/>
      <c r="AH48" s="7" t="s">
        <v>181</v>
      </c>
      <c r="AI48" s="7" t="s">
        <v>182</v>
      </c>
      <c r="AJ48" s="120" t="s">
        <v>183</v>
      </c>
      <c r="AK48" s="122">
        <v>0.766666666666667</v>
      </c>
      <c r="AL48" s="122">
        <v>0.866666666666667</v>
      </c>
      <c r="AM48" s="123">
        <v>2</v>
      </c>
      <c r="AN48" s="7"/>
      <c r="AO48" s="7" t="s">
        <v>185</v>
      </c>
      <c r="AP48" s="7" t="s">
        <v>186</v>
      </c>
      <c r="AQ48" s="7" t="s">
        <v>65</v>
      </c>
      <c r="AR48" s="7">
        <v>18</v>
      </c>
      <c r="AS48" s="7" t="s">
        <v>33</v>
      </c>
      <c r="AT48" s="7" t="s">
        <v>36</v>
      </c>
      <c r="AU48" s="7"/>
      <c r="AV48" s="7"/>
      <c r="AW48" s="7"/>
      <c r="AX48" s="7"/>
      <c r="AY48" s="7"/>
      <c r="AZ48" s="7" t="s">
        <v>36</v>
      </c>
      <c r="BA48" s="101" t="s">
        <v>187</v>
      </c>
      <c r="BB48" s="21">
        <v>200</v>
      </c>
      <c r="BC48" s="21">
        <v>1</v>
      </c>
      <c r="BD48" s="21" t="s">
        <v>188</v>
      </c>
      <c r="BE48" s="21" t="str">
        <f t="shared" si="2"/>
        <v>VNPAY</v>
      </c>
      <c r="BF48" s="21" t="str">
        <f t="shared" si="3"/>
        <v>AGENT</v>
      </c>
      <c r="BG48" s="63" t="b">
        <v>0</v>
      </c>
      <c r="BH48" s="21" t="s">
        <v>189</v>
      </c>
      <c r="BI48" s="21" t="s">
        <v>188</v>
      </c>
      <c r="BJ48" s="21" t="s">
        <v>188</v>
      </c>
      <c r="BK48" s="21" t="s">
        <v>258</v>
      </c>
      <c r="BL48" s="63" t="b">
        <v>0</v>
      </c>
    </row>
    <row r="49" s="29" customFormat="1" ht="50" customHeight="1" spans="1:64">
      <c r="A49" s="7" t="s">
        <v>287</v>
      </c>
      <c r="B49" s="7" t="s">
        <v>251</v>
      </c>
      <c r="C49" s="94" t="s">
        <v>29</v>
      </c>
      <c r="D49" s="17" t="s">
        <v>252</v>
      </c>
      <c r="E49" s="7" t="s">
        <v>173</v>
      </c>
      <c r="F49" s="7" t="s">
        <v>31</v>
      </c>
      <c r="G49" s="7" t="s">
        <v>32</v>
      </c>
      <c r="H49" s="7" t="s">
        <v>174</v>
      </c>
      <c r="I49" s="7" t="s">
        <v>253</v>
      </c>
      <c r="J49" s="125" t="s">
        <v>254</v>
      </c>
      <c r="K49" s="107" t="s">
        <v>255</v>
      </c>
      <c r="L49" s="7">
        <v>378</v>
      </c>
      <c r="M49" s="106" t="s">
        <v>177</v>
      </c>
      <c r="N49" s="106" t="s">
        <v>177</v>
      </c>
      <c r="O49" s="7">
        <v>1600000</v>
      </c>
      <c r="P49" s="7">
        <v>400000</v>
      </c>
      <c r="Q49" s="7" t="s">
        <v>185</v>
      </c>
      <c r="R49" s="7" t="s">
        <v>185</v>
      </c>
      <c r="S49" s="7" t="s">
        <v>185</v>
      </c>
      <c r="T49" s="106" t="s">
        <v>256</v>
      </c>
      <c r="U49" s="7">
        <v>100000</v>
      </c>
      <c r="V49" s="7" t="s">
        <v>185</v>
      </c>
      <c r="W49" s="7" t="s">
        <v>177</v>
      </c>
      <c r="X49" s="7" t="s">
        <v>178</v>
      </c>
      <c r="Y49" s="7" t="s">
        <v>177</v>
      </c>
      <c r="Z49" s="7" t="s">
        <v>178</v>
      </c>
      <c r="AA49" s="7" t="s">
        <v>178</v>
      </c>
      <c r="AB49" s="7"/>
      <c r="AC49" s="7" t="s">
        <v>179</v>
      </c>
      <c r="AD49" s="7" t="s">
        <v>173</v>
      </c>
      <c r="AE49" s="7" t="s">
        <v>288</v>
      </c>
      <c r="AF49" s="7"/>
      <c r="AG49" s="7"/>
      <c r="AH49" s="7" t="s">
        <v>181</v>
      </c>
      <c r="AI49" s="7" t="s">
        <v>182</v>
      </c>
      <c r="AJ49" s="120" t="s">
        <v>183</v>
      </c>
      <c r="AK49" s="122">
        <v>0.766666666666667</v>
      </c>
      <c r="AL49" s="122">
        <v>0.866666666666667</v>
      </c>
      <c r="AM49" s="123">
        <v>3</v>
      </c>
      <c r="AN49" s="7"/>
      <c r="AO49" s="7" t="s">
        <v>185</v>
      </c>
      <c r="AP49" s="7" t="s">
        <v>186</v>
      </c>
      <c r="AQ49" s="7" t="s">
        <v>65</v>
      </c>
      <c r="AR49" s="7">
        <v>18</v>
      </c>
      <c r="AS49" s="7" t="s">
        <v>33</v>
      </c>
      <c r="AT49" s="7" t="s">
        <v>36</v>
      </c>
      <c r="AU49" s="7"/>
      <c r="AV49" s="7"/>
      <c r="AW49" s="7"/>
      <c r="AX49" s="7"/>
      <c r="AY49" s="7"/>
      <c r="AZ49" s="7" t="s">
        <v>36</v>
      </c>
      <c r="BA49" s="101" t="s">
        <v>187</v>
      </c>
      <c r="BB49" s="21">
        <v>200</v>
      </c>
      <c r="BC49" s="21">
        <v>1</v>
      </c>
      <c r="BD49" s="21" t="s">
        <v>188</v>
      </c>
      <c r="BE49" s="21" t="str">
        <f t="shared" si="2"/>
        <v>VNPAY</v>
      </c>
      <c r="BF49" s="21" t="str">
        <f t="shared" si="3"/>
        <v>AGENT</v>
      </c>
      <c r="BG49" s="63" t="b">
        <v>0</v>
      </c>
      <c r="BH49" s="21" t="s">
        <v>189</v>
      </c>
      <c r="BI49" s="21" t="s">
        <v>188</v>
      </c>
      <c r="BJ49" s="21" t="s">
        <v>188</v>
      </c>
      <c r="BK49" s="21" t="s">
        <v>258</v>
      </c>
      <c r="BL49" s="63" t="b">
        <v>0</v>
      </c>
    </row>
    <row r="50" s="29" customFormat="1" ht="69" customHeight="1" spans="1:64">
      <c r="A50" s="7" t="s">
        <v>289</v>
      </c>
      <c r="B50" s="7" t="s">
        <v>251</v>
      </c>
      <c r="C50" s="94" t="s">
        <v>29</v>
      </c>
      <c r="D50" s="17" t="s">
        <v>252</v>
      </c>
      <c r="E50" s="7" t="s">
        <v>173</v>
      </c>
      <c r="F50" s="7" t="s">
        <v>31</v>
      </c>
      <c r="G50" s="7" t="s">
        <v>32</v>
      </c>
      <c r="H50" s="7" t="s">
        <v>174</v>
      </c>
      <c r="I50" s="7" t="s">
        <v>253</v>
      </c>
      <c r="J50" s="125" t="s">
        <v>254</v>
      </c>
      <c r="K50" s="107" t="s">
        <v>255</v>
      </c>
      <c r="L50" s="7">
        <v>378</v>
      </c>
      <c r="M50" s="106" t="s">
        <v>177</v>
      </c>
      <c r="N50" s="106" t="s">
        <v>177</v>
      </c>
      <c r="O50" s="7">
        <v>1600000</v>
      </c>
      <c r="P50" s="7">
        <v>400000</v>
      </c>
      <c r="Q50" s="7" t="s">
        <v>185</v>
      </c>
      <c r="R50" s="7" t="s">
        <v>185</v>
      </c>
      <c r="S50" s="7" t="s">
        <v>185</v>
      </c>
      <c r="T50" s="106" t="s">
        <v>256</v>
      </c>
      <c r="U50" s="7">
        <v>100000</v>
      </c>
      <c r="V50" s="7" t="s">
        <v>185</v>
      </c>
      <c r="W50" s="7" t="s">
        <v>177</v>
      </c>
      <c r="X50" s="7" t="s">
        <v>178</v>
      </c>
      <c r="Y50" s="7" t="s">
        <v>177</v>
      </c>
      <c r="Z50" s="7" t="s">
        <v>178</v>
      </c>
      <c r="AA50" s="7" t="s">
        <v>178</v>
      </c>
      <c r="AB50" s="7"/>
      <c r="AC50" s="7" t="s">
        <v>179</v>
      </c>
      <c r="AD50" s="7" t="s">
        <v>173</v>
      </c>
      <c r="AE50" s="7" t="s">
        <v>290</v>
      </c>
      <c r="AF50" s="7"/>
      <c r="AG50" s="7"/>
      <c r="AH50" s="7" t="s">
        <v>181</v>
      </c>
      <c r="AI50" s="7" t="s">
        <v>182</v>
      </c>
      <c r="AJ50" s="120" t="s">
        <v>183</v>
      </c>
      <c r="AK50" s="122">
        <v>0.772222222222222</v>
      </c>
      <c r="AL50" s="122">
        <v>0.872222222222222</v>
      </c>
      <c r="AM50" s="123">
        <v>0</v>
      </c>
      <c r="AN50" s="7"/>
      <c r="AO50" s="7" t="s">
        <v>185</v>
      </c>
      <c r="AP50" s="7" t="s">
        <v>186</v>
      </c>
      <c r="AQ50" s="7" t="s">
        <v>65</v>
      </c>
      <c r="AR50" s="7">
        <v>18</v>
      </c>
      <c r="AS50" s="7" t="s">
        <v>33</v>
      </c>
      <c r="AT50" s="7" t="s">
        <v>36</v>
      </c>
      <c r="AU50" s="7"/>
      <c r="AV50" s="7"/>
      <c r="AW50" s="7"/>
      <c r="AX50" s="7"/>
      <c r="AY50" s="7"/>
      <c r="AZ50" s="7" t="s">
        <v>36</v>
      </c>
      <c r="BA50" s="101" t="s">
        <v>187</v>
      </c>
      <c r="BB50" s="21">
        <v>200</v>
      </c>
      <c r="BC50" s="21">
        <v>1</v>
      </c>
      <c r="BD50" s="21" t="s">
        <v>188</v>
      </c>
      <c r="BE50" s="21" t="str">
        <f t="shared" si="2"/>
        <v>VNPAY</v>
      </c>
      <c r="BF50" s="21" t="str">
        <f t="shared" si="3"/>
        <v>AGENT</v>
      </c>
      <c r="BG50" s="63" t="b">
        <v>0</v>
      </c>
      <c r="BH50" s="21" t="s">
        <v>189</v>
      </c>
      <c r="BI50" s="21" t="s">
        <v>188</v>
      </c>
      <c r="BJ50" s="21" t="s">
        <v>188</v>
      </c>
      <c r="BK50" s="21" t="s">
        <v>258</v>
      </c>
      <c r="BL50" s="63" t="b">
        <v>0</v>
      </c>
    </row>
    <row r="51" s="29" customFormat="1" ht="69" customHeight="1" spans="1:64">
      <c r="A51" s="7" t="s">
        <v>291</v>
      </c>
      <c r="B51" s="7" t="s">
        <v>251</v>
      </c>
      <c r="C51" s="94" t="s">
        <v>29</v>
      </c>
      <c r="D51" s="17" t="s">
        <v>252</v>
      </c>
      <c r="E51" s="7" t="s">
        <v>173</v>
      </c>
      <c r="F51" s="7" t="s">
        <v>31</v>
      </c>
      <c r="G51" s="7" t="s">
        <v>32</v>
      </c>
      <c r="H51" s="7" t="s">
        <v>174</v>
      </c>
      <c r="I51" s="7" t="s">
        <v>253</v>
      </c>
      <c r="J51" s="125" t="s">
        <v>254</v>
      </c>
      <c r="K51" s="107" t="s">
        <v>255</v>
      </c>
      <c r="L51" s="7">
        <v>378</v>
      </c>
      <c r="M51" s="106" t="s">
        <v>177</v>
      </c>
      <c r="N51" s="106" t="s">
        <v>177</v>
      </c>
      <c r="O51" s="7">
        <v>1600000</v>
      </c>
      <c r="P51" s="7">
        <v>400000</v>
      </c>
      <c r="Q51" s="7" t="s">
        <v>185</v>
      </c>
      <c r="R51" s="7" t="s">
        <v>185</v>
      </c>
      <c r="S51" s="7" t="s">
        <v>185</v>
      </c>
      <c r="T51" s="106" t="s">
        <v>256</v>
      </c>
      <c r="U51" s="7">
        <v>100000</v>
      </c>
      <c r="V51" s="7" t="s">
        <v>185</v>
      </c>
      <c r="W51" s="7" t="s">
        <v>177</v>
      </c>
      <c r="X51" s="7" t="s">
        <v>178</v>
      </c>
      <c r="Y51" s="7" t="s">
        <v>177</v>
      </c>
      <c r="Z51" s="7" t="s">
        <v>178</v>
      </c>
      <c r="AA51" s="7" t="s">
        <v>178</v>
      </c>
      <c r="AB51" s="7"/>
      <c r="AC51" s="7" t="s">
        <v>179</v>
      </c>
      <c r="AD51" s="7" t="s">
        <v>173</v>
      </c>
      <c r="AE51" s="7" t="s">
        <v>292</v>
      </c>
      <c r="AF51" s="7"/>
      <c r="AG51" s="7"/>
      <c r="AH51" s="7" t="s">
        <v>181</v>
      </c>
      <c r="AI51" s="7" t="s">
        <v>182</v>
      </c>
      <c r="AJ51" s="120" t="s">
        <v>183</v>
      </c>
      <c r="AK51" s="122">
        <v>0.772222222222222</v>
      </c>
      <c r="AL51" s="122">
        <v>0.872222222222222</v>
      </c>
      <c r="AM51" s="123">
        <v>1</v>
      </c>
      <c r="AN51" s="7"/>
      <c r="AO51" s="7" t="s">
        <v>185</v>
      </c>
      <c r="AP51" s="7" t="s">
        <v>186</v>
      </c>
      <c r="AQ51" s="7" t="s">
        <v>65</v>
      </c>
      <c r="AR51" s="7">
        <v>18</v>
      </c>
      <c r="AS51" s="7" t="s">
        <v>33</v>
      </c>
      <c r="AT51" s="7" t="s">
        <v>36</v>
      </c>
      <c r="AU51" s="7"/>
      <c r="AV51" s="7"/>
      <c r="AW51" s="7"/>
      <c r="AX51" s="7"/>
      <c r="AY51" s="7"/>
      <c r="AZ51" s="7" t="s">
        <v>36</v>
      </c>
      <c r="BA51" s="101" t="s">
        <v>187</v>
      </c>
      <c r="BB51" s="21">
        <v>200</v>
      </c>
      <c r="BC51" s="21">
        <v>1</v>
      </c>
      <c r="BD51" s="21" t="s">
        <v>188</v>
      </c>
      <c r="BE51" s="21" t="str">
        <f t="shared" si="2"/>
        <v>VNPAY</v>
      </c>
      <c r="BF51" s="21" t="str">
        <f t="shared" si="3"/>
        <v>AGENT</v>
      </c>
      <c r="BG51" s="63" t="b">
        <v>0</v>
      </c>
      <c r="BH51" s="21" t="s">
        <v>189</v>
      </c>
      <c r="BI51" s="21" t="s">
        <v>188</v>
      </c>
      <c r="BJ51" s="21" t="s">
        <v>188</v>
      </c>
      <c r="BK51" s="21" t="s">
        <v>258</v>
      </c>
      <c r="BL51" s="63" t="b">
        <v>0</v>
      </c>
    </row>
    <row r="52" s="29" customFormat="1" ht="69" customHeight="1" spans="1:64">
      <c r="A52" s="7" t="s">
        <v>293</v>
      </c>
      <c r="B52" s="7" t="s">
        <v>251</v>
      </c>
      <c r="C52" s="94" t="s">
        <v>29</v>
      </c>
      <c r="D52" s="17" t="s">
        <v>252</v>
      </c>
      <c r="E52" s="7" t="s">
        <v>173</v>
      </c>
      <c r="F52" s="7" t="s">
        <v>31</v>
      </c>
      <c r="G52" s="7" t="s">
        <v>32</v>
      </c>
      <c r="H52" s="7" t="s">
        <v>174</v>
      </c>
      <c r="I52" s="7" t="s">
        <v>253</v>
      </c>
      <c r="J52" s="125" t="s">
        <v>254</v>
      </c>
      <c r="K52" s="107" t="s">
        <v>255</v>
      </c>
      <c r="L52" s="7">
        <v>378</v>
      </c>
      <c r="M52" s="106" t="s">
        <v>177</v>
      </c>
      <c r="N52" s="106" t="s">
        <v>177</v>
      </c>
      <c r="O52" s="7">
        <v>1600000</v>
      </c>
      <c r="P52" s="7">
        <v>400000</v>
      </c>
      <c r="Q52" s="7" t="s">
        <v>185</v>
      </c>
      <c r="R52" s="7" t="s">
        <v>185</v>
      </c>
      <c r="S52" s="7" t="s">
        <v>185</v>
      </c>
      <c r="T52" s="106" t="s">
        <v>256</v>
      </c>
      <c r="U52" s="7">
        <v>100000</v>
      </c>
      <c r="V52" s="7" t="s">
        <v>185</v>
      </c>
      <c r="W52" s="7" t="s">
        <v>177</v>
      </c>
      <c r="X52" s="7" t="s">
        <v>178</v>
      </c>
      <c r="Y52" s="7" t="s">
        <v>177</v>
      </c>
      <c r="Z52" s="7" t="s">
        <v>178</v>
      </c>
      <c r="AA52" s="7" t="s">
        <v>178</v>
      </c>
      <c r="AB52" s="7"/>
      <c r="AC52" s="7" t="s">
        <v>179</v>
      </c>
      <c r="AD52" s="7" t="s">
        <v>173</v>
      </c>
      <c r="AE52" s="7" t="s">
        <v>294</v>
      </c>
      <c r="AF52" s="7"/>
      <c r="AG52" s="7"/>
      <c r="AH52" s="7" t="s">
        <v>181</v>
      </c>
      <c r="AI52" s="7" t="s">
        <v>182</v>
      </c>
      <c r="AJ52" s="120" t="s">
        <v>183</v>
      </c>
      <c r="AK52" s="122">
        <v>0.772222222222222</v>
      </c>
      <c r="AL52" s="122">
        <v>0.872222222222222</v>
      </c>
      <c r="AM52" s="123">
        <v>2</v>
      </c>
      <c r="AN52" s="7"/>
      <c r="AO52" s="7" t="s">
        <v>185</v>
      </c>
      <c r="AP52" s="7" t="s">
        <v>186</v>
      </c>
      <c r="AQ52" s="7" t="s">
        <v>65</v>
      </c>
      <c r="AR52" s="7">
        <v>18</v>
      </c>
      <c r="AS52" s="7" t="s">
        <v>33</v>
      </c>
      <c r="AT52" s="7" t="s">
        <v>36</v>
      </c>
      <c r="AU52" s="7"/>
      <c r="AV52" s="7"/>
      <c r="AW52" s="7"/>
      <c r="AX52" s="7"/>
      <c r="AY52" s="7"/>
      <c r="AZ52" s="7" t="s">
        <v>36</v>
      </c>
      <c r="BA52" s="101" t="s">
        <v>187</v>
      </c>
      <c r="BB52" s="21">
        <v>200</v>
      </c>
      <c r="BC52" s="21">
        <v>1</v>
      </c>
      <c r="BD52" s="21" t="s">
        <v>188</v>
      </c>
      <c r="BE52" s="21" t="str">
        <f t="shared" si="2"/>
        <v>VNPAY</v>
      </c>
      <c r="BF52" s="21" t="str">
        <f t="shared" si="3"/>
        <v>AGENT</v>
      </c>
      <c r="BG52" s="63" t="b">
        <v>0</v>
      </c>
      <c r="BH52" s="21" t="s">
        <v>189</v>
      </c>
      <c r="BI52" s="21" t="s">
        <v>188</v>
      </c>
      <c r="BJ52" s="21" t="s">
        <v>188</v>
      </c>
      <c r="BK52" s="21" t="s">
        <v>258</v>
      </c>
      <c r="BL52" s="63" t="b">
        <v>0</v>
      </c>
    </row>
    <row r="53" s="29" customFormat="1" ht="69" customHeight="1" spans="1:64">
      <c r="A53" s="7" t="s">
        <v>295</v>
      </c>
      <c r="B53" s="7" t="s">
        <v>251</v>
      </c>
      <c r="C53" s="94" t="s">
        <v>29</v>
      </c>
      <c r="D53" s="17" t="s">
        <v>252</v>
      </c>
      <c r="E53" s="7" t="s">
        <v>173</v>
      </c>
      <c r="F53" s="7" t="s">
        <v>31</v>
      </c>
      <c r="G53" s="7" t="s">
        <v>32</v>
      </c>
      <c r="H53" s="7" t="s">
        <v>174</v>
      </c>
      <c r="I53" s="7" t="s">
        <v>253</v>
      </c>
      <c r="J53" s="125" t="s">
        <v>254</v>
      </c>
      <c r="K53" s="107" t="s">
        <v>255</v>
      </c>
      <c r="L53" s="7">
        <v>378</v>
      </c>
      <c r="M53" s="106" t="s">
        <v>177</v>
      </c>
      <c r="N53" s="106" t="s">
        <v>177</v>
      </c>
      <c r="O53" s="7">
        <v>1600000</v>
      </c>
      <c r="P53" s="7">
        <v>400000</v>
      </c>
      <c r="Q53" s="7" t="s">
        <v>185</v>
      </c>
      <c r="R53" s="7" t="s">
        <v>185</v>
      </c>
      <c r="S53" s="7" t="s">
        <v>185</v>
      </c>
      <c r="T53" s="106" t="s">
        <v>256</v>
      </c>
      <c r="U53" s="7">
        <v>100000</v>
      </c>
      <c r="V53" s="7" t="s">
        <v>185</v>
      </c>
      <c r="W53" s="7" t="s">
        <v>177</v>
      </c>
      <c r="X53" s="7" t="s">
        <v>178</v>
      </c>
      <c r="Y53" s="7" t="s">
        <v>177</v>
      </c>
      <c r="Z53" s="7" t="s">
        <v>178</v>
      </c>
      <c r="AA53" s="7" t="s">
        <v>178</v>
      </c>
      <c r="AB53" s="7"/>
      <c r="AC53" s="7" t="s">
        <v>179</v>
      </c>
      <c r="AD53" s="7" t="s">
        <v>173</v>
      </c>
      <c r="AE53" s="7" t="s">
        <v>296</v>
      </c>
      <c r="AF53" s="7"/>
      <c r="AG53" s="7"/>
      <c r="AH53" s="7" t="s">
        <v>181</v>
      </c>
      <c r="AI53" s="7" t="s">
        <v>182</v>
      </c>
      <c r="AJ53" s="120" t="s">
        <v>183</v>
      </c>
      <c r="AK53" s="122">
        <v>0.772222222222222</v>
      </c>
      <c r="AL53" s="122">
        <v>0.872222222222222</v>
      </c>
      <c r="AM53" s="123">
        <v>3</v>
      </c>
      <c r="AN53" s="7"/>
      <c r="AO53" s="7" t="s">
        <v>185</v>
      </c>
      <c r="AP53" s="7" t="s">
        <v>186</v>
      </c>
      <c r="AQ53" s="7" t="s">
        <v>65</v>
      </c>
      <c r="AR53" s="7">
        <v>18</v>
      </c>
      <c r="AS53" s="7" t="s">
        <v>33</v>
      </c>
      <c r="AT53" s="7" t="s">
        <v>36</v>
      </c>
      <c r="AU53" s="7"/>
      <c r="AV53" s="7"/>
      <c r="AW53" s="7"/>
      <c r="AX53" s="7"/>
      <c r="AY53" s="7"/>
      <c r="AZ53" s="7" t="s">
        <v>36</v>
      </c>
      <c r="BA53" s="101" t="s">
        <v>187</v>
      </c>
      <c r="BB53" s="21">
        <v>200</v>
      </c>
      <c r="BC53" s="21">
        <v>1</v>
      </c>
      <c r="BD53" s="21" t="s">
        <v>188</v>
      </c>
      <c r="BE53" s="21" t="str">
        <f t="shared" si="2"/>
        <v>VNPAY</v>
      </c>
      <c r="BF53" s="21" t="str">
        <f t="shared" si="3"/>
        <v>AGENT</v>
      </c>
      <c r="BG53" s="63" t="b">
        <v>0</v>
      </c>
      <c r="BH53" s="21" t="s">
        <v>189</v>
      </c>
      <c r="BI53" s="21" t="s">
        <v>188</v>
      </c>
      <c r="BJ53" s="21" t="s">
        <v>188</v>
      </c>
      <c r="BK53" s="21" t="s">
        <v>258</v>
      </c>
      <c r="BL53" s="63" t="b">
        <v>0</v>
      </c>
    </row>
    <row r="54" s="29" customFormat="1" ht="50" customHeight="1" spans="1:64">
      <c r="A54" s="7" t="s">
        <v>297</v>
      </c>
      <c r="B54" s="7" t="s">
        <v>251</v>
      </c>
      <c r="C54" s="94" t="s">
        <v>29</v>
      </c>
      <c r="D54" s="17" t="s">
        <v>252</v>
      </c>
      <c r="E54" s="7" t="s">
        <v>173</v>
      </c>
      <c r="F54" s="7" t="s">
        <v>31</v>
      </c>
      <c r="G54" s="7" t="s">
        <v>32</v>
      </c>
      <c r="H54" s="7" t="s">
        <v>174</v>
      </c>
      <c r="I54" s="7" t="s">
        <v>253</v>
      </c>
      <c r="J54" s="125" t="s">
        <v>254</v>
      </c>
      <c r="K54" s="107" t="s">
        <v>255</v>
      </c>
      <c r="L54" s="7">
        <v>378</v>
      </c>
      <c r="M54" s="106" t="s">
        <v>177</v>
      </c>
      <c r="N54" s="106" t="s">
        <v>177</v>
      </c>
      <c r="O54" s="7">
        <v>1600000</v>
      </c>
      <c r="P54" s="7">
        <v>400000</v>
      </c>
      <c r="Q54" s="7" t="s">
        <v>185</v>
      </c>
      <c r="R54" s="7" t="s">
        <v>185</v>
      </c>
      <c r="S54" s="7" t="s">
        <v>185</v>
      </c>
      <c r="T54" s="106" t="s">
        <v>256</v>
      </c>
      <c r="U54" s="7">
        <v>100000</v>
      </c>
      <c r="V54" s="7" t="s">
        <v>185</v>
      </c>
      <c r="W54" s="7" t="s">
        <v>177</v>
      </c>
      <c r="X54" s="7" t="s">
        <v>178</v>
      </c>
      <c r="Y54" s="7" t="s">
        <v>177</v>
      </c>
      <c r="Z54" s="7" t="s">
        <v>178</v>
      </c>
      <c r="AA54" s="7" t="s">
        <v>178</v>
      </c>
      <c r="AB54" s="7"/>
      <c r="AC54" s="7" t="s">
        <v>179</v>
      </c>
      <c r="AD54" s="7" t="s">
        <v>173</v>
      </c>
      <c r="AE54" s="7" t="s">
        <v>298</v>
      </c>
      <c r="AF54" s="7"/>
      <c r="AG54" s="7"/>
      <c r="AH54" s="7" t="s">
        <v>181</v>
      </c>
      <c r="AI54" s="7" t="s">
        <v>182</v>
      </c>
      <c r="AJ54" s="120" t="s">
        <v>183</v>
      </c>
      <c r="AK54" s="122">
        <v>0.777777777777778</v>
      </c>
      <c r="AL54" s="122">
        <v>0.877777777777778</v>
      </c>
      <c r="AM54" s="123">
        <v>0</v>
      </c>
      <c r="AN54" s="7"/>
      <c r="AO54" s="7" t="s">
        <v>185</v>
      </c>
      <c r="AP54" s="7" t="s">
        <v>186</v>
      </c>
      <c r="AQ54" s="7" t="s">
        <v>65</v>
      </c>
      <c r="AR54" s="7">
        <v>18</v>
      </c>
      <c r="AS54" s="7" t="s">
        <v>33</v>
      </c>
      <c r="AT54" s="7" t="s">
        <v>36</v>
      </c>
      <c r="AU54" s="7"/>
      <c r="AV54" s="7"/>
      <c r="AW54" s="7"/>
      <c r="AX54" s="7"/>
      <c r="AY54" s="7"/>
      <c r="AZ54" s="7" t="s">
        <v>36</v>
      </c>
      <c r="BA54" s="101" t="s">
        <v>187</v>
      </c>
      <c r="BB54" s="21">
        <v>200</v>
      </c>
      <c r="BC54" s="21">
        <v>1</v>
      </c>
      <c r="BD54" s="21" t="s">
        <v>188</v>
      </c>
      <c r="BE54" s="21" t="str">
        <f t="shared" si="2"/>
        <v>VNPAY</v>
      </c>
      <c r="BF54" s="21" t="str">
        <f t="shared" si="3"/>
        <v>AGENT</v>
      </c>
      <c r="BG54" s="63" t="b">
        <v>0</v>
      </c>
      <c r="BH54" s="21" t="s">
        <v>189</v>
      </c>
      <c r="BI54" s="21" t="s">
        <v>188</v>
      </c>
      <c r="BJ54" s="21" t="s">
        <v>188</v>
      </c>
      <c r="BK54" s="21" t="s">
        <v>258</v>
      </c>
      <c r="BL54" s="63" t="b">
        <v>0</v>
      </c>
    </row>
    <row r="55" s="29" customFormat="1" ht="69" customHeight="1" spans="1:64">
      <c r="A55" s="7" t="s">
        <v>299</v>
      </c>
      <c r="B55" s="7" t="s">
        <v>251</v>
      </c>
      <c r="C55" s="94" t="s">
        <v>29</v>
      </c>
      <c r="D55" s="17" t="s">
        <v>252</v>
      </c>
      <c r="E55" s="7" t="s">
        <v>173</v>
      </c>
      <c r="F55" s="7" t="s">
        <v>31</v>
      </c>
      <c r="G55" s="7" t="s">
        <v>32</v>
      </c>
      <c r="H55" s="7" t="s">
        <v>174</v>
      </c>
      <c r="I55" s="7" t="s">
        <v>253</v>
      </c>
      <c r="J55" s="125" t="s">
        <v>254</v>
      </c>
      <c r="K55" s="107" t="s">
        <v>255</v>
      </c>
      <c r="L55" s="7">
        <v>378</v>
      </c>
      <c r="M55" s="106" t="s">
        <v>177</v>
      </c>
      <c r="N55" s="106" t="s">
        <v>177</v>
      </c>
      <c r="O55" s="7">
        <v>1600000</v>
      </c>
      <c r="P55" s="7">
        <v>400000</v>
      </c>
      <c r="Q55" s="7" t="s">
        <v>185</v>
      </c>
      <c r="R55" s="7" t="s">
        <v>185</v>
      </c>
      <c r="S55" s="7" t="s">
        <v>185</v>
      </c>
      <c r="T55" s="106" t="s">
        <v>256</v>
      </c>
      <c r="U55" s="7">
        <v>100000</v>
      </c>
      <c r="V55" s="7" t="s">
        <v>185</v>
      </c>
      <c r="W55" s="7" t="s">
        <v>177</v>
      </c>
      <c r="X55" s="7" t="s">
        <v>178</v>
      </c>
      <c r="Y55" s="7" t="s">
        <v>177</v>
      </c>
      <c r="Z55" s="7" t="s">
        <v>178</v>
      </c>
      <c r="AA55" s="7" t="s">
        <v>178</v>
      </c>
      <c r="AB55" s="7"/>
      <c r="AC55" s="7" t="s">
        <v>179</v>
      </c>
      <c r="AD55" s="7" t="s">
        <v>173</v>
      </c>
      <c r="AE55" s="7" t="s">
        <v>300</v>
      </c>
      <c r="AF55" s="7"/>
      <c r="AG55" s="7"/>
      <c r="AH55" s="7" t="s">
        <v>181</v>
      </c>
      <c r="AI55" s="7" t="s">
        <v>182</v>
      </c>
      <c r="AJ55" s="120" t="s">
        <v>183</v>
      </c>
      <c r="AK55" s="122">
        <v>0.777777777777778</v>
      </c>
      <c r="AL55" s="122">
        <v>0.877777777777778</v>
      </c>
      <c r="AM55" s="123">
        <v>1</v>
      </c>
      <c r="AN55" s="7"/>
      <c r="AO55" s="7" t="s">
        <v>185</v>
      </c>
      <c r="AP55" s="7" t="s">
        <v>186</v>
      </c>
      <c r="AQ55" s="7" t="s">
        <v>65</v>
      </c>
      <c r="AR55" s="7">
        <v>18</v>
      </c>
      <c r="AS55" s="7" t="s">
        <v>33</v>
      </c>
      <c r="AT55" s="7" t="s">
        <v>36</v>
      </c>
      <c r="AU55" s="7"/>
      <c r="AV55" s="7"/>
      <c r="AW55" s="7"/>
      <c r="AX55" s="7"/>
      <c r="AY55" s="7"/>
      <c r="AZ55" s="7" t="s">
        <v>36</v>
      </c>
      <c r="BA55" s="101" t="s">
        <v>187</v>
      </c>
      <c r="BB55" s="21">
        <v>200</v>
      </c>
      <c r="BC55" s="21">
        <v>1</v>
      </c>
      <c r="BD55" s="21" t="s">
        <v>188</v>
      </c>
      <c r="BE55" s="21" t="str">
        <f t="shared" si="2"/>
        <v>VNPAY</v>
      </c>
      <c r="BF55" s="21" t="str">
        <f t="shared" si="3"/>
        <v>AGENT</v>
      </c>
      <c r="BG55" s="63" t="b">
        <v>0</v>
      </c>
      <c r="BH55" s="21" t="s">
        <v>189</v>
      </c>
      <c r="BI55" s="21" t="s">
        <v>188</v>
      </c>
      <c r="BJ55" s="21" t="s">
        <v>188</v>
      </c>
      <c r="BK55" s="21" t="s">
        <v>258</v>
      </c>
      <c r="BL55" s="63" t="b">
        <v>0</v>
      </c>
    </row>
    <row r="56" s="29" customFormat="1" ht="69" customHeight="1" spans="1:64">
      <c r="A56" s="7" t="s">
        <v>301</v>
      </c>
      <c r="B56" s="7" t="s">
        <v>251</v>
      </c>
      <c r="C56" s="94" t="s">
        <v>29</v>
      </c>
      <c r="D56" s="17" t="s">
        <v>252</v>
      </c>
      <c r="E56" s="7" t="s">
        <v>173</v>
      </c>
      <c r="F56" s="7" t="s">
        <v>31</v>
      </c>
      <c r="G56" s="7" t="s">
        <v>32</v>
      </c>
      <c r="H56" s="7" t="s">
        <v>174</v>
      </c>
      <c r="I56" s="7" t="s">
        <v>253</v>
      </c>
      <c r="J56" s="125" t="s">
        <v>254</v>
      </c>
      <c r="K56" s="107" t="s">
        <v>255</v>
      </c>
      <c r="L56" s="7">
        <v>378</v>
      </c>
      <c r="M56" s="106" t="s">
        <v>177</v>
      </c>
      <c r="N56" s="106" t="s">
        <v>177</v>
      </c>
      <c r="O56" s="7">
        <v>1600000</v>
      </c>
      <c r="P56" s="7">
        <v>400000</v>
      </c>
      <c r="Q56" s="7" t="s">
        <v>185</v>
      </c>
      <c r="R56" s="7" t="s">
        <v>185</v>
      </c>
      <c r="S56" s="7" t="s">
        <v>185</v>
      </c>
      <c r="T56" s="106" t="s">
        <v>256</v>
      </c>
      <c r="U56" s="7">
        <v>100000</v>
      </c>
      <c r="V56" s="7" t="s">
        <v>185</v>
      </c>
      <c r="W56" s="7" t="s">
        <v>177</v>
      </c>
      <c r="X56" s="7" t="s">
        <v>178</v>
      </c>
      <c r="Y56" s="7" t="s">
        <v>177</v>
      </c>
      <c r="Z56" s="7" t="s">
        <v>178</v>
      </c>
      <c r="AA56" s="7" t="s">
        <v>178</v>
      </c>
      <c r="AB56" s="7"/>
      <c r="AC56" s="7" t="s">
        <v>179</v>
      </c>
      <c r="AD56" s="7" t="s">
        <v>173</v>
      </c>
      <c r="AE56" s="7" t="s">
        <v>302</v>
      </c>
      <c r="AF56" s="7"/>
      <c r="AG56" s="7"/>
      <c r="AH56" s="7" t="s">
        <v>181</v>
      </c>
      <c r="AI56" s="7" t="s">
        <v>182</v>
      </c>
      <c r="AJ56" s="120" t="s">
        <v>183</v>
      </c>
      <c r="AK56" s="122">
        <v>0.777777777777778</v>
      </c>
      <c r="AL56" s="122">
        <v>0.877777777777778</v>
      </c>
      <c r="AM56" s="123">
        <v>2</v>
      </c>
      <c r="AN56" s="7"/>
      <c r="AO56" s="7" t="s">
        <v>185</v>
      </c>
      <c r="AP56" s="7" t="s">
        <v>186</v>
      </c>
      <c r="AQ56" s="7" t="s">
        <v>65</v>
      </c>
      <c r="AR56" s="7">
        <v>18</v>
      </c>
      <c r="AS56" s="7" t="s">
        <v>33</v>
      </c>
      <c r="AT56" s="7" t="s">
        <v>36</v>
      </c>
      <c r="AU56" s="7"/>
      <c r="AV56" s="7"/>
      <c r="AW56" s="7"/>
      <c r="AX56" s="7"/>
      <c r="AY56" s="7"/>
      <c r="AZ56" s="7" t="s">
        <v>36</v>
      </c>
      <c r="BA56" s="101" t="s">
        <v>187</v>
      </c>
      <c r="BB56" s="21">
        <v>200</v>
      </c>
      <c r="BC56" s="21">
        <v>1</v>
      </c>
      <c r="BD56" s="21" t="s">
        <v>188</v>
      </c>
      <c r="BE56" s="21" t="str">
        <f t="shared" si="2"/>
        <v>VNPAY</v>
      </c>
      <c r="BF56" s="21" t="str">
        <f t="shared" si="3"/>
        <v>AGENT</v>
      </c>
      <c r="BG56" s="63" t="b">
        <v>0</v>
      </c>
      <c r="BH56" s="21" t="s">
        <v>189</v>
      </c>
      <c r="BI56" s="21" t="s">
        <v>188</v>
      </c>
      <c r="BJ56" s="21" t="s">
        <v>188</v>
      </c>
      <c r="BK56" s="21" t="s">
        <v>258</v>
      </c>
      <c r="BL56" s="63" t="b">
        <v>0</v>
      </c>
    </row>
    <row r="57" s="29" customFormat="1" ht="69" customHeight="1" spans="1:64">
      <c r="A57" s="7" t="s">
        <v>303</v>
      </c>
      <c r="B57" s="7" t="s">
        <v>251</v>
      </c>
      <c r="C57" s="94" t="s">
        <v>29</v>
      </c>
      <c r="D57" s="17" t="s">
        <v>252</v>
      </c>
      <c r="E57" s="7" t="s">
        <v>173</v>
      </c>
      <c r="F57" s="7" t="s">
        <v>31</v>
      </c>
      <c r="G57" s="7" t="s">
        <v>32</v>
      </c>
      <c r="H57" s="7" t="s">
        <v>174</v>
      </c>
      <c r="I57" s="7" t="s">
        <v>253</v>
      </c>
      <c r="J57" s="125" t="s">
        <v>254</v>
      </c>
      <c r="K57" s="107" t="s">
        <v>255</v>
      </c>
      <c r="L57" s="7">
        <v>378</v>
      </c>
      <c r="M57" s="106" t="s">
        <v>177</v>
      </c>
      <c r="N57" s="106" t="s">
        <v>177</v>
      </c>
      <c r="O57" s="7">
        <v>1600000</v>
      </c>
      <c r="P57" s="7">
        <v>400000</v>
      </c>
      <c r="Q57" s="7" t="s">
        <v>185</v>
      </c>
      <c r="R57" s="7" t="s">
        <v>185</v>
      </c>
      <c r="S57" s="7" t="s">
        <v>185</v>
      </c>
      <c r="T57" s="106" t="s">
        <v>256</v>
      </c>
      <c r="U57" s="7">
        <v>100000</v>
      </c>
      <c r="V57" s="7" t="s">
        <v>185</v>
      </c>
      <c r="W57" s="7" t="s">
        <v>177</v>
      </c>
      <c r="X57" s="7" t="s">
        <v>178</v>
      </c>
      <c r="Y57" s="7" t="s">
        <v>177</v>
      </c>
      <c r="Z57" s="7" t="s">
        <v>178</v>
      </c>
      <c r="AA57" s="7" t="s">
        <v>178</v>
      </c>
      <c r="AB57" s="7"/>
      <c r="AC57" s="7" t="s">
        <v>179</v>
      </c>
      <c r="AD57" s="7" t="s">
        <v>173</v>
      </c>
      <c r="AE57" s="7" t="s">
        <v>304</v>
      </c>
      <c r="AF57" s="7"/>
      <c r="AG57" s="7"/>
      <c r="AH57" s="7" t="s">
        <v>181</v>
      </c>
      <c r="AI57" s="7" t="s">
        <v>182</v>
      </c>
      <c r="AJ57" s="120" t="s">
        <v>183</v>
      </c>
      <c r="AK57" s="122">
        <v>0.777777777777778</v>
      </c>
      <c r="AL57" s="122">
        <v>0.877777777777778</v>
      </c>
      <c r="AM57" s="123">
        <v>3</v>
      </c>
      <c r="AN57" s="7"/>
      <c r="AO57" s="7" t="s">
        <v>185</v>
      </c>
      <c r="AP57" s="7" t="s">
        <v>186</v>
      </c>
      <c r="AQ57" s="7" t="s">
        <v>65</v>
      </c>
      <c r="AR57" s="7">
        <v>18</v>
      </c>
      <c r="AS57" s="7" t="s">
        <v>33</v>
      </c>
      <c r="AT57" s="7" t="s">
        <v>36</v>
      </c>
      <c r="AU57" s="7"/>
      <c r="AV57" s="7"/>
      <c r="AW57" s="7"/>
      <c r="AX57" s="7"/>
      <c r="AY57" s="7"/>
      <c r="AZ57" s="7" t="s">
        <v>36</v>
      </c>
      <c r="BA57" s="101" t="s">
        <v>187</v>
      </c>
      <c r="BB57" s="21">
        <v>200</v>
      </c>
      <c r="BC57" s="21">
        <v>1</v>
      </c>
      <c r="BD57" s="21" t="s">
        <v>188</v>
      </c>
      <c r="BE57" s="21" t="str">
        <f t="shared" si="2"/>
        <v>VNPAY</v>
      </c>
      <c r="BF57" s="21" t="str">
        <f t="shared" si="3"/>
        <v>AGENT</v>
      </c>
      <c r="BG57" s="63" t="b">
        <v>0</v>
      </c>
      <c r="BH57" s="21" t="s">
        <v>189</v>
      </c>
      <c r="BI57" s="21" t="s">
        <v>188</v>
      </c>
      <c r="BJ57" s="21" t="s">
        <v>188</v>
      </c>
      <c r="BK57" s="21" t="s">
        <v>258</v>
      </c>
      <c r="BL57" s="63" t="b">
        <v>0</v>
      </c>
    </row>
    <row r="58" s="29" customFormat="1" ht="69" customHeight="1" spans="1:64">
      <c r="A58" s="7" t="s">
        <v>305</v>
      </c>
      <c r="B58" s="7" t="s">
        <v>251</v>
      </c>
      <c r="C58" s="94" t="s">
        <v>29</v>
      </c>
      <c r="D58" s="17" t="s">
        <v>252</v>
      </c>
      <c r="E58" s="7" t="s">
        <v>173</v>
      </c>
      <c r="F58" s="7" t="s">
        <v>31</v>
      </c>
      <c r="G58" s="7" t="s">
        <v>32</v>
      </c>
      <c r="H58" s="7" t="s">
        <v>174</v>
      </c>
      <c r="I58" s="7" t="s">
        <v>253</v>
      </c>
      <c r="J58" s="125" t="s">
        <v>254</v>
      </c>
      <c r="K58" s="107" t="s">
        <v>255</v>
      </c>
      <c r="L58" s="7">
        <v>378</v>
      </c>
      <c r="M58" s="106" t="s">
        <v>177</v>
      </c>
      <c r="N58" s="106" t="s">
        <v>177</v>
      </c>
      <c r="O58" s="7">
        <v>1600000</v>
      </c>
      <c r="P58" s="7">
        <v>400000</v>
      </c>
      <c r="Q58" s="7" t="s">
        <v>185</v>
      </c>
      <c r="R58" s="7" t="s">
        <v>185</v>
      </c>
      <c r="S58" s="7" t="s">
        <v>185</v>
      </c>
      <c r="T58" s="106" t="s">
        <v>256</v>
      </c>
      <c r="U58" s="7">
        <v>100000</v>
      </c>
      <c r="V58" s="7" t="s">
        <v>185</v>
      </c>
      <c r="W58" s="7" t="s">
        <v>177</v>
      </c>
      <c r="X58" s="7" t="s">
        <v>178</v>
      </c>
      <c r="Y58" s="7" t="s">
        <v>177</v>
      </c>
      <c r="Z58" s="7" t="s">
        <v>178</v>
      </c>
      <c r="AA58" s="7" t="s">
        <v>178</v>
      </c>
      <c r="AB58" s="7"/>
      <c r="AC58" s="7" t="s">
        <v>179</v>
      </c>
      <c r="AD58" s="7" t="s">
        <v>173</v>
      </c>
      <c r="AE58" s="7" t="s">
        <v>306</v>
      </c>
      <c r="AF58" s="7"/>
      <c r="AG58" s="7"/>
      <c r="AH58" s="7" t="s">
        <v>181</v>
      </c>
      <c r="AI58" s="7" t="s">
        <v>182</v>
      </c>
      <c r="AJ58" s="120" t="s">
        <v>183</v>
      </c>
      <c r="AK58" s="122">
        <v>0.783333333333333</v>
      </c>
      <c r="AL58" s="122">
        <v>0.883333333333333</v>
      </c>
      <c r="AM58" s="123">
        <v>0</v>
      </c>
      <c r="AN58" s="7"/>
      <c r="AO58" s="7" t="s">
        <v>185</v>
      </c>
      <c r="AP58" s="7" t="s">
        <v>186</v>
      </c>
      <c r="AQ58" s="7" t="s">
        <v>65</v>
      </c>
      <c r="AR58" s="7">
        <v>18</v>
      </c>
      <c r="AS58" s="7" t="s">
        <v>33</v>
      </c>
      <c r="AT58" s="7" t="s">
        <v>36</v>
      </c>
      <c r="AU58" s="7"/>
      <c r="AV58" s="7"/>
      <c r="AW58" s="7"/>
      <c r="AX58" s="7"/>
      <c r="AY58" s="7"/>
      <c r="AZ58" s="7" t="s">
        <v>36</v>
      </c>
      <c r="BA58" s="101" t="s">
        <v>187</v>
      </c>
      <c r="BB58" s="21">
        <v>200</v>
      </c>
      <c r="BC58" s="21">
        <v>1</v>
      </c>
      <c r="BD58" s="21" t="s">
        <v>188</v>
      </c>
      <c r="BE58" s="21" t="str">
        <f t="shared" si="2"/>
        <v>VNPAY</v>
      </c>
      <c r="BF58" s="21" t="str">
        <f t="shared" si="3"/>
        <v>AGENT</v>
      </c>
      <c r="BG58" s="63" t="b">
        <v>0</v>
      </c>
      <c r="BH58" s="21" t="s">
        <v>189</v>
      </c>
      <c r="BI58" s="21" t="s">
        <v>188</v>
      </c>
      <c r="BJ58" s="21" t="s">
        <v>188</v>
      </c>
      <c r="BK58" s="21" t="s">
        <v>258</v>
      </c>
      <c r="BL58" s="63" t="b">
        <v>0</v>
      </c>
    </row>
    <row r="59" s="29" customFormat="1" ht="50" customHeight="1" spans="1:64">
      <c r="A59" s="7" t="s">
        <v>307</v>
      </c>
      <c r="B59" s="7" t="s">
        <v>251</v>
      </c>
      <c r="C59" s="94" t="s">
        <v>29</v>
      </c>
      <c r="D59" s="17" t="s">
        <v>252</v>
      </c>
      <c r="E59" s="7" t="s">
        <v>173</v>
      </c>
      <c r="F59" s="7" t="s">
        <v>31</v>
      </c>
      <c r="G59" s="7" t="s">
        <v>32</v>
      </c>
      <c r="H59" s="7" t="s">
        <v>174</v>
      </c>
      <c r="I59" s="7" t="s">
        <v>253</v>
      </c>
      <c r="J59" s="125" t="s">
        <v>254</v>
      </c>
      <c r="K59" s="107" t="s">
        <v>255</v>
      </c>
      <c r="L59" s="7">
        <v>378</v>
      </c>
      <c r="M59" s="106" t="s">
        <v>177</v>
      </c>
      <c r="N59" s="106" t="s">
        <v>177</v>
      </c>
      <c r="O59" s="7">
        <v>1600000</v>
      </c>
      <c r="P59" s="7">
        <v>400000</v>
      </c>
      <c r="Q59" s="7" t="s">
        <v>185</v>
      </c>
      <c r="R59" s="7" t="s">
        <v>185</v>
      </c>
      <c r="S59" s="7" t="s">
        <v>185</v>
      </c>
      <c r="T59" s="106" t="s">
        <v>256</v>
      </c>
      <c r="U59" s="7">
        <v>100000</v>
      </c>
      <c r="V59" s="7" t="s">
        <v>185</v>
      </c>
      <c r="W59" s="7" t="s">
        <v>177</v>
      </c>
      <c r="X59" s="7" t="s">
        <v>178</v>
      </c>
      <c r="Y59" s="7" t="s">
        <v>177</v>
      </c>
      <c r="Z59" s="7" t="s">
        <v>178</v>
      </c>
      <c r="AA59" s="7" t="s">
        <v>178</v>
      </c>
      <c r="AB59" s="7"/>
      <c r="AC59" s="7" t="s">
        <v>179</v>
      </c>
      <c r="AD59" s="7" t="s">
        <v>173</v>
      </c>
      <c r="AE59" s="7" t="s">
        <v>308</v>
      </c>
      <c r="AF59" s="7"/>
      <c r="AG59" s="7"/>
      <c r="AH59" s="7" t="s">
        <v>181</v>
      </c>
      <c r="AI59" s="7" t="s">
        <v>182</v>
      </c>
      <c r="AJ59" s="120" t="s">
        <v>183</v>
      </c>
      <c r="AK59" s="122">
        <v>0.783333333333333</v>
      </c>
      <c r="AL59" s="122">
        <v>0.883333333333333</v>
      </c>
      <c r="AM59" s="123">
        <v>1</v>
      </c>
      <c r="AN59" s="7"/>
      <c r="AO59" s="7" t="s">
        <v>185</v>
      </c>
      <c r="AP59" s="7" t="s">
        <v>186</v>
      </c>
      <c r="AQ59" s="7" t="s">
        <v>65</v>
      </c>
      <c r="AR59" s="7">
        <v>18</v>
      </c>
      <c r="AS59" s="7" t="s">
        <v>33</v>
      </c>
      <c r="AT59" s="7" t="s">
        <v>36</v>
      </c>
      <c r="AU59" s="7"/>
      <c r="AV59" s="7"/>
      <c r="AW59" s="7"/>
      <c r="AX59" s="7"/>
      <c r="AY59" s="7"/>
      <c r="AZ59" s="7" t="s">
        <v>36</v>
      </c>
      <c r="BA59" s="101" t="s">
        <v>187</v>
      </c>
      <c r="BB59" s="21">
        <v>200</v>
      </c>
      <c r="BC59" s="21">
        <v>1</v>
      </c>
      <c r="BD59" s="21" t="s">
        <v>188</v>
      </c>
      <c r="BE59" s="21" t="str">
        <f t="shared" si="2"/>
        <v>VNPAY</v>
      </c>
      <c r="BF59" s="21" t="str">
        <f t="shared" si="3"/>
        <v>AGENT</v>
      </c>
      <c r="BG59" s="63" t="b">
        <v>0</v>
      </c>
      <c r="BH59" s="21" t="s">
        <v>189</v>
      </c>
      <c r="BI59" s="21" t="s">
        <v>188</v>
      </c>
      <c r="BJ59" s="21" t="s">
        <v>188</v>
      </c>
      <c r="BK59" s="21" t="s">
        <v>258</v>
      </c>
      <c r="BL59" s="63" t="b">
        <v>0</v>
      </c>
    </row>
    <row r="60" s="29" customFormat="1" ht="69" customHeight="1" spans="1:64">
      <c r="A60" s="7" t="s">
        <v>309</v>
      </c>
      <c r="B60" s="7" t="s">
        <v>251</v>
      </c>
      <c r="C60" s="94" t="s">
        <v>29</v>
      </c>
      <c r="D60" s="17" t="s">
        <v>252</v>
      </c>
      <c r="E60" s="7" t="s">
        <v>173</v>
      </c>
      <c r="F60" s="7" t="s">
        <v>31</v>
      </c>
      <c r="G60" s="7" t="s">
        <v>32</v>
      </c>
      <c r="H60" s="7" t="s">
        <v>174</v>
      </c>
      <c r="I60" s="7" t="s">
        <v>253</v>
      </c>
      <c r="J60" s="125" t="s">
        <v>254</v>
      </c>
      <c r="K60" s="107" t="s">
        <v>255</v>
      </c>
      <c r="L60" s="7">
        <v>378</v>
      </c>
      <c r="M60" s="106" t="s">
        <v>177</v>
      </c>
      <c r="N60" s="106" t="s">
        <v>177</v>
      </c>
      <c r="O60" s="7">
        <v>1600000</v>
      </c>
      <c r="P60" s="7">
        <v>400000</v>
      </c>
      <c r="Q60" s="7" t="s">
        <v>185</v>
      </c>
      <c r="R60" s="7" t="s">
        <v>185</v>
      </c>
      <c r="S60" s="7" t="s">
        <v>185</v>
      </c>
      <c r="T60" s="106" t="s">
        <v>256</v>
      </c>
      <c r="U60" s="7">
        <v>100000</v>
      </c>
      <c r="V60" s="7" t="s">
        <v>185</v>
      </c>
      <c r="W60" s="7" t="s">
        <v>177</v>
      </c>
      <c r="X60" s="7" t="s">
        <v>178</v>
      </c>
      <c r="Y60" s="7" t="s">
        <v>177</v>
      </c>
      <c r="Z60" s="7" t="s">
        <v>178</v>
      </c>
      <c r="AA60" s="7" t="s">
        <v>178</v>
      </c>
      <c r="AB60" s="7"/>
      <c r="AC60" s="7" t="s">
        <v>179</v>
      </c>
      <c r="AD60" s="7" t="s">
        <v>173</v>
      </c>
      <c r="AE60" s="7" t="s">
        <v>310</v>
      </c>
      <c r="AF60" s="7"/>
      <c r="AG60" s="7"/>
      <c r="AH60" s="7" t="s">
        <v>181</v>
      </c>
      <c r="AI60" s="7" t="s">
        <v>182</v>
      </c>
      <c r="AJ60" s="120" t="s">
        <v>183</v>
      </c>
      <c r="AK60" s="122">
        <v>0.783333333333333</v>
      </c>
      <c r="AL60" s="122">
        <v>0.883333333333333</v>
      </c>
      <c r="AM60" s="123">
        <v>2</v>
      </c>
      <c r="AN60" s="7"/>
      <c r="AO60" s="7" t="s">
        <v>185</v>
      </c>
      <c r="AP60" s="7" t="s">
        <v>186</v>
      </c>
      <c r="AQ60" s="7" t="s">
        <v>65</v>
      </c>
      <c r="AR60" s="7">
        <v>18</v>
      </c>
      <c r="AS60" s="7" t="s">
        <v>33</v>
      </c>
      <c r="AT60" s="7" t="s">
        <v>36</v>
      </c>
      <c r="AU60" s="7"/>
      <c r="AV60" s="7"/>
      <c r="AW60" s="7"/>
      <c r="AX60" s="7"/>
      <c r="AY60" s="7"/>
      <c r="AZ60" s="7" t="s">
        <v>36</v>
      </c>
      <c r="BA60" s="101" t="s">
        <v>187</v>
      </c>
      <c r="BB60" s="21">
        <v>200</v>
      </c>
      <c r="BC60" s="21">
        <v>1</v>
      </c>
      <c r="BD60" s="21" t="s">
        <v>188</v>
      </c>
      <c r="BE60" s="21" t="str">
        <f t="shared" si="2"/>
        <v>VNPAY</v>
      </c>
      <c r="BF60" s="21" t="str">
        <f t="shared" si="3"/>
        <v>AGENT</v>
      </c>
      <c r="BG60" s="63" t="b">
        <v>0</v>
      </c>
      <c r="BH60" s="21" t="s">
        <v>189</v>
      </c>
      <c r="BI60" s="21" t="s">
        <v>188</v>
      </c>
      <c r="BJ60" s="21" t="s">
        <v>188</v>
      </c>
      <c r="BK60" s="21" t="s">
        <v>258</v>
      </c>
      <c r="BL60" s="63" t="b">
        <v>0</v>
      </c>
    </row>
    <row r="61" s="29" customFormat="1" ht="69" customHeight="1" spans="1:64">
      <c r="A61" s="7" t="s">
        <v>311</v>
      </c>
      <c r="B61" s="7" t="s">
        <v>251</v>
      </c>
      <c r="C61" s="94" t="s">
        <v>29</v>
      </c>
      <c r="D61" s="17" t="s">
        <v>252</v>
      </c>
      <c r="E61" s="7" t="s">
        <v>173</v>
      </c>
      <c r="F61" s="7" t="s">
        <v>31</v>
      </c>
      <c r="G61" s="7" t="s">
        <v>32</v>
      </c>
      <c r="H61" s="7" t="s">
        <v>174</v>
      </c>
      <c r="I61" s="7" t="s">
        <v>253</v>
      </c>
      <c r="J61" s="125" t="s">
        <v>254</v>
      </c>
      <c r="K61" s="107" t="s">
        <v>255</v>
      </c>
      <c r="L61" s="7">
        <v>378</v>
      </c>
      <c r="M61" s="106" t="s">
        <v>177</v>
      </c>
      <c r="N61" s="106" t="s">
        <v>177</v>
      </c>
      <c r="O61" s="7">
        <v>1600000</v>
      </c>
      <c r="P61" s="7">
        <v>400000</v>
      </c>
      <c r="Q61" s="7" t="s">
        <v>185</v>
      </c>
      <c r="R61" s="7" t="s">
        <v>185</v>
      </c>
      <c r="S61" s="7" t="s">
        <v>185</v>
      </c>
      <c r="T61" s="106" t="s">
        <v>256</v>
      </c>
      <c r="U61" s="7">
        <v>100000</v>
      </c>
      <c r="V61" s="7" t="s">
        <v>185</v>
      </c>
      <c r="W61" s="7" t="s">
        <v>177</v>
      </c>
      <c r="X61" s="7" t="s">
        <v>178</v>
      </c>
      <c r="Y61" s="7" t="s">
        <v>177</v>
      </c>
      <c r="Z61" s="7" t="s">
        <v>178</v>
      </c>
      <c r="AA61" s="7" t="s">
        <v>178</v>
      </c>
      <c r="AB61" s="7"/>
      <c r="AC61" s="7" t="s">
        <v>179</v>
      </c>
      <c r="AD61" s="7" t="s">
        <v>173</v>
      </c>
      <c r="AE61" s="7" t="s">
        <v>312</v>
      </c>
      <c r="AF61" s="7"/>
      <c r="AG61" s="7"/>
      <c r="AH61" s="7" t="s">
        <v>181</v>
      </c>
      <c r="AI61" s="7" t="s">
        <v>182</v>
      </c>
      <c r="AJ61" s="120" t="s">
        <v>183</v>
      </c>
      <c r="AK61" s="122">
        <v>0.783333333333333</v>
      </c>
      <c r="AL61" s="122">
        <v>0.883333333333333</v>
      </c>
      <c r="AM61" s="123">
        <v>3</v>
      </c>
      <c r="AN61" s="7"/>
      <c r="AO61" s="7" t="s">
        <v>185</v>
      </c>
      <c r="AP61" s="7" t="s">
        <v>186</v>
      </c>
      <c r="AQ61" s="7" t="s">
        <v>65</v>
      </c>
      <c r="AR61" s="7">
        <v>18</v>
      </c>
      <c r="AS61" s="7" t="s">
        <v>33</v>
      </c>
      <c r="AT61" s="7" t="s">
        <v>36</v>
      </c>
      <c r="AU61" s="7"/>
      <c r="AV61" s="7"/>
      <c r="AW61" s="7"/>
      <c r="AX61" s="7"/>
      <c r="AY61" s="7"/>
      <c r="AZ61" s="7" t="s">
        <v>36</v>
      </c>
      <c r="BA61" s="101" t="s">
        <v>187</v>
      </c>
      <c r="BB61" s="21">
        <v>200</v>
      </c>
      <c r="BC61" s="21">
        <v>1</v>
      </c>
      <c r="BD61" s="21" t="s">
        <v>188</v>
      </c>
      <c r="BE61" s="21" t="str">
        <f t="shared" si="2"/>
        <v>VNPAY</v>
      </c>
      <c r="BF61" s="21" t="str">
        <f t="shared" si="3"/>
        <v>AGENT</v>
      </c>
      <c r="BG61" s="63" t="b">
        <v>0</v>
      </c>
      <c r="BH61" s="21" t="s">
        <v>189</v>
      </c>
      <c r="BI61" s="21" t="s">
        <v>188</v>
      </c>
      <c r="BJ61" s="21" t="s">
        <v>188</v>
      </c>
      <c r="BK61" s="21" t="s">
        <v>258</v>
      </c>
      <c r="BL61" s="63" t="b">
        <v>0</v>
      </c>
    </row>
    <row r="62" s="29" customFormat="1" ht="69" customHeight="1" spans="1:64">
      <c r="A62" s="7" t="s">
        <v>313</v>
      </c>
      <c r="B62" s="7" t="s">
        <v>251</v>
      </c>
      <c r="C62" s="94" t="s">
        <v>29</v>
      </c>
      <c r="D62" s="17" t="s">
        <v>252</v>
      </c>
      <c r="E62" s="7" t="s">
        <v>173</v>
      </c>
      <c r="F62" s="7" t="s">
        <v>31</v>
      </c>
      <c r="G62" s="7" t="s">
        <v>32</v>
      </c>
      <c r="H62" s="7" t="s">
        <v>174</v>
      </c>
      <c r="I62" s="7" t="s">
        <v>253</v>
      </c>
      <c r="J62" s="125" t="s">
        <v>254</v>
      </c>
      <c r="K62" s="107" t="s">
        <v>255</v>
      </c>
      <c r="L62" s="7">
        <v>378</v>
      </c>
      <c r="M62" s="106" t="s">
        <v>177</v>
      </c>
      <c r="N62" s="106" t="s">
        <v>177</v>
      </c>
      <c r="O62" s="7">
        <v>1600000</v>
      </c>
      <c r="P62" s="7">
        <v>400000</v>
      </c>
      <c r="Q62" s="7" t="s">
        <v>185</v>
      </c>
      <c r="R62" s="7" t="s">
        <v>185</v>
      </c>
      <c r="S62" s="7" t="s">
        <v>185</v>
      </c>
      <c r="T62" s="106" t="s">
        <v>256</v>
      </c>
      <c r="U62" s="7">
        <v>100000</v>
      </c>
      <c r="V62" s="7" t="s">
        <v>185</v>
      </c>
      <c r="W62" s="7" t="s">
        <v>177</v>
      </c>
      <c r="X62" s="7" t="s">
        <v>178</v>
      </c>
      <c r="Y62" s="7" t="s">
        <v>177</v>
      </c>
      <c r="Z62" s="7" t="s">
        <v>178</v>
      </c>
      <c r="AA62" s="7" t="s">
        <v>178</v>
      </c>
      <c r="AB62" s="7"/>
      <c r="AC62" s="7" t="s">
        <v>179</v>
      </c>
      <c r="AD62" s="7" t="s">
        <v>173</v>
      </c>
      <c r="AE62" s="7" t="s">
        <v>314</v>
      </c>
      <c r="AF62" s="7"/>
      <c r="AG62" s="7"/>
      <c r="AH62" s="7" t="s">
        <v>181</v>
      </c>
      <c r="AI62" s="7" t="s">
        <v>182</v>
      </c>
      <c r="AJ62" s="120" t="s">
        <v>183</v>
      </c>
      <c r="AK62" s="122">
        <v>0.788888888888889</v>
      </c>
      <c r="AL62" s="122">
        <v>0.888888888888889</v>
      </c>
      <c r="AM62" s="123">
        <v>0</v>
      </c>
      <c r="AN62" s="7"/>
      <c r="AO62" s="7" t="s">
        <v>185</v>
      </c>
      <c r="AP62" s="7" t="s">
        <v>186</v>
      </c>
      <c r="AQ62" s="7" t="s">
        <v>65</v>
      </c>
      <c r="AR62" s="7">
        <v>18</v>
      </c>
      <c r="AS62" s="7" t="s">
        <v>33</v>
      </c>
      <c r="AT62" s="7" t="s">
        <v>36</v>
      </c>
      <c r="AU62" s="7"/>
      <c r="AV62" s="7"/>
      <c r="AW62" s="7"/>
      <c r="AX62" s="7"/>
      <c r="AY62" s="7"/>
      <c r="AZ62" s="7" t="s">
        <v>36</v>
      </c>
      <c r="BA62" s="101" t="s">
        <v>187</v>
      </c>
      <c r="BB62" s="21">
        <v>200</v>
      </c>
      <c r="BC62" s="21">
        <v>1</v>
      </c>
      <c r="BD62" s="21" t="s">
        <v>188</v>
      </c>
      <c r="BE62" s="21" t="str">
        <f t="shared" si="2"/>
        <v>VNPAY</v>
      </c>
      <c r="BF62" s="21" t="str">
        <f t="shared" si="3"/>
        <v>AGENT</v>
      </c>
      <c r="BG62" s="63" t="b">
        <v>0</v>
      </c>
      <c r="BH62" s="21" t="s">
        <v>189</v>
      </c>
      <c r="BI62" s="21" t="s">
        <v>188</v>
      </c>
      <c r="BJ62" s="21" t="s">
        <v>188</v>
      </c>
      <c r="BK62" s="21" t="s">
        <v>258</v>
      </c>
      <c r="BL62" s="63" t="b">
        <v>0</v>
      </c>
    </row>
    <row r="63" s="29" customFormat="1" ht="69" customHeight="1" spans="1:64">
      <c r="A63" s="7" t="s">
        <v>315</v>
      </c>
      <c r="B63" s="7" t="s">
        <v>251</v>
      </c>
      <c r="C63" s="94" t="s">
        <v>29</v>
      </c>
      <c r="D63" s="17" t="s">
        <v>252</v>
      </c>
      <c r="E63" s="7" t="s">
        <v>173</v>
      </c>
      <c r="F63" s="7" t="s">
        <v>31</v>
      </c>
      <c r="G63" s="7" t="s">
        <v>32</v>
      </c>
      <c r="H63" s="7" t="s">
        <v>174</v>
      </c>
      <c r="I63" s="7" t="s">
        <v>253</v>
      </c>
      <c r="J63" s="125" t="s">
        <v>254</v>
      </c>
      <c r="K63" s="107" t="s">
        <v>255</v>
      </c>
      <c r="L63" s="7">
        <v>378</v>
      </c>
      <c r="M63" s="106" t="s">
        <v>177</v>
      </c>
      <c r="N63" s="106" t="s">
        <v>177</v>
      </c>
      <c r="O63" s="7">
        <v>1600000</v>
      </c>
      <c r="P63" s="7">
        <v>400000</v>
      </c>
      <c r="Q63" s="7" t="s">
        <v>185</v>
      </c>
      <c r="R63" s="7" t="s">
        <v>185</v>
      </c>
      <c r="S63" s="7" t="s">
        <v>185</v>
      </c>
      <c r="T63" s="106" t="s">
        <v>256</v>
      </c>
      <c r="U63" s="7">
        <v>100000</v>
      </c>
      <c r="V63" s="7" t="s">
        <v>185</v>
      </c>
      <c r="W63" s="7" t="s">
        <v>177</v>
      </c>
      <c r="X63" s="7" t="s">
        <v>178</v>
      </c>
      <c r="Y63" s="7" t="s">
        <v>177</v>
      </c>
      <c r="Z63" s="7" t="s">
        <v>178</v>
      </c>
      <c r="AA63" s="7" t="s">
        <v>178</v>
      </c>
      <c r="AB63" s="7"/>
      <c r="AC63" s="7" t="s">
        <v>179</v>
      </c>
      <c r="AD63" s="7" t="s">
        <v>173</v>
      </c>
      <c r="AE63" s="7" t="s">
        <v>316</v>
      </c>
      <c r="AF63" s="7"/>
      <c r="AG63" s="7"/>
      <c r="AH63" s="7" t="s">
        <v>181</v>
      </c>
      <c r="AI63" s="7" t="s">
        <v>182</v>
      </c>
      <c r="AJ63" s="120" t="s">
        <v>183</v>
      </c>
      <c r="AK63" s="122">
        <v>0.788888888888889</v>
      </c>
      <c r="AL63" s="122">
        <v>0.888888888888889</v>
      </c>
      <c r="AM63" s="123">
        <v>1</v>
      </c>
      <c r="AN63" s="7"/>
      <c r="AO63" s="7" t="s">
        <v>185</v>
      </c>
      <c r="AP63" s="7" t="s">
        <v>186</v>
      </c>
      <c r="AQ63" s="7" t="s">
        <v>65</v>
      </c>
      <c r="AR63" s="7">
        <v>18</v>
      </c>
      <c r="AS63" s="7" t="s">
        <v>33</v>
      </c>
      <c r="AT63" s="7" t="s">
        <v>36</v>
      </c>
      <c r="AU63" s="7"/>
      <c r="AV63" s="7"/>
      <c r="AW63" s="7"/>
      <c r="AX63" s="7"/>
      <c r="AY63" s="7"/>
      <c r="AZ63" s="7" t="s">
        <v>36</v>
      </c>
      <c r="BA63" s="101" t="s">
        <v>187</v>
      </c>
      <c r="BB63" s="21">
        <v>200</v>
      </c>
      <c r="BC63" s="21">
        <v>1</v>
      </c>
      <c r="BD63" s="21" t="s">
        <v>188</v>
      </c>
      <c r="BE63" s="21" t="str">
        <f t="shared" si="2"/>
        <v>VNPAY</v>
      </c>
      <c r="BF63" s="21" t="str">
        <f t="shared" si="3"/>
        <v>AGENT</v>
      </c>
      <c r="BG63" s="63" t="b">
        <v>0</v>
      </c>
      <c r="BH63" s="21" t="s">
        <v>189</v>
      </c>
      <c r="BI63" s="21" t="s">
        <v>188</v>
      </c>
      <c r="BJ63" s="21" t="s">
        <v>188</v>
      </c>
      <c r="BK63" s="21" t="s">
        <v>258</v>
      </c>
      <c r="BL63" s="63" t="b">
        <v>0</v>
      </c>
    </row>
    <row r="64" s="29" customFormat="1" ht="69" customHeight="1" spans="1:64">
      <c r="A64" s="7"/>
      <c r="B64" s="93"/>
      <c r="C64" s="94"/>
      <c r="D64" s="17"/>
      <c r="E64" s="7"/>
      <c r="F64" s="4"/>
      <c r="G64" s="4"/>
      <c r="H64" s="7"/>
      <c r="I64" s="7"/>
      <c r="J64" s="7"/>
      <c r="K64" s="7"/>
      <c r="L64" s="7"/>
      <c r="M64" s="106"/>
      <c r="N64" s="106"/>
      <c r="O64" s="7"/>
      <c r="P64" s="7"/>
      <c r="Q64" s="7"/>
      <c r="R64" s="7"/>
      <c r="S64" s="7"/>
      <c r="T64" s="106"/>
      <c r="U64" s="7"/>
      <c r="V64" s="106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120"/>
      <c r="AK64" s="95"/>
      <c r="AL64" s="95"/>
      <c r="AM64" s="95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101"/>
      <c r="BB64" s="21"/>
      <c r="BC64" s="21"/>
      <c r="BD64" s="21"/>
      <c r="BE64" s="21"/>
      <c r="BF64" s="21"/>
      <c r="BG64" s="63"/>
      <c r="BH64" s="21"/>
      <c r="BI64" s="21"/>
      <c r="BJ64" s="21"/>
      <c r="BK64" s="21"/>
      <c r="BL64" s="63"/>
    </row>
    <row r="65" s="29" customFormat="1" ht="69" customHeight="1" spans="1:64">
      <c r="A65" s="7" t="s">
        <v>317</v>
      </c>
      <c r="B65" s="93" t="s">
        <v>318</v>
      </c>
      <c r="C65" s="94" t="s">
        <v>29</v>
      </c>
      <c r="D65" s="17" t="s">
        <v>172</v>
      </c>
      <c r="E65" s="7" t="s">
        <v>173</v>
      </c>
      <c r="F65" s="4" t="s">
        <v>31</v>
      </c>
      <c r="G65" s="4" t="s">
        <v>32</v>
      </c>
      <c r="H65" s="7" t="s">
        <v>174</v>
      </c>
      <c r="I65" s="7" t="s">
        <v>319</v>
      </c>
      <c r="J65" s="7"/>
      <c r="K65" s="7" t="s">
        <v>176</v>
      </c>
      <c r="L65" s="7"/>
      <c r="M65" s="106"/>
      <c r="N65" s="106"/>
      <c r="O65" s="7"/>
      <c r="P65" s="7"/>
      <c r="Q65" s="7"/>
      <c r="R65" s="7"/>
      <c r="S65" s="7"/>
      <c r="T65" s="106"/>
      <c r="U65" s="7"/>
      <c r="V65" s="106"/>
      <c r="W65" s="7" t="s">
        <v>177</v>
      </c>
      <c r="X65" s="7" t="s">
        <v>178</v>
      </c>
      <c r="Y65" s="7" t="s">
        <v>177</v>
      </c>
      <c r="Z65" s="7" t="s">
        <v>178</v>
      </c>
      <c r="AA65" s="7" t="s">
        <v>178</v>
      </c>
      <c r="AB65" s="7"/>
      <c r="AC65" s="7" t="s">
        <v>179</v>
      </c>
      <c r="AD65" s="7" t="s">
        <v>173</v>
      </c>
      <c r="AE65" s="7" t="s">
        <v>319</v>
      </c>
      <c r="AF65" s="7"/>
      <c r="AG65" s="7"/>
      <c r="AH65" s="7" t="s">
        <v>181</v>
      </c>
      <c r="AI65" s="7" t="s">
        <v>182</v>
      </c>
      <c r="AJ65" s="120" t="s">
        <v>183</v>
      </c>
      <c r="AK65" s="95" t="s">
        <v>35</v>
      </c>
      <c r="AL65" s="95" t="s">
        <v>184</v>
      </c>
      <c r="AM65" s="95">
        <v>1</v>
      </c>
      <c r="AN65" s="7"/>
      <c r="AO65" s="7" t="s">
        <v>185</v>
      </c>
      <c r="AP65" s="7" t="s">
        <v>186</v>
      </c>
      <c r="AQ65" s="7">
        <v>1</v>
      </c>
      <c r="AR65" s="7">
        <v>18</v>
      </c>
      <c r="AS65" s="7" t="s">
        <v>33</v>
      </c>
      <c r="AT65" s="7" t="s">
        <v>36</v>
      </c>
      <c r="AU65" s="7">
        <v>3088327983</v>
      </c>
      <c r="AV65" s="7" t="s">
        <v>320</v>
      </c>
      <c r="AW65" s="7" t="s">
        <v>321</v>
      </c>
      <c r="AX65" s="7" t="s">
        <v>320</v>
      </c>
      <c r="AY65" s="7" t="s">
        <v>320</v>
      </c>
      <c r="AZ65" s="7" t="s">
        <v>36</v>
      </c>
      <c r="BA65" s="101" t="s">
        <v>187</v>
      </c>
      <c r="BB65" s="21">
        <v>200</v>
      </c>
      <c r="BC65" s="21">
        <v>1</v>
      </c>
      <c r="BD65" s="21" t="s">
        <v>188</v>
      </c>
      <c r="BE65" s="21" t="str">
        <f t="shared" ref="BE65:BE75" si="4">I65</f>
        <v>Trần Phương MB</v>
      </c>
      <c r="BF65" s="21">
        <f t="shared" ref="BF65:BF75" si="5">AQ65</f>
        <v>1</v>
      </c>
      <c r="BG65" s="63" t="b">
        <v>0</v>
      </c>
      <c r="BH65" s="21" t="s">
        <v>189</v>
      </c>
      <c r="BI65" s="21" t="s">
        <v>188</v>
      </c>
      <c r="BJ65" s="21" t="s">
        <v>188</v>
      </c>
      <c r="BK65" s="21" t="s">
        <v>322</v>
      </c>
      <c r="BL65" s="63" t="b">
        <v>0</v>
      </c>
    </row>
    <row r="66" s="29" customFormat="1" ht="69" customHeight="1" spans="1:64">
      <c r="A66" s="7" t="s">
        <v>323</v>
      </c>
      <c r="B66" s="93" t="s">
        <v>324</v>
      </c>
      <c r="C66" s="94" t="s">
        <v>29</v>
      </c>
      <c r="D66" s="17" t="s">
        <v>172</v>
      </c>
      <c r="E66" s="7" t="s">
        <v>173</v>
      </c>
      <c r="F66" s="4" t="s">
        <v>31</v>
      </c>
      <c r="G66" s="4" t="s">
        <v>32</v>
      </c>
      <c r="H66" s="7" t="s">
        <v>174</v>
      </c>
      <c r="I66" s="7" t="s">
        <v>319</v>
      </c>
      <c r="J66" s="7"/>
      <c r="K66" s="7" t="s">
        <v>176</v>
      </c>
      <c r="L66" s="7"/>
      <c r="M66" s="106"/>
      <c r="N66" s="106"/>
      <c r="O66" s="7"/>
      <c r="P66" s="7"/>
      <c r="Q66" s="7"/>
      <c r="R66" s="7"/>
      <c r="S66" s="7"/>
      <c r="T66" s="7"/>
      <c r="U66" s="7"/>
      <c r="V66" s="7"/>
      <c r="W66" s="7" t="s">
        <v>177</v>
      </c>
      <c r="X66" s="7" t="s">
        <v>178</v>
      </c>
      <c r="Y66" s="7" t="s">
        <v>177</v>
      </c>
      <c r="Z66" s="7" t="s">
        <v>178</v>
      </c>
      <c r="AA66" s="7" t="s">
        <v>178</v>
      </c>
      <c r="AB66" s="7"/>
      <c r="AC66" s="7" t="s">
        <v>179</v>
      </c>
      <c r="AD66" s="7" t="s">
        <v>173</v>
      </c>
      <c r="AE66" s="7" t="s">
        <v>325</v>
      </c>
      <c r="AF66" s="7"/>
      <c r="AG66" s="7"/>
      <c r="AH66" s="7" t="s">
        <v>181</v>
      </c>
      <c r="AI66" s="7" t="s">
        <v>182</v>
      </c>
      <c r="AJ66" s="120" t="s">
        <v>183</v>
      </c>
      <c r="AK66" s="95" t="s">
        <v>35</v>
      </c>
      <c r="AL66" s="95" t="s">
        <v>184</v>
      </c>
      <c r="AM66" s="95">
        <v>2</v>
      </c>
      <c r="AN66" s="7"/>
      <c r="AO66" s="7" t="s">
        <v>185</v>
      </c>
      <c r="AP66" s="7" t="s">
        <v>186</v>
      </c>
      <c r="AQ66" s="7">
        <v>2</v>
      </c>
      <c r="AR66" s="7">
        <v>18</v>
      </c>
      <c r="AS66" s="7" t="s">
        <v>33</v>
      </c>
      <c r="AT66" s="7" t="s">
        <v>36</v>
      </c>
      <c r="AU66" s="7">
        <v>3088327983</v>
      </c>
      <c r="AV66" s="7" t="s">
        <v>320</v>
      </c>
      <c r="AW66" s="7" t="s">
        <v>321</v>
      </c>
      <c r="AX66" s="7" t="s">
        <v>320</v>
      </c>
      <c r="AY66" s="7"/>
      <c r="AZ66" s="7" t="s">
        <v>36</v>
      </c>
      <c r="BA66" s="101" t="s">
        <v>187</v>
      </c>
      <c r="BB66" s="21">
        <v>200</v>
      </c>
      <c r="BC66" s="21">
        <v>1</v>
      </c>
      <c r="BD66" s="21" t="s">
        <v>188</v>
      </c>
      <c r="BE66" s="21" t="str">
        <f t="shared" si="4"/>
        <v>Trần Phương MB</v>
      </c>
      <c r="BF66" s="21">
        <f t="shared" si="5"/>
        <v>2</v>
      </c>
      <c r="BG66" s="63" t="b">
        <v>0</v>
      </c>
      <c r="BH66" s="21" t="s">
        <v>189</v>
      </c>
      <c r="BI66" s="21" t="s">
        <v>188</v>
      </c>
      <c r="BJ66" s="21" t="s">
        <v>188</v>
      </c>
      <c r="BK66" s="21" t="s">
        <v>326</v>
      </c>
      <c r="BL66" s="63" t="b">
        <v>0</v>
      </c>
    </row>
    <row r="67" s="29" customFormat="1" ht="70" customHeight="1" spans="1:64">
      <c r="A67" s="7" t="s">
        <v>327</v>
      </c>
      <c r="B67" s="104" t="s">
        <v>328</v>
      </c>
      <c r="C67" s="94" t="s">
        <v>29</v>
      </c>
      <c r="D67" s="17" t="s">
        <v>172</v>
      </c>
      <c r="E67" s="7" t="s">
        <v>173</v>
      </c>
      <c r="F67" s="4" t="s">
        <v>31</v>
      </c>
      <c r="G67" s="4" t="s">
        <v>32</v>
      </c>
      <c r="H67" s="7" t="s">
        <v>174</v>
      </c>
      <c r="I67" s="7" t="s">
        <v>329</v>
      </c>
      <c r="J67" s="7"/>
      <c r="K67" s="7" t="s">
        <v>176</v>
      </c>
      <c r="L67" s="7"/>
      <c r="M67" s="106"/>
      <c r="N67" s="106"/>
      <c r="O67" s="7"/>
      <c r="P67" s="7"/>
      <c r="Q67" s="7"/>
      <c r="R67" s="7"/>
      <c r="S67" s="7"/>
      <c r="T67" s="7"/>
      <c r="U67" s="7"/>
      <c r="V67" s="7"/>
      <c r="W67" s="7" t="s">
        <v>177</v>
      </c>
      <c r="X67" s="7" t="s">
        <v>178</v>
      </c>
      <c r="Y67" s="7" t="s">
        <v>177</v>
      </c>
      <c r="Z67" s="7" t="s">
        <v>178</v>
      </c>
      <c r="AA67" s="7" t="s">
        <v>178</v>
      </c>
      <c r="AB67" s="7"/>
      <c r="AC67" s="7" t="s">
        <v>179</v>
      </c>
      <c r="AD67" s="7" t="s">
        <v>173</v>
      </c>
      <c r="AE67" s="7" t="s">
        <v>330</v>
      </c>
      <c r="AF67" s="7"/>
      <c r="AG67" s="7"/>
      <c r="AH67" s="7" t="s">
        <v>181</v>
      </c>
      <c r="AI67" s="7" t="s">
        <v>182</v>
      </c>
      <c r="AJ67" s="120" t="s">
        <v>183</v>
      </c>
      <c r="AK67" s="95" t="s">
        <v>35</v>
      </c>
      <c r="AL67" s="95" t="s">
        <v>184</v>
      </c>
      <c r="AM67" s="95">
        <v>3</v>
      </c>
      <c r="AN67" s="7"/>
      <c r="AO67" s="7" t="s">
        <v>185</v>
      </c>
      <c r="AP67" s="7" t="s">
        <v>186</v>
      </c>
      <c r="AQ67" s="7">
        <v>7</v>
      </c>
      <c r="AR67" s="7">
        <v>18</v>
      </c>
      <c r="AS67" s="7" t="s">
        <v>33</v>
      </c>
      <c r="AT67" s="7" t="s">
        <v>36</v>
      </c>
      <c r="AU67" s="7"/>
      <c r="AV67" s="7"/>
      <c r="AW67" s="7"/>
      <c r="AX67" s="7"/>
      <c r="AY67" s="7"/>
      <c r="AZ67" s="7" t="s">
        <v>36</v>
      </c>
      <c r="BA67" s="101" t="s">
        <v>187</v>
      </c>
      <c r="BB67" s="21">
        <v>200</v>
      </c>
      <c r="BC67" s="21">
        <v>1</v>
      </c>
      <c r="BD67" s="21" t="s">
        <v>188</v>
      </c>
      <c r="BE67" s="21" t="str">
        <f t="shared" si="4"/>
        <v>Khách None Golf</v>
      </c>
      <c r="BF67" s="21">
        <f t="shared" si="5"/>
        <v>7</v>
      </c>
      <c r="BG67" s="63" t="b">
        <v>0</v>
      </c>
      <c r="BH67" s="21" t="s">
        <v>189</v>
      </c>
      <c r="BI67" s="21" t="s">
        <v>188</v>
      </c>
      <c r="BJ67" s="21" t="s">
        <v>188</v>
      </c>
      <c r="BK67" s="21" t="s">
        <v>331</v>
      </c>
      <c r="BL67" s="63" t="b">
        <v>0</v>
      </c>
    </row>
    <row r="68" s="29" customFormat="1" ht="70" customHeight="1" spans="1:64">
      <c r="A68" s="7" t="s">
        <v>332</v>
      </c>
      <c r="B68" s="93" t="s">
        <v>333</v>
      </c>
      <c r="C68" s="94" t="s">
        <v>29</v>
      </c>
      <c r="D68" s="17" t="s">
        <v>252</v>
      </c>
      <c r="E68" s="7" t="s">
        <v>173</v>
      </c>
      <c r="F68" s="4" t="s">
        <v>31</v>
      </c>
      <c r="G68" s="4" t="s">
        <v>32</v>
      </c>
      <c r="H68" s="7" t="s">
        <v>174</v>
      </c>
      <c r="I68" s="7" t="s">
        <v>253</v>
      </c>
      <c r="J68" s="125" t="s">
        <v>254</v>
      </c>
      <c r="K68" s="107" t="s">
        <v>255</v>
      </c>
      <c r="L68" s="7">
        <v>378</v>
      </c>
      <c r="M68" s="106" t="s">
        <v>177</v>
      </c>
      <c r="N68" s="106" t="s">
        <v>177</v>
      </c>
      <c r="O68" s="7">
        <v>1600000</v>
      </c>
      <c r="P68" s="7">
        <v>400000</v>
      </c>
      <c r="Q68" s="7" t="s">
        <v>185</v>
      </c>
      <c r="R68" s="7" t="s">
        <v>185</v>
      </c>
      <c r="S68" s="7" t="s">
        <v>185</v>
      </c>
      <c r="T68" s="106" t="s">
        <v>256</v>
      </c>
      <c r="U68" s="7" t="s">
        <v>185</v>
      </c>
      <c r="V68" s="7" t="s">
        <v>185</v>
      </c>
      <c r="W68" s="7" t="s">
        <v>177</v>
      </c>
      <c r="X68" s="7" t="s">
        <v>178</v>
      </c>
      <c r="Y68" s="7" t="s">
        <v>177</v>
      </c>
      <c r="Z68" s="7" t="s">
        <v>178</v>
      </c>
      <c r="AA68" s="7" t="s">
        <v>178</v>
      </c>
      <c r="AB68" s="7"/>
      <c r="AC68" s="7" t="s">
        <v>179</v>
      </c>
      <c r="AD68" s="7" t="s">
        <v>173</v>
      </c>
      <c r="AE68" s="7" t="s">
        <v>334</v>
      </c>
      <c r="AF68" s="7"/>
      <c r="AG68" s="7"/>
      <c r="AH68" s="7" t="s">
        <v>181</v>
      </c>
      <c r="AI68" s="7" t="s">
        <v>182</v>
      </c>
      <c r="AJ68" s="120" t="s">
        <v>183</v>
      </c>
      <c r="AK68" s="95" t="s">
        <v>42</v>
      </c>
      <c r="AL68" s="95" t="s">
        <v>199</v>
      </c>
      <c r="AM68" s="95">
        <v>0</v>
      </c>
      <c r="AN68" s="7"/>
      <c r="AO68" s="7" t="s">
        <v>185</v>
      </c>
      <c r="AP68" s="7" t="s">
        <v>186</v>
      </c>
      <c r="AQ68" s="7" t="s">
        <v>48</v>
      </c>
      <c r="AR68" s="7">
        <v>18</v>
      </c>
      <c r="AS68" s="7" t="s">
        <v>33</v>
      </c>
      <c r="AT68" s="7" t="s">
        <v>36</v>
      </c>
      <c r="AU68" s="7"/>
      <c r="AV68" s="7"/>
      <c r="AW68" s="7"/>
      <c r="AX68" s="7"/>
      <c r="AY68" s="7"/>
      <c r="AZ68" s="7" t="s">
        <v>36</v>
      </c>
      <c r="BA68" s="101" t="s">
        <v>187</v>
      </c>
      <c r="BB68" s="21">
        <v>200</v>
      </c>
      <c r="BC68" s="21">
        <v>1</v>
      </c>
      <c r="BD68" s="21" t="s">
        <v>188</v>
      </c>
      <c r="BE68" s="21" t="str">
        <f t="shared" si="4"/>
        <v>VNPAY</v>
      </c>
      <c r="BF68" s="21" t="str">
        <f t="shared" si="5"/>
        <v>5D</v>
      </c>
      <c r="BG68" s="63" t="b">
        <v>0</v>
      </c>
      <c r="BH68" s="21" t="s">
        <v>189</v>
      </c>
      <c r="BI68" s="21" t="s">
        <v>188</v>
      </c>
      <c r="BJ68" s="21" t="s">
        <v>188</v>
      </c>
      <c r="BK68" s="21" t="s">
        <v>258</v>
      </c>
      <c r="BL68" s="63" t="b">
        <v>0</v>
      </c>
    </row>
    <row r="69" s="29" customFormat="1" ht="69" customHeight="1" spans="1:64">
      <c r="A69" s="7" t="s">
        <v>335</v>
      </c>
      <c r="B69" s="7" t="s">
        <v>336</v>
      </c>
      <c r="C69" s="94" t="s">
        <v>29</v>
      </c>
      <c r="D69" s="17" t="s">
        <v>172</v>
      </c>
      <c r="E69" s="7" t="s">
        <v>173</v>
      </c>
      <c r="F69" s="4" t="s">
        <v>31</v>
      </c>
      <c r="G69" s="4" t="s">
        <v>32</v>
      </c>
      <c r="H69" s="7" t="s">
        <v>174</v>
      </c>
      <c r="I69" s="7" t="s">
        <v>175</v>
      </c>
      <c r="J69" s="7"/>
      <c r="K69" s="7" t="s">
        <v>176</v>
      </c>
      <c r="L69" s="7"/>
      <c r="M69" s="106"/>
      <c r="N69" s="106"/>
      <c r="O69" s="7"/>
      <c r="P69" s="7"/>
      <c r="Q69" s="7"/>
      <c r="R69" s="7"/>
      <c r="S69" s="7"/>
      <c r="T69" s="106"/>
      <c r="U69" s="7"/>
      <c r="V69" s="106"/>
      <c r="W69" s="7" t="s">
        <v>177</v>
      </c>
      <c r="X69" s="7" t="s">
        <v>178</v>
      </c>
      <c r="Y69" s="7" t="s">
        <v>177</v>
      </c>
      <c r="Z69" s="7" t="s">
        <v>178</v>
      </c>
      <c r="AA69" s="7" t="s">
        <v>178</v>
      </c>
      <c r="AB69" s="7"/>
      <c r="AC69" s="7" t="s">
        <v>179</v>
      </c>
      <c r="AD69" s="7" t="s">
        <v>173</v>
      </c>
      <c r="AE69" s="7" t="s">
        <v>192</v>
      </c>
      <c r="AF69" s="125" t="s">
        <v>51</v>
      </c>
      <c r="AG69" s="125" t="s">
        <v>51</v>
      </c>
      <c r="AH69" s="7" t="s">
        <v>181</v>
      </c>
      <c r="AI69" s="7" t="s">
        <v>182</v>
      </c>
      <c r="AJ69" s="120" t="s">
        <v>183</v>
      </c>
      <c r="AK69" s="95" t="s">
        <v>42</v>
      </c>
      <c r="AL69" s="95" t="s">
        <v>199</v>
      </c>
      <c r="AM69" s="95">
        <v>1</v>
      </c>
      <c r="AN69" s="7"/>
      <c r="AO69" s="7" t="s">
        <v>185</v>
      </c>
      <c r="AP69" s="7" t="s">
        <v>186</v>
      </c>
      <c r="AQ69" s="7" t="s">
        <v>34</v>
      </c>
      <c r="AR69" s="7" t="s">
        <v>174</v>
      </c>
      <c r="AS69" s="7" t="s">
        <v>33</v>
      </c>
      <c r="AT69" s="7" t="s">
        <v>36</v>
      </c>
      <c r="AU69" s="7"/>
      <c r="AV69" s="7"/>
      <c r="AW69" s="7"/>
      <c r="AX69" s="7"/>
      <c r="AY69" s="7"/>
      <c r="AZ69" s="7" t="s">
        <v>36</v>
      </c>
      <c r="BA69" s="101" t="s">
        <v>187</v>
      </c>
      <c r="BB69" s="21">
        <v>200</v>
      </c>
      <c r="BC69" s="21">
        <v>1</v>
      </c>
      <c r="BD69" s="21" t="s">
        <v>188</v>
      </c>
      <c r="BE69" s="21" t="str">
        <f t="shared" si="4"/>
        <v>PhuongTT</v>
      </c>
      <c r="BF69" s="21" t="str">
        <f t="shared" si="5"/>
        <v>4D</v>
      </c>
      <c r="BG69" s="63" t="b">
        <v>0</v>
      </c>
      <c r="BH69" s="21" t="s">
        <v>189</v>
      </c>
      <c r="BI69" s="21" t="s">
        <v>188</v>
      </c>
      <c r="BJ69" s="21" t="s">
        <v>188</v>
      </c>
      <c r="BK69" s="21" t="s">
        <v>190</v>
      </c>
      <c r="BL69" s="63" t="b">
        <v>1</v>
      </c>
    </row>
    <row r="70" s="29" customFormat="1" ht="69" customHeight="1" spans="1:64">
      <c r="A70" s="7" t="s">
        <v>337</v>
      </c>
      <c r="B70" s="7" t="s">
        <v>338</v>
      </c>
      <c r="C70" s="94" t="s">
        <v>29</v>
      </c>
      <c r="D70" s="17" t="s">
        <v>172</v>
      </c>
      <c r="E70" s="7" t="s">
        <v>173</v>
      </c>
      <c r="F70" s="4" t="s">
        <v>31</v>
      </c>
      <c r="G70" s="4" t="s">
        <v>32</v>
      </c>
      <c r="H70" s="7" t="s">
        <v>174</v>
      </c>
      <c r="I70" s="7" t="s">
        <v>319</v>
      </c>
      <c r="J70" s="7"/>
      <c r="K70" s="7" t="s">
        <v>176</v>
      </c>
      <c r="L70" s="7"/>
      <c r="M70" s="106"/>
      <c r="N70" s="106"/>
      <c r="O70" s="7"/>
      <c r="P70" s="7"/>
      <c r="Q70" s="7"/>
      <c r="R70" s="7"/>
      <c r="S70" s="7"/>
      <c r="T70" s="106"/>
      <c r="U70" s="7"/>
      <c r="V70" s="106"/>
      <c r="W70" s="7" t="s">
        <v>177</v>
      </c>
      <c r="X70" s="7" t="s">
        <v>178</v>
      </c>
      <c r="Y70" s="7" t="s">
        <v>177</v>
      </c>
      <c r="Z70" s="7" t="s">
        <v>178</v>
      </c>
      <c r="AA70" s="7" t="s">
        <v>178</v>
      </c>
      <c r="AB70" s="7"/>
      <c r="AC70" s="7" t="s">
        <v>179</v>
      </c>
      <c r="AD70" s="7" t="s">
        <v>173</v>
      </c>
      <c r="AE70" s="7" t="s">
        <v>319</v>
      </c>
      <c r="AF70" s="125" t="s">
        <v>54</v>
      </c>
      <c r="AG70" s="125" t="s">
        <v>54</v>
      </c>
      <c r="AH70" s="7" t="s">
        <v>181</v>
      </c>
      <c r="AI70" s="7" t="s">
        <v>182</v>
      </c>
      <c r="AJ70" s="120" t="s">
        <v>183</v>
      </c>
      <c r="AK70" s="95" t="s">
        <v>42</v>
      </c>
      <c r="AL70" s="95" t="s">
        <v>199</v>
      </c>
      <c r="AM70" s="95">
        <v>2</v>
      </c>
      <c r="AN70" s="7"/>
      <c r="AO70" s="7" t="s">
        <v>185</v>
      </c>
      <c r="AP70" s="7" t="s">
        <v>186</v>
      </c>
      <c r="AQ70" s="7">
        <v>1</v>
      </c>
      <c r="AR70" s="7">
        <v>18</v>
      </c>
      <c r="AS70" s="7" t="s">
        <v>33</v>
      </c>
      <c r="AT70" s="7" t="s">
        <v>36</v>
      </c>
      <c r="AU70" s="7">
        <v>3088327983</v>
      </c>
      <c r="AV70" s="7" t="s">
        <v>320</v>
      </c>
      <c r="AW70" s="7" t="s">
        <v>321</v>
      </c>
      <c r="AX70" s="7" t="s">
        <v>320</v>
      </c>
      <c r="AY70" s="7" t="s">
        <v>320</v>
      </c>
      <c r="AZ70" s="7" t="s">
        <v>36</v>
      </c>
      <c r="BA70" s="101" t="s">
        <v>187</v>
      </c>
      <c r="BB70" s="21">
        <v>200</v>
      </c>
      <c r="BC70" s="21">
        <v>1</v>
      </c>
      <c r="BD70" s="21" t="s">
        <v>188</v>
      </c>
      <c r="BE70" s="21" t="str">
        <f t="shared" si="4"/>
        <v>Trần Phương MB</v>
      </c>
      <c r="BF70" s="21">
        <f t="shared" si="5"/>
        <v>1</v>
      </c>
      <c r="BG70" s="63" t="b">
        <v>0</v>
      </c>
      <c r="BH70" s="21" t="s">
        <v>189</v>
      </c>
      <c r="BI70" s="21" t="s">
        <v>188</v>
      </c>
      <c r="BJ70" s="21" t="s">
        <v>188</v>
      </c>
      <c r="BK70" s="21" t="s">
        <v>322</v>
      </c>
      <c r="BL70" s="63" t="b">
        <v>1</v>
      </c>
    </row>
    <row r="71" s="29" customFormat="1" ht="69" customHeight="1" spans="1:64">
      <c r="A71" s="7" t="s">
        <v>339</v>
      </c>
      <c r="B71" s="7" t="s">
        <v>340</v>
      </c>
      <c r="C71" s="94" t="s">
        <v>29</v>
      </c>
      <c r="D71" s="17" t="s">
        <v>172</v>
      </c>
      <c r="E71" s="7" t="s">
        <v>173</v>
      </c>
      <c r="F71" s="4" t="s">
        <v>31</v>
      </c>
      <c r="G71" s="4" t="s">
        <v>32</v>
      </c>
      <c r="H71" s="7" t="s">
        <v>174</v>
      </c>
      <c r="I71" s="7" t="s">
        <v>319</v>
      </c>
      <c r="J71" s="7"/>
      <c r="K71" s="7" t="s">
        <v>176</v>
      </c>
      <c r="L71" s="7"/>
      <c r="M71" s="106"/>
      <c r="N71" s="106"/>
      <c r="O71" s="7"/>
      <c r="P71" s="7"/>
      <c r="Q71" s="7"/>
      <c r="R71" s="7"/>
      <c r="S71" s="7"/>
      <c r="T71" s="7"/>
      <c r="U71" s="7"/>
      <c r="V71" s="7"/>
      <c r="W71" s="7" t="s">
        <v>177</v>
      </c>
      <c r="X71" s="7" t="s">
        <v>178</v>
      </c>
      <c r="Y71" s="7" t="s">
        <v>177</v>
      </c>
      <c r="Z71" s="7" t="s">
        <v>178</v>
      </c>
      <c r="AA71" s="7" t="s">
        <v>178</v>
      </c>
      <c r="AB71" s="7"/>
      <c r="AC71" s="7" t="s">
        <v>179</v>
      </c>
      <c r="AD71" s="7" t="s">
        <v>173</v>
      </c>
      <c r="AE71" s="7" t="s">
        <v>341</v>
      </c>
      <c r="AF71" s="125" t="s">
        <v>57</v>
      </c>
      <c r="AG71" s="125" t="s">
        <v>57</v>
      </c>
      <c r="AH71" s="7" t="s">
        <v>181</v>
      </c>
      <c r="AI71" s="7" t="s">
        <v>182</v>
      </c>
      <c r="AJ71" s="120" t="s">
        <v>183</v>
      </c>
      <c r="AK71" s="95" t="s">
        <v>42</v>
      </c>
      <c r="AL71" s="95" t="s">
        <v>199</v>
      </c>
      <c r="AM71" s="95">
        <v>3</v>
      </c>
      <c r="AN71" s="7"/>
      <c r="AO71" s="7" t="s">
        <v>185</v>
      </c>
      <c r="AP71" s="7" t="s">
        <v>186</v>
      </c>
      <c r="AQ71" s="7">
        <v>2</v>
      </c>
      <c r="AR71" s="7">
        <v>18</v>
      </c>
      <c r="AS71" s="7" t="s">
        <v>33</v>
      </c>
      <c r="AT71" s="7" t="s">
        <v>36</v>
      </c>
      <c r="AU71" s="7">
        <v>3088327983</v>
      </c>
      <c r="AV71" s="7" t="s">
        <v>320</v>
      </c>
      <c r="AW71" s="7" t="s">
        <v>321</v>
      </c>
      <c r="AX71" s="7" t="s">
        <v>320</v>
      </c>
      <c r="AY71" s="7"/>
      <c r="AZ71" s="7" t="s">
        <v>36</v>
      </c>
      <c r="BA71" s="101" t="s">
        <v>187</v>
      </c>
      <c r="BB71" s="21">
        <v>200</v>
      </c>
      <c r="BC71" s="21">
        <v>1</v>
      </c>
      <c r="BD71" s="21" t="s">
        <v>188</v>
      </c>
      <c r="BE71" s="21" t="str">
        <f t="shared" si="4"/>
        <v>Trần Phương MB</v>
      </c>
      <c r="BF71" s="21">
        <f t="shared" si="5"/>
        <v>2</v>
      </c>
      <c r="BG71" s="63" t="b">
        <v>0</v>
      </c>
      <c r="BH71" s="21" t="s">
        <v>189</v>
      </c>
      <c r="BI71" s="21" t="s">
        <v>188</v>
      </c>
      <c r="BJ71" s="21" t="s">
        <v>188</v>
      </c>
      <c r="BK71" s="21" t="s">
        <v>326</v>
      </c>
      <c r="BL71" s="63" t="b">
        <v>1</v>
      </c>
    </row>
    <row r="72" s="29" customFormat="1" ht="69" customHeight="1" spans="1:64">
      <c r="A72" s="7" t="s">
        <v>342</v>
      </c>
      <c r="B72" s="7" t="s">
        <v>343</v>
      </c>
      <c r="C72" s="94" t="s">
        <v>29</v>
      </c>
      <c r="D72" s="17" t="s">
        <v>252</v>
      </c>
      <c r="E72" s="7" t="s">
        <v>173</v>
      </c>
      <c r="F72" s="4" t="s">
        <v>31</v>
      </c>
      <c r="G72" s="4" t="s">
        <v>32</v>
      </c>
      <c r="H72" s="7" t="s">
        <v>174</v>
      </c>
      <c r="I72" s="7" t="s">
        <v>253</v>
      </c>
      <c r="J72" s="125" t="s">
        <v>254</v>
      </c>
      <c r="K72" s="107" t="s">
        <v>255</v>
      </c>
      <c r="L72" s="7">
        <v>378</v>
      </c>
      <c r="M72" s="106" t="s">
        <v>177</v>
      </c>
      <c r="N72" s="106" t="s">
        <v>177</v>
      </c>
      <c r="O72" s="7">
        <v>1600000</v>
      </c>
      <c r="P72" s="7">
        <v>400000</v>
      </c>
      <c r="Q72" s="7" t="s">
        <v>185</v>
      </c>
      <c r="R72" s="7" t="s">
        <v>185</v>
      </c>
      <c r="S72" s="7" t="s">
        <v>185</v>
      </c>
      <c r="T72" s="106" t="s">
        <v>256</v>
      </c>
      <c r="U72" s="7" t="s">
        <v>185</v>
      </c>
      <c r="V72" s="7" t="s">
        <v>185</v>
      </c>
      <c r="W72" s="7" t="s">
        <v>177</v>
      </c>
      <c r="X72" s="7" t="s">
        <v>178</v>
      </c>
      <c r="Y72" s="7" t="s">
        <v>177</v>
      </c>
      <c r="Z72" s="7" t="s">
        <v>178</v>
      </c>
      <c r="AA72" s="7" t="s">
        <v>178</v>
      </c>
      <c r="AB72" s="7"/>
      <c r="AC72" s="7" t="s">
        <v>179</v>
      </c>
      <c r="AD72" s="7" t="s">
        <v>173</v>
      </c>
      <c r="AE72" s="7" t="s">
        <v>344</v>
      </c>
      <c r="AF72" s="125" t="s">
        <v>60</v>
      </c>
      <c r="AG72" s="125" t="s">
        <v>60</v>
      </c>
      <c r="AH72" s="7" t="s">
        <v>181</v>
      </c>
      <c r="AI72" s="7" t="s">
        <v>182</v>
      </c>
      <c r="AJ72" s="120" t="s">
        <v>183</v>
      </c>
      <c r="AK72" s="95" t="s">
        <v>45</v>
      </c>
      <c r="AL72" s="95" t="s">
        <v>345</v>
      </c>
      <c r="AM72" s="95">
        <v>0</v>
      </c>
      <c r="AN72" s="7"/>
      <c r="AO72" s="7" t="s">
        <v>185</v>
      </c>
      <c r="AP72" s="7" t="s">
        <v>186</v>
      </c>
      <c r="AQ72" s="7" t="s">
        <v>48</v>
      </c>
      <c r="AR72" s="7">
        <v>18</v>
      </c>
      <c r="AS72" s="7" t="s">
        <v>33</v>
      </c>
      <c r="AT72" s="7" t="s">
        <v>36</v>
      </c>
      <c r="AU72" s="7"/>
      <c r="AV72" s="7"/>
      <c r="AW72" s="7"/>
      <c r="AX72" s="7"/>
      <c r="AY72" s="7"/>
      <c r="AZ72" s="7" t="s">
        <v>36</v>
      </c>
      <c r="BA72" s="101" t="s">
        <v>187</v>
      </c>
      <c r="BB72" s="21">
        <v>200</v>
      </c>
      <c r="BC72" s="21">
        <v>1</v>
      </c>
      <c r="BD72" s="21" t="s">
        <v>188</v>
      </c>
      <c r="BE72" s="21" t="str">
        <f t="shared" si="4"/>
        <v>VNPAY</v>
      </c>
      <c r="BF72" s="21" t="str">
        <f t="shared" si="5"/>
        <v>5D</v>
      </c>
      <c r="BG72" s="63" t="b">
        <v>0</v>
      </c>
      <c r="BH72" s="21" t="s">
        <v>189</v>
      </c>
      <c r="BI72" s="21" t="s">
        <v>188</v>
      </c>
      <c r="BJ72" s="21" t="s">
        <v>188</v>
      </c>
      <c r="BK72" s="21" t="s">
        <v>258</v>
      </c>
      <c r="BL72" s="63" t="b">
        <v>1</v>
      </c>
    </row>
    <row r="73" s="29" customFormat="1" ht="69" customHeight="1" spans="1:64">
      <c r="A73" s="7" t="s">
        <v>346</v>
      </c>
      <c r="B73" s="7" t="s">
        <v>347</v>
      </c>
      <c r="C73" s="94" t="s">
        <v>29</v>
      </c>
      <c r="D73" s="17" t="s">
        <v>252</v>
      </c>
      <c r="E73" s="7" t="s">
        <v>173</v>
      </c>
      <c r="F73" s="4" t="s">
        <v>31</v>
      </c>
      <c r="G73" s="4" t="s">
        <v>32</v>
      </c>
      <c r="H73" s="7" t="s">
        <v>174</v>
      </c>
      <c r="I73" s="7" t="s">
        <v>253</v>
      </c>
      <c r="J73" s="125" t="s">
        <v>254</v>
      </c>
      <c r="K73" s="107" t="s">
        <v>255</v>
      </c>
      <c r="L73" s="7">
        <v>378</v>
      </c>
      <c r="M73" s="106" t="s">
        <v>177</v>
      </c>
      <c r="N73" s="106" t="s">
        <v>177</v>
      </c>
      <c r="O73" s="7">
        <v>1600000</v>
      </c>
      <c r="P73" s="7">
        <v>400000</v>
      </c>
      <c r="Q73" s="7">
        <v>0</v>
      </c>
      <c r="R73" s="7">
        <v>0</v>
      </c>
      <c r="S73" s="7">
        <v>0</v>
      </c>
      <c r="T73" s="106" t="s">
        <v>256</v>
      </c>
      <c r="U73" s="7">
        <v>0</v>
      </c>
      <c r="V73" s="7">
        <v>0</v>
      </c>
      <c r="W73" s="7" t="s">
        <v>177</v>
      </c>
      <c r="X73" s="7" t="s">
        <v>178</v>
      </c>
      <c r="Y73" s="7" t="s">
        <v>177</v>
      </c>
      <c r="Z73" s="7" t="s">
        <v>178</v>
      </c>
      <c r="AA73" s="7" t="s">
        <v>178</v>
      </c>
      <c r="AB73" s="7"/>
      <c r="AC73" s="7" t="s">
        <v>179</v>
      </c>
      <c r="AD73" s="7" t="s">
        <v>173</v>
      </c>
      <c r="AE73" s="7" t="s">
        <v>344</v>
      </c>
      <c r="AF73" s="7"/>
      <c r="AG73" s="7"/>
      <c r="AH73" s="7" t="s">
        <v>181</v>
      </c>
      <c r="AI73" s="7" t="s">
        <v>182</v>
      </c>
      <c r="AJ73" s="120" t="s">
        <v>183</v>
      </c>
      <c r="AK73" s="95" t="s">
        <v>45</v>
      </c>
      <c r="AL73" s="95" t="s">
        <v>345</v>
      </c>
      <c r="AM73" s="95">
        <v>1</v>
      </c>
      <c r="AN73" s="7"/>
      <c r="AO73" s="7" t="s">
        <v>185</v>
      </c>
      <c r="AP73" s="7" t="s">
        <v>186</v>
      </c>
      <c r="AQ73" s="7" t="s">
        <v>48</v>
      </c>
      <c r="AR73" s="7">
        <v>18</v>
      </c>
      <c r="AS73" s="7" t="s">
        <v>33</v>
      </c>
      <c r="AT73" s="7" t="s">
        <v>36</v>
      </c>
      <c r="AU73" s="7"/>
      <c r="AV73" s="7"/>
      <c r="AW73" s="7"/>
      <c r="AX73" s="7"/>
      <c r="AY73" s="7"/>
      <c r="AZ73" s="7" t="s">
        <v>36</v>
      </c>
      <c r="BA73" s="101" t="s">
        <v>187</v>
      </c>
      <c r="BB73" s="21">
        <v>200</v>
      </c>
      <c r="BC73" s="21">
        <v>1</v>
      </c>
      <c r="BD73" s="21" t="s">
        <v>188</v>
      </c>
      <c r="BE73" s="21" t="str">
        <f t="shared" si="4"/>
        <v>VNPAY</v>
      </c>
      <c r="BF73" s="21" t="str">
        <f t="shared" si="5"/>
        <v>5D</v>
      </c>
      <c r="BG73" s="63" t="b">
        <v>0</v>
      </c>
      <c r="BH73" s="21" t="s">
        <v>189</v>
      </c>
      <c r="BI73" s="21" t="s">
        <v>188</v>
      </c>
      <c r="BJ73" s="21" t="s">
        <v>188</v>
      </c>
      <c r="BK73" s="21" t="s">
        <v>258</v>
      </c>
      <c r="BL73" s="63" t="b">
        <v>0</v>
      </c>
    </row>
    <row r="74" s="29" customFormat="1" ht="69" customHeight="1" spans="1:64">
      <c r="A74" s="7" t="s">
        <v>348</v>
      </c>
      <c r="B74" s="7" t="s">
        <v>349</v>
      </c>
      <c r="C74" s="94" t="s">
        <v>29</v>
      </c>
      <c r="D74" s="17" t="s">
        <v>252</v>
      </c>
      <c r="E74" s="7" t="s">
        <v>173</v>
      </c>
      <c r="F74" s="4" t="s">
        <v>31</v>
      </c>
      <c r="G74" s="4" t="s">
        <v>32</v>
      </c>
      <c r="H74" s="7" t="s">
        <v>174</v>
      </c>
      <c r="I74" s="7" t="s">
        <v>253</v>
      </c>
      <c r="J74" s="125" t="s">
        <v>254</v>
      </c>
      <c r="K74" s="107" t="s">
        <v>255</v>
      </c>
      <c r="L74" s="7">
        <v>378</v>
      </c>
      <c r="M74" s="106" t="s">
        <v>177</v>
      </c>
      <c r="N74" s="106" t="s">
        <v>256</v>
      </c>
      <c r="O74" s="7">
        <v>1600000</v>
      </c>
      <c r="P74" s="7">
        <v>400000</v>
      </c>
      <c r="Q74" s="7">
        <v>0</v>
      </c>
      <c r="R74" s="7">
        <v>0</v>
      </c>
      <c r="S74" s="7">
        <v>0</v>
      </c>
      <c r="T74" s="106" t="s">
        <v>256</v>
      </c>
      <c r="U74" s="7">
        <v>0</v>
      </c>
      <c r="V74" s="7">
        <v>0</v>
      </c>
      <c r="W74" s="7" t="s">
        <v>177</v>
      </c>
      <c r="X74" s="7" t="s">
        <v>178</v>
      </c>
      <c r="Y74" s="7" t="s">
        <v>177</v>
      </c>
      <c r="Z74" s="7" t="s">
        <v>178</v>
      </c>
      <c r="AA74" s="7" t="s">
        <v>178</v>
      </c>
      <c r="AB74" s="7"/>
      <c r="AC74" s="7" t="s">
        <v>179</v>
      </c>
      <c r="AD74" s="7" t="s">
        <v>173</v>
      </c>
      <c r="AE74" s="7" t="s">
        <v>344</v>
      </c>
      <c r="AF74" s="7"/>
      <c r="AG74" s="7"/>
      <c r="AH74" s="7" t="s">
        <v>181</v>
      </c>
      <c r="AI74" s="7" t="s">
        <v>182</v>
      </c>
      <c r="AJ74" s="120" t="s">
        <v>183</v>
      </c>
      <c r="AK74" s="95" t="s">
        <v>45</v>
      </c>
      <c r="AL74" s="95" t="s">
        <v>345</v>
      </c>
      <c r="AM74" s="95">
        <v>2</v>
      </c>
      <c r="AN74" s="7"/>
      <c r="AO74" s="7" t="s">
        <v>185</v>
      </c>
      <c r="AP74" s="7" t="s">
        <v>186</v>
      </c>
      <c r="AQ74" s="7" t="s">
        <v>48</v>
      </c>
      <c r="AR74" s="7">
        <v>18</v>
      </c>
      <c r="AS74" s="7" t="s">
        <v>33</v>
      </c>
      <c r="AT74" s="7" t="s">
        <v>36</v>
      </c>
      <c r="AU74" s="7"/>
      <c r="AV74" s="7"/>
      <c r="AW74" s="7"/>
      <c r="AX74" s="7"/>
      <c r="AY74" s="7"/>
      <c r="AZ74" s="7" t="s">
        <v>36</v>
      </c>
      <c r="BA74" s="101" t="s">
        <v>187</v>
      </c>
      <c r="BB74" s="21">
        <v>200</v>
      </c>
      <c r="BC74" s="21">
        <v>1</v>
      </c>
      <c r="BD74" s="21" t="s">
        <v>188</v>
      </c>
      <c r="BE74" s="21" t="str">
        <f t="shared" si="4"/>
        <v>VNPAY</v>
      </c>
      <c r="BF74" s="21" t="str">
        <f t="shared" si="5"/>
        <v>5D</v>
      </c>
      <c r="BG74" s="63" t="b">
        <v>0</v>
      </c>
      <c r="BH74" s="21" t="s">
        <v>189</v>
      </c>
      <c r="BI74" s="21" t="s">
        <v>188</v>
      </c>
      <c r="BJ74" s="21" t="s">
        <v>188</v>
      </c>
      <c r="BK74" s="21" t="s">
        <v>258</v>
      </c>
      <c r="BL74" s="63" t="b">
        <v>0</v>
      </c>
    </row>
    <row r="75" s="29" customFormat="1" ht="69" customHeight="1" spans="1:64">
      <c r="A75" s="7" t="s">
        <v>350</v>
      </c>
      <c r="B75" s="7" t="s">
        <v>351</v>
      </c>
      <c r="C75" s="94" t="s">
        <v>29</v>
      </c>
      <c r="D75" s="17" t="s">
        <v>252</v>
      </c>
      <c r="E75" s="7" t="s">
        <v>173</v>
      </c>
      <c r="F75" s="4" t="s">
        <v>31</v>
      </c>
      <c r="G75" s="4" t="s">
        <v>32</v>
      </c>
      <c r="H75" s="7" t="s">
        <v>174</v>
      </c>
      <c r="I75" s="7" t="s">
        <v>253</v>
      </c>
      <c r="J75" s="125" t="s">
        <v>254</v>
      </c>
      <c r="K75" s="107" t="s">
        <v>255</v>
      </c>
      <c r="L75" s="7">
        <v>378</v>
      </c>
      <c r="M75" s="106" t="s">
        <v>256</v>
      </c>
      <c r="N75" s="106" t="s">
        <v>177</v>
      </c>
      <c r="O75" s="7">
        <v>1600000</v>
      </c>
      <c r="P75" s="7">
        <v>400000</v>
      </c>
      <c r="Q75" s="7">
        <v>0</v>
      </c>
      <c r="R75" s="7">
        <v>0</v>
      </c>
      <c r="S75" s="7">
        <v>0</v>
      </c>
      <c r="T75" s="106" t="s">
        <v>256</v>
      </c>
      <c r="U75" s="7">
        <v>0</v>
      </c>
      <c r="V75" s="7">
        <v>0</v>
      </c>
      <c r="W75" s="7" t="s">
        <v>177</v>
      </c>
      <c r="X75" s="7" t="s">
        <v>178</v>
      </c>
      <c r="Y75" s="7" t="s">
        <v>177</v>
      </c>
      <c r="Z75" s="7" t="s">
        <v>178</v>
      </c>
      <c r="AA75" s="7" t="s">
        <v>178</v>
      </c>
      <c r="AB75" s="7"/>
      <c r="AC75" s="7" t="s">
        <v>179</v>
      </c>
      <c r="AD75" s="7" t="s">
        <v>173</v>
      </c>
      <c r="AE75" s="7" t="s">
        <v>344</v>
      </c>
      <c r="AF75" s="7"/>
      <c r="AG75" s="7"/>
      <c r="AH75" s="7" t="s">
        <v>181</v>
      </c>
      <c r="AI75" s="7" t="s">
        <v>182</v>
      </c>
      <c r="AJ75" s="120" t="s">
        <v>183</v>
      </c>
      <c r="AK75" s="95" t="s">
        <v>45</v>
      </c>
      <c r="AL75" s="95" t="s">
        <v>345</v>
      </c>
      <c r="AM75" s="95">
        <v>3</v>
      </c>
      <c r="AN75" s="7"/>
      <c r="AO75" s="7" t="s">
        <v>185</v>
      </c>
      <c r="AP75" s="7" t="s">
        <v>186</v>
      </c>
      <c r="AQ75" s="7" t="s">
        <v>48</v>
      </c>
      <c r="AR75" s="7">
        <v>18</v>
      </c>
      <c r="AS75" s="7" t="s">
        <v>33</v>
      </c>
      <c r="AT75" s="7" t="s">
        <v>36</v>
      </c>
      <c r="AU75" s="7"/>
      <c r="AV75" s="7"/>
      <c r="AW75" s="7"/>
      <c r="AX75" s="7"/>
      <c r="AY75" s="7"/>
      <c r="AZ75" s="7" t="s">
        <v>36</v>
      </c>
      <c r="BA75" s="101" t="s">
        <v>187</v>
      </c>
      <c r="BB75" s="21">
        <v>200</v>
      </c>
      <c r="BC75" s="21">
        <v>1</v>
      </c>
      <c r="BD75" s="21" t="s">
        <v>188</v>
      </c>
      <c r="BE75" s="21" t="str">
        <f t="shared" si="4"/>
        <v>VNPAY</v>
      </c>
      <c r="BF75" s="21" t="str">
        <f t="shared" si="5"/>
        <v>5D</v>
      </c>
      <c r="BG75" s="63" t="b">
        <v>0</v>
      </c>
      <c r="BH75" s="21" t="s">
        <v>189</v>
      </c>
      <c r="BI75" s="21" t="s">
        <v>188</v>
      </c>
      <c r="BJ75" s="21" t="s">
        <v>188</v>
      </c>
      <c r="BK75" s="21" t="s">
        <v>258</v>
      </c>
      <c r="BL75" s="63" t="b">
        <v>0</v>
      </c>
    </row>
  </sheetData>
  <mergeCells count="2">
    <mergeCell ref="B2:D2"/>
    <mergeCell ref="B33:D33"/>
  </mergeCells>
  <hyperlinks>
    <hyperlink ref="K72" r:id="rId3" display="vnpay00@vnpay.vn"/>
    <hyperlink ref="K73" r:id="rId3" display="vnpay00@vnpay.vn"/>
    <hyperlink ref="K74" r:id="rId3" display="vnpay00@vnpay.vn"/>
    <hyperlink ref="K75" r:id="rId3" display="vnpay00@vnpay.vn"/>
    <hyperlink ref="K68" r:id="rId3" display="vnpay00@vnpay.vn"/>
    <hyperlink ref="K34" r:id="rId3" display="vnpay00@vnpay.vn"/>
    <hyperlink ref="K35" r:id="rId3" display="vnpay00@vnpay.vn"/>
    <hyperlink ref="K36" r:id="rId3" display="vnpay00@vnpay.vn"/>
    <hyperlink ref="K37" r:id="rId3" display="vnpay00@vnpay.vn"/>
    <hyperlink ref="K38" r:id="rId3" display="vnpay00@vnpay.vn"/>
    <hyperlink ref="K39" r:id="rId3" display="vnpay00@vnpay.vn"/>
    <hyperlink ref="K40" r:id="rId3" display="vnpay00@vnpay.vn"/>
    <hyperlink ref="K41" r:id="rId3" display="vnpay00@vnpay.vn"/>
    <hyperlink ref="K42" r:id="rId3" display="vnpay00@vnpay.vn"/>
    <hyperlink ref="K43" r:id="rId3" display="vnpay00@vnpay.vn"/>
    <hyperlink ref="K44" r:id="rId3" display="vnpay00@vnpay.vn"/>
    <hyperlink ref="K45" r:id="rId3" display="vnpay00@vnpay.vn"/>
    <hyperlink ref="K46" r:id="rId3" display="vnpay00@vnpay.vn"/>
    <hyperlink ref="K47" r:id="rId3" display="vnpay00@vnpay.vn"/>
    <hyperlink ref="K48" r:id="rId3" display="vnpay00@vnpay.vn"/>
    <hyperlink ref="K49" r:id="rId3" display="vnpay00@vnpay.vn"/>
    <hyperlink ref="K50" r:id="rId3" display="vnpay00@vnpay.vn"/>
    <hyperlink ref="K51" r:id="rId3" display="vnpay00@vnpay.vn"/>
    <hyperlink ref="K52" r:id="rId3" display="vnpay00@vnpay.vn"/>
    <hyperlink ref="K53" r:id="rId3" display="vnpay00@vnpay.vn"/>
    <hyperlink ref="K54" r:id="rId3" display="vnpay00@vnpay.vn"/>
    <hyperlink ref="K55" r:id="rId3" display="vnpay00@vnpay.vn"/>
    <hyperlink ref="K56" r:id="rId3" display="vnpay00@vnpay.vn"/>
    <hyperlink ref="K57" r:id="rId3" display="vnpay00@vnpay.vn"/>
    <hyperlink ref="K58" r:id="rId3" display="vnpay00@vnpay.vn"/>
    <hyperlink ref="K59" r:id="rId3" display="vnpay00@vnpay.vn"/>
    <hyperlink ref="K60" r:id="rId3" display="vnpay00@vnpay.vn"/>
    <hyperlink ref="K61" r:id="rId3" display="vnpay00@vnpay.vn"/>
    <hyperlink ref="K62" r:id="rId3" display="vnpay00@vnpay.vn"/>
    <hyperlink ref="K63" r:id="rId3" display="vnpay00@vnpay.vn"/>
  </hyperlink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90"/>
  <sheetViews>
    <sheetView zoomScale="85" zoomScaleNormal="85" topLeftCell="AP1" workbookViewId="0">
      <pane ySplit="1" topLeftCell="A13" activePane="bottomLeft" state="frozen"/>
      <selection/>
      <selection pane="bottomLeft" activeCell="AZ16" sqref="AZ16:BA20"/>
    </sheetView>
  </sheetViews>
  <sheetFormatPr defaultColWidth="9.14285714285714" defaultRowHeight="30" customHeight="1"/>
  <cols>
    <col min="1" max="1" width="24.0285714285714" style="1" customWidth="1"/>
    <col min="2" max="2" width="31" style="1" customWidth="1"/>
    <col min="3" max="3" width="14.952380952381" style="1" customWidth="1"/>
    <col min="4" max="4" width="27.1428571428571" style="1" customWidth="1"/>
    <col min="5" max="5" width="20.1619047619048" style="1" customWidth="1"/>
    <col min="6" max="6" width="20.4952380952381" style="1" customWidth="1"/>
    <col min="7" max="7" width="19.8285714285714" style="1" customWidth="1"/>
    <col min="8" max="12" width="17.8380952380952" style="1" customWidth="1"/>
    <col min="13" max="14" width="17.8380952380952" style="23" customWidth="1"/>
    <col min="15" max="21" width="17.8380952380952" style="1" customWidth="1"/>
    <col min="22" max="22" width="17.8380952380952" style="23" customWidth="1"/>
    <col min="23" max="51" width="17.8380952380952" style="1" customWidth="1"/>
    <col min="52" max="52" width="17.4761904761905" style="1" customWidth="1"/>
    <col min="53" max="53" width="18.8285714285714" style="1" customWidth="1"/>
    <col min="54" max="54" width="31.4285714285714" style="1" customWidth="1"/>
    <col min="55" max="59" width="18.9428571428571" style="1" customWidth="1"/>
    <col min="60" max="60" width="18.9428571428571" style="16" customWidth="1"/>
    <col min="61" max="64" width="18.9428571428571" style="1" customWidth="1"/>
    <col min="65" max="65" width="18.9428571428571" style="16" customWidth="1"/>
    <col min="66" max="16384" width="9.14285714285714" style="1"/>
  </cols>
  <sheetData>
    <row r="1" s="1" customFormat="1" ht="62" customHeight="1" spans="1:65">
      <c r="A1" s="2" t="s">
        <v>0</v>
      </c>
      <c r="B1" s="2" t="s">
        <v>1</v>
      </c>
      <c r="C1" s="2" t="s">
        <v>2</v>
      </c>
      <c r="D1" s="2" t="s">
        <v>3</v>
      </c>
      <c r="E1" s="3" t="s">
        <v>113</v>
      </c>
      <c r="F1" s="3" t="s">
        <v>114</v>
      </c>
      <c r="G1" s="3" t="s">
        <v>115</v>
      </c>
      <c r="H1" s="3" t="s">
        <v>116</v>
      </c>
      <c r="I1" s="3" t="s">
        <v>117</v>
      </c>
      <c r="J1" s="3" t="s">
        <v>118</v>
      </c>
      <c r="K1" s="3" t="s">
        <v>119</v>
      </c>
      <c r="L1" s="112" t="s">
        <v>120</v>
      </c>
      <c r="M1" s="113" t="s">
        <v>121</v>
      </c>
      <c r="N1" s="113" t="s">
        <v>122</v>
      </c>
      <c r="O1" s="112" t="s">
        <v>123</v>
      </c>
      <c r="P1" s="112" t="s">
        <v>124</v>
      </c>
      <c r="Q1" s="112" t="s">
        <v>125</v>
      </c>
      <c r="R1" s="112" t="s">
        <v>126</v>
      </c>
      <c r="S1" s="112" t="s">
        <v>127</v>
      </c>
      <c r="T1" s="113" t="s">
        <v>128</v>
      </c>
      <c r="U1" s="112" t="s">
        <v>129</v>
      </c>
      <c r="V1" s="113" t="s">
        <v>130</v>
      </c>
      <c r="W1" s="3" t="s">
        <v>131</v>
      </c>
      <c r="X1" s="3" t="s">
        <v>132</v>
      </c>
      <c r="Y1" s="3" t="s">
        <v>133</v>
      </c>
      <c r="Z1" s="3" t="s">
        <v>134</v>
      </c>
      <c r="AA1" s="3" t="s">
        <v>135</v>
      </c>
      <c r="AB1" s="3" t="s">
        <v>136</v>
      </c>
      <c r="AC1" s="3" t="s">
        <v>137</v>
      </c>
      <c r="AD1" s="3" t="s">
        <v>138</v>
      </c>
      <c r="AE1" s="3" t="s">
        <v>139</v>
      </c>
      <c r="AF1" s="3" t="s">
        <v>140</v>
      </c>
      <c r="AG1" s="3" t="s">
        <v>141</v>
      </c>
      <c r="AH1" s="3" t="s">
        <v>142</v>
      </c>
      <c r="AI1" s="112" t="s">
        <v>143</v>
      </c>
      <c r="AJ1" s="48" t="s">
        <v>144</v>
      </c>
      <c r="AK1" s="48" t="s">
        <v>145</v>
      </c>
      <c r="AL1" s="48" t="s">
        <v>146</v>
      </c>
      <c r="AM1" s="48" t="s">
        <v>147</v>
      </c>
      <c r="AN1" s="3" t="s">
        <v>148</v>
      </c>
      <c r="AO1" s="3" t="s">
        <v>149</v>
      </c>
      <c r="AP1" s="3" t="s">
        <v>150</v>
      </c>
      <c r="AQ1" s="3" t="s">
        <v>151</v>
      </c>
      <c r="AR1" s="3" t="s">
        <v>152</v>
      </c>
      <c r="AS1" s="3" t="s">
        <v>153</v>
      </c>
      <c r="AT1" s="3" t="s">
        <v>154</v>
      </c>
      <c r="AU1" s="118" t="s">
        <v>155</v>
      </c>
      <c r="AV1" s="118" t="s">
        <v>156</v>
      </c>
      <c r="AW1" s="118" t="s">
        <v>157</v>
      </c>
      <c r="AX1" s="118" t="s">
        <v>158</v>
      </c>
      <c r="AY1" s="118" t="s">
        <v>159</v>
      </c>
      <c r="AZ1" s="3" t="s">
        <v>352</v>
      </c>
      <c r="BA1" s="3" t="s">
        <v>353</v>
      </c>
      <c r="BB1" s="12" t="s">
        <v>15</v>
      </c>
      <c r="BC1" s="10" t="s">
        <v>16</v>
      </c>
      <c r="BD1" s="10" t="s">
        <v>17</v>
      </c>
      <c r="BE1" s="10" t="s">
        <v>161</v>
      </c>
      <c r="BF1" s="10" t="s">
        <v>162</v>
      </c>
      <c r="BG1" s="10" t="s">
        <v>163</v>
      </c>
      <c r="BH1" s="18" t="s">
        <v>164</v>
      </c>
      <c r="BI1" s="10" t="s">
        <v>165</v>
      </c>
      <c r="BJ1" s="10" t="s">
        <v>166</v>
      </c>
      <c r="BK1" s="10" t="s">
        <v>167</v>
      </c>
      <c r="BL1" s="10" t="s">
        <v>168</v>
      </c>
      <c r="BM1" s="18" t="s">
        <v>169</v>
      </c>
    </row>
    <row r="2" s="28" customFormat="1" ht="21" customHeight="1" spans="1:52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1"/>
      <c r="X2" s="50"/>
      <c r="Y2" s="50"/>
      <c r="Z2" s="50"/>
      <c r="AA2" s="50"/>
      <c r="AB2" s="52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</row>
    <row r="3" s="29" customFormat="1" ht="37" customHeight="1" spans="1:65">
      <c r="A3" s="35"/>
      <c r="B3" s="36" t="s">
        <v>69</v>
      </c>
      <c r="C3" s="37"/>
      <c r="D3" s="37"/>
      <c r="E3" s="38"/>
      <c r="F3" s="38"/>
      <c r="G3" s="38"/>
      <c r="H3" s="38"/>
      <c r="I3" s="38"/>
      <c r="J3" s="38"/>
      <c r="K3" s="38"/>
      <c r="L3" s="38"/>
      <c r="M3" s="45"/>
      <c r="N3" s="45"/>
      <c r="O3" s="38"/>
      <c r="P3" s="38"/>
      <c r="Q3" s="38"/>
      <c r="R3" s="38"/>
      <c r="S3" s="38"/>
      <c r="T3" s="45"/>
      <c r="U3" s="38"/>
      <c r="V3" s="45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54"/>
      <c r="AK3" s="54"/>
      <c r="AL3" s="54"/>
      <c r="AM3" s="54"/>
      <c r="AN3" s="38"/>
      <c r="AO3" s="38"/>
      <c r="AP3" s="38"/>
      <c r="AQ3" s="38"/>
      <c r="AR3" s="38"/>
      <c r="AS3" s="38"/>
      <c r="AT3" s="38"/>
      <c r="AU3" s="38"/>
      <c r="AV3" s="38"/>
      <c r="AW3" s="38"/>
      <c r="AX3" s="38"/>
      <c r="AY3" s="38"/>
      <c r="AZ3" s="38"/>
      <c r="BA3" s="61"/>
      <c r="BB3" s="62"/>
      <c r="BC3" s="21"/>
      <c r="BD3" s="21"/>
      <c r="BE3" s="21"/>
      <c r="BF3" s="21"/>
      <c r="BG3" s="21"/>
      <c r="BH3" s="63"/>
      <c r="BI3" s="21"/>
      <c r="BJ3" s="21"/>
      <c r="BK3" s="21"/>
      <c r="BL3" s="21"/>
      <c r="BM3" s="63"/>
    </row>
    <row r="4" s="1" customFormat="1" ht="53" customHeight="1" spans="1:65">
      <c r="A4" s="4" t="s">
        <v>354</v>
      </c>
      <c r="B4" s="21" t="s">
        <v>355</v>
      </c>
      <c r="C4" s="94" t="s">
        <v>29</v>
      </c>
      <c r="D4" s="17" t="s">
        <v>356</v>
      </c>
      <c r="E4" s="21" t="s">
        <v>173</v>
      </c>
      <c r="F4" s="7" t="s">
        <v>31</v>
      </c>
      <c r="G4" s="4" t="s">
        <v>32</v>
      </c>
      <c r="H4" s="7" t="s">
        <v>174</v>
      </c>
      <c r="I4" s="7" t="s">
        <v>175</v>
      </c>
      <c r="J4" s="7"/>
      <c r="K4" s="7" t="s">
        <v>176</v>
      </c>
      <c r="L4" s="7"/>
      <c r="M4" s="106"/>
      <c r="N4" s="106"/>
      <c r="O4" s="7"/>
      <c r="P4" s="7"/>
      <c r="Q4" s="7"/>
      <c r="R4" s="7"/>
      <c r="S4" s="7"/>
      <c r="T4" s="106"/>
      <c r="U4" s="7"/>
      <c r="V4" s="106"/>
      <c r="W4" s="7" t="s">
        <v>177</v>
      </c>
      <c r="X4" s="7" t="s">
        <v>178</v>
      </c>
      <c r="Y4" s="7" t="s">
        <v>177</v>
      </c>
      <c r="Z4" s="7" t="s">
        <v>178</v>
      </c>
      <c r="AA4" s="7" t="s">
        <v>178</v>
      </c>
      <c r="AB4" s="7"/>
      <c r="AC4" s="7" t="s">
        <v>179</v>
      </c>
      <c r="AD4" s="7" t="s">
        <v>173</v>
      </c>
      <c r="AE4" s="7" t="s">
        <v>180</v>
      </c>
      <c r="AF4" s="7"/>
      <c r="AG4" s="7"/>
      <c r="AH4" s="7" t="s">
        <v>181</v>
      </c>
      <c r="AI4" s="114" t="s">
        <v>357</v>
      </c>
      <c r="AJ4" s="95" t="s">
        <v>183</v>
      </c>
      <c r="AK4" s="95" t="s">
        <v>35</v>
      </c>
      <c r="AL4" s="95" t="s">
        <v>184</v>
      </c>
      <c r="AM4" s="95">
        <v>0</v>
      </c>
      <c r="AN4" s="7"/>
      <c r="AO4" s="7" t="s">
        <v>185</v>
      </c>
      <c r="AP4" s="7" t="s">
        <v>186</v>
      </c>
      <c r="AQ4" s="7" t="s">
        <v>63</v>
      </c>
      <c r="AR4" s="7" t="s">
        <v>174</v>
      </c>
      <c r="AS4" s="7" t="s">
        <v>33</v>
      </c>
      <c r="AT4" s="7" t="s">
        <v>36</v>
      </c>
      <c r="AU4" s="7"/>
      <c r="AV4" s="7"/>
      <c r="AW4" s="7"/>
      <c r="AX4" s="7"/>
      <c r="AY4" s="7"/>
      <c r="AZ4" s="56">
        <v>61373</v>
      </c>
      <c r="BA4" s="57" t="s">
        <v>73</v>
      </c>
      <c r="BB4" s="13" t="s">
        <v>187</v>
      </c>
      <c r="BC4" s="9">
        <v>200</v>
      </c>
      <c r="BD4" s="9">
        <v>1</v>
      </c>
      <c r="BE4" s="9" t="s">
        <v>188</v>
      </c>
      <c r="BF4" s="9" t="str">
        <f>I4</f>
        <v>PhuongTT</v>
      </c>
      <c r="BG4" s="9" t="str">
        <f>AQ4</f>
        <v>VST</v>
      </c>
      <c r="BH4" s="19" t="b">
        <v>0</v>
      </c>
      <c r="BI4" s="9" t="s">
        <v>189</v>
      </c>
      <c r="BJ4" s="9" t="s">
        <v>188</v>
      </c>
      <c r="BK4" s="9" t="s">
        <v>188</v>
      </c>
      <c r="BL4" s="9" t="s">
        <v>190</v>
      </c>
      <c r="BM4" s="19" t="b">
        <v>0</v>
      </c>
    </row>
    <row r="5" s="1" customFormat="1" ht="53" customHeight="1" spans="1:65">
      <c r="A5" s="4" t="s">
        <v>358</v>
      </c>
      <c r="B5" s="21" t="s">
        <v>355</v>
      </c>
      <c r="C5" s="94" t="s">
        <v>29</v>
      </c>
      <c r="D5" s="17" t="s">
        <v>356</v>
      </c>
      <c r="E5" s="21" t="s">
        <v>173</v>
      </c>
      <c r="F5" s="7" t="s">
        <v>31</v>
      </c>
      <c r="G5" s="4" t="s">
        <v>32</v>
      </c>
      <c r="H5" s="7" t="s">
        <v>174</v>
      </c>
      <c r="I5" s="7" t="s">
        <v>175</v>
      </c>
      <c r="J5" s="7"/>
      <c r="K5" s="7" t="s">
        <v>176</v>
      </c>
      <c r="L5" s="7"/>
      <c r="M5" s="106"/>
      <c r="N5" s="106"/>
      <c r="O5" s="7"/>
      <c r="P5" s="7"/>
      <c r="Q5" s="7"/>
      <c r="R5" s="7"/>
      <c r="S5" s="7"/>
      <c r="T5" s="106"/>
      <c r="U5" s="7"/>
      <c r="V5" s="106"/>
      <c r="W5" s="7" t="s">
        <v>177</v>
      </c>
      <c r="X5" s="7" t="s">
        <v>178</v>
      </c>
      <c r="Y5" s="7" t="s">
        <v>177</v>
      </c>
      <c r="Z5" s="7" t="s">
        <v>178</v>
      </c>
      <c r="AA5" s="7" t="s">
        <v>178</v>
      </c>
      <c r="AB5" s="7"/>
      <c r="AC5" s="7" t="s">
        <v>179</v>
      </c>
      <c r="AD5" s="7" t="s">
        <v>173</v>
      </c>
      <c r="AE5" s="7" t="s">
        <v>192</v>
      </c>
      <c r="AF5" s="7"/>
      <c r="AG5" s="7"/>
      <c r="AH5" s="7" t="s">
        <v>181</v>
      </c>
      <c r="AI5" s="114" t="s">
        <v>357</v>
      </c>
      <c r="AJ5" s="95" t="s">
        <v>183</v>
      </c>
      <c r="AK5" s="95" t="s">
        <v>35</v>
      </c>
      <c r="AL5" s="95" t="s">
        <v>184</v>
      </c>
      <c r="AM5" s="95">
        <v>1</v>
      </c>
      <c r="AN5" s="7"/>
      <c r="AO5" s="7" t="s">
        <v>185</v>
      </c>
      <c r="AP5" s="7" t="s">
        <v>186</v>
      </c>
      <c r="AQ5" s="7" t="s">
        <v>63</v>
      </c>
      <c r="AR5" s="7" t="s">
        <v>174</v>
      </c>
      <c r="AS5" s="7" t="s">
        <v>33</v>
      </c>
      <c r="AT5" s="7" t="s">
        <v>36</v>
      </c>
      <c r="AU5" s="7"/>
      <c r="AV5" s="7"/>
      <c r="AW5" s="7"/>
      <c r="AX5" s="7"/>
      <c r="AY5" s="7"/>
      <c r="AZ5" s="56">
        <v>61373</v>
      </c>
      <c r="BA5" s="57" t="s">
        <v>73</v>
      </c>
      <c r="BB5" s="13" t="s">
        <v>187</v>
      </c>
      <c r="BC5" s="9">
        <v>200</v>
      </c>
      <c r="BD5" s="9">
        <v>1</v>
      </c>
      <c r="BE5" s="9" t="s">
        <v>188</v>
      </c>
      <c r="BF5" s="9" t="str">
        <f t="shared" ref="BF5:BF18" si="0">I5</f>
        <v>PhuongTT</v>
      </c>
      <c r="BG5" s="9" t="str">
        <f t="shared" ref="BG5:BG18" si="1">AQ5</f>
        <v>VST</v>
      </c>
      <c r="BH5" s="19" t="b">
        <v>0</v>
      </c>
      <c r="BI5" s="9" t="s">
        <v>189</v>
      </c>
      <c r="BJ5" s="9" t="s">
        <v>188</v>
      </c>
      <c r="BK5" s="9" t="s">
        <v>188</v>
      </c>
      <c r="BL5" s="9" t="s">
        <v>190</v>
      </c>
      <c r="BM5" s="19" t="b">
        <v>0</v>
      </c>
    </row>
    <row r="6" s="1" customFormat="1" ht="53" customHeight="1" spans="1:65">
      <c r="A6" s="4" t="s">
        <v>359</v>
      </c>
      <c r="B6" s="21" t="s">
        <v>355</v>
      </c>
      <c r="C6" s="94" t="s">
        <v>29</v>
      </c>
      <c r="D6" s="17" t="s">
        <v>356</v>
      </c>
      <c r="E6" s="21" t="s">
        <v>173</v>
      </c>
      <c r="F6" s="7" t="s">
        <v>31</v>
      </c>
      <c r="G6" s="4" t="s">
        <v>32</v>
      </c>
      <c r="H6" s="7" t="s">
        <v>174</v>
      </c>
      <c r="I6" s="7" t="s">
        <v>175</v>
      </c>
      <c r="J6" s="7"/>
      <c r="K6" s="7" t="s">
        <v>176</v>
      </c>
      <c r="L6" s="7"/>
      <c r="M6" s="106"/>
      <c r="N6" s="106"/>
      <c r="O6" s="7"/>
      <c r="P6" s="7"/>
      <c r="Q6" s="7"/>
      <c r="R6" s="7"/>
      <c r="S6" s="7"/>
      <c r="T6" s="106"/>
      <c r="U6" s="7"/>
      <c r="V6" s="106"/>
      <c r="W6" s="7" t="s">
        <v>177</v>
      </c>
      <c r="X6" s="7" t="s">
        <v>178</v>
      </c>
      <c r="Y6" s="7" t="s">
        <v>177</v>
      </c>
      <c r="Z6" s="7" t="s">
        <v>178</v>
      </c>
      <c r="AA6" s="7" t="s">
        <v>178</v>
      </c>
      <c r="AB6" s="7"/>
      <c r="AC6" s="7" t="s">
        <v>179</v>
      </c>
      <c r="AD6" s="7" t="s">
        <v>173</v>
      </c>
      <c r="AE6" s="7" t="s">
        <v>194</v>
      </c>
      <c r="AF6" s="7"/>
      <c r="AG6" s="7"/>
      <c r="AH6" s="7" t="s">
        <v>181</v>
      </c>
      <c r="AI6" s="114" t="s">
        <v>357</v>
      </c>
      <c r="AJ6" s="95" t="s">
        <v>183</v>
      </c>
      <c r="AK6" s="95" t="s">
        <v>35</v>
      </c>
      <c r="AL6" s="95" t="s">
        <v>184</v>
      </c>
      <c r="AM6" s="95">
        <v>2</v>
      </c>
      <c r="AN6" s="7"/>
      <c r="AO6" s="7" t="s">
        <v>185</v>
      </c>
      <c r="AP6" s="7" t="s">
        <v>186</v>
      </c>
      <c r="AQ6" s="7" t="s">
        <v>63</v>
      </c>
      <c r="AR6" s="7" t="s">
        <v>174</v>
      </c>
      <c r="AS6" s="7" t="s">
        <v>33</v>
      </c>
      <c r="AT6" s="7" t="s">
        <v>36</v>
      </c>
      <c r="AU6" s="7"/>
      <c r="AV6" s="7"/>
      <c r="AW6" s="7"/>
      <c r="AX6" s="7"/>
      <c r="AY6" s="7"/>
      <c r="AZ6" s="56">
        <v>61373</v>
      </c>
      <c r="BA6" s="57" t="s">
        <v>73</v>
      </c>
      <c r="BB6" s="13" t="s">
        <v>187</v>
      </c>
      <c r="BC6" s="9">
        <v>200</v>
      </c>
      <c r="BD6" s="9">
        <v>1</v>
      </c>
      <c r="BE6" s="9" t="s">
        <v>188</v>
      </c>
      <c r="BF6" s="9" t="str">
        <f t="shared" si="0"/>
        <v>PhuongTT</v>
      </c>
      <c r="BG6" s="9" t="str">
        <f t="shared" si="1"/>
        <v>VST</v>
      </c>
      <c r="BH6" s="19" t="b">
        <v>0</v>
      </c>
      <c r="BI6" s="9" t="s">
        <v>189</v>
      </c>
      <c r="BJ6" s="9" t="s">
        <v>188</v>
      </c>
      <c r="BK6" s="9" t="s">
        <v>188</v>
      </c>
      <c r="BL6" s="9" t="s">
        <v>190</v>
      </c>
      <c r="BM6" s="19" t="b">
        <v>0</v>
      </c>
    </row>
    <row r="7" s="111" customFormat="1" ht="53" customHeight="1" spans="1:66">
      <c r="A7" s="4" t="s">
        <v>360</v>
      </c>
      <c r="B7" s="21" t="s">
        <v>355</v>
      </c>
      <c r="C7" s="94" t="s">
        <v>29</v>
      </c>
      <c r="D7" s="17" t="s">
        <v>356</v>
      </c>
      <c r="E7" s="21" t="s">
        <v>173</v>
      </c>
      <c r="F7" s="7" t="s">
        <v>31</v>
      </c>
      <c r="G7" s="4" t="s">
        <v>32</v>
      </c>
      <c r="H7" s="7" t="s">
        <v>174</v>
      </c>
      <c r="I7" s="7" t="s">
        <v>175</v>
      </c>
      <c r="J7" s="7"/>
      <c r="K7" s="7" t="s">
        <v>176</v>
      </c>
      <c r="L7" s="7"/>
      <c r="M7" s="106"/>
      <c r="N7" s="106"/>
      <c r="O7" s="7"/>
      <c r="P7" s="7"/>
      <c r="Q7" s="7"/>
      <c r="R7" s="7"/>
      <c r="S7" s="7"/>
      <c r="T7" s="106"/>
      <c r="U7" s="7"/>
      <c r="V7" s="106"/>
      <c r="W7" s="7" t="s">
        <v>177</v>
      </c>
      <c r="X7" s="7" t="s">
        <v>178</v>
      </c>
      <c r="Y7" s="7" t="s">
        <v>177</v>
      </c>
      <c r="Z7" s="7" t="s">
        <v>178</v>
      </c>
      <c r="AA7" s="7" t="s">
        <v>178</v>
      </c>
      <c r="AB7" s="7"/>
      <c r="AC7" s="7" t="s">
        <v>179</v>
      </c>
      <c r="AD7" s="7" t="s">
        <v>173</v>
      </c>
      <c r="AE7" s="7" t="s">
        <v>196</v>
      </c>
      <c r="AF7" s="7"/>
      <c r="AG7" s="7"/>
      <c r="AH7" s="7" t="s">
        <v>181</v>
      </c>
      <c r="AI7" s="114" t="s">
        <v>357</v>
      </c>
      <c r="AJ7" s="95" t="s">
        <v>183</v>
      </c>
      <c r="AK7" s="95" t="s">
        <v>35</v>
      </c>
      <c r="AL7" s="95" t="s">
        <v>184</v>
      </c>
      <c r="AM7" s="95">
        <v>3</v>
      </c>
      <c r="AN7" s="7"/>
      <c r="AO7" s="7" t="s">
        <v>185</v>
      </c>
      <c r="AP7" s="7" t="s">
        <v>186</v>
      </c>
      <c r="AQ7" s="7" t="s">
        <v>63</v>
      </c>
      <c r="AR7" s="7" t="s">
        <v>174</v>
      </c>
      <c r="AS7" s="7" t="s">
        <v>33</v>
      </c>
      <c r="AT7" s="7" t="s">
        <v>36</v>
      </c>
      <c r="AU7" s="7"/>
      <c r="AV7" s="7"/>
      <c r="AW7" s="7"/>
      <c r="AX7" s="7"/>
      <c r="AY7" s="7"/>
      <c r="AZ7" s="56">
        <v>61373</v>
      </c>
      <c r="BA7" s="57" t="s">
        <v>73</v>
      </c>
      <c r="BB7" s="13" t="s">
        <v>187</v>
      </c>
      <c r="BC7" s="9">
        <v>200</v>
      </c>
      <c r="BD7" s="9">
        <v>1</v>
      </c>
      <c r="BE7" s="9" t="s">
        <v>188</v>
      </c>
      <c r="BF7" s="9" t="str">
        <f t="shared" si="0"/>
        <v>PhuongTT</v>
      </c>
      <c r="BG7" s="9" t="str">
        <f t="shared" si="1"/>
        <v>VST</v>
      </c>
      <c r="BH7" s="19" t="b">
        <v>0</v>
      </c>
      <c r="BI7" s="9" t="s">
        <v>189</v>
      </c>
      <c r="BJ7" s="9" t="s">
        <v>188</v>
      </c>
      <c r="BK7" s="9" t="s">
        <v>188</v>
      </c>
      <c r="BL7" s="9" t="s">
        <v>190</v>
      </c>
      <c r="BM7" s="19" t="b">
        <v>0</v>
      </c>
      <c r="BN7" s="29"/>
    </row>
    <row r="8" s="111" customFormat="1" ht="53" customHeight="1" spans="1:66">
      <c r="A8" s="4" t="s">
        <v>361</v>
      </c>
      <c r="B8" s="21" t="s">
        <v>355</v>
      </c>
      <c r="C8" s="94" t="s">
        <v>29</v>
      </c>
      <c r="D8" s="17" t="s">
        <v>356</v>
      </c>
      <c r="E8" s="21" t="s">
        <v>173</v>
      </c>
      <c r="F8" s="7" t="s">
        <v>31</v>
      </c>
      <c r="G8" s="4" t="s">
        <v>32</v>
      </c>
      <c r="H8" s="7" t="s">
        <v>174</v>
      </c>
      <c r="I8" s="7" t="s">
        <v>175</v>
      </c>
      <c r="J8" s="7"/>
      <c r="K8" s="7" t="s">
        <v>176</v>
      </c>
      <c r="L8" s="7"/>
      <c r="M8" s="106"/>
      <c r="N8" s="106"/>
      <c r="O8" s="7"/>
      <c r="P8" s="7"/>
      <c r="Q8" s="7"/>
      <c r="R8" s="7"/>
      <c r="S8" s="7"/>
      <c r="T8" s="106"/>
      <c r="U8" s="7"/>
      <c r="V8" s="106"/>
      <c r="W8" s="7" t="s">
        <v>177</v>
      </c>
      <c r="X8" s="7" t="s">
        <v>178</v>
      </c>
      <c r="Y8" s="7" t="s">
        <v>177</v>
      </c>
      <c r="Z8" s="7" t="s">
        <v>178</v>
      </c>
      <c r="AA8" s="7" t="s">
        <v>178</v>
      </c>
      <c r="AB8" s="7"/>
      <c r="AC8" s="7" t="s">
        <v>179</v>
      </c>
      <c r="AD8" s="7" t="s">
        <v>173</v>
      </c>
      <c r="AE8" s="7" t="s">
        <v>198</v>
      </c>
      <c r="AF8" s="7"/>
      <c r="AG8" s="7"/>
      <c r="AH8" s="7" t="s">
        <v>181</v>
      </c>
      <c r="AI8" s="114" t="s">
        <v>357</v>
      </c>
      <c r="AJ8" s="95" t="s">
        <v>183</v>
      </c>
      <c r="AK8" s="115">
        <v>0.755555555555556</v>
      </c>
      <c r="AL8" s="115">
        <v>0.855555555555556</v>
      </c>
      <c r="AM8" s="95">
        <v>0</v>
      </c>
      <c r="AN8" s="7"/>
      <c r="AO8" s="7" t="s">
        <v>185</v>
      </c>
      <c r="AP8" s="7" t="s">
        <v>186</v>
      </c>
      <c r="AQ8" s="7" t="s">
        <v>63</v>
      </c>
      <c r="AR8" s="7" t="s">
        <v>174</v>
      </c>
      <c r="AS8" s="7" t="s">
        <v>33</v>
      </c>
      <c r="AT8" s="7" t="s">
        <v>36</v>
      </c>
      <c r="AU8" s="7"/>
      <c r="AV8" s="7"/>
      <c r="AW8" s="7"/>
      <c r="AX8" s="7"/>
      <c r="AY8" s="7"/>
      <c r="AZ8" s="56">
        <v>61373</v>
      </c>
      <c r="BA8" s="57" t="s">
        <v>73</v>
      </c>
      <c r="BB8" s="13" t="s">
        <v>187</v>
      </c>
      <c r="BC8" s="9">
        <v>200</v>
      </c>
      <c r="BD8" s="9">
        <v>1</v>
      </c>
      <c r="BE8" s="9" t="s">
        <v>188</v>
      </c>
      <c r="BF8" s="9" t="str">
        <f t="shared" si="0"/>
        <v>PhuongTT</v>
      </c>
      <c r="BG8" s="9" t="str">
        <f t="shared" si="1"/>
        <v>VST</v>
      </c>
      <c r="BH8" s="19" t="b">
        <v>0</v>
      </c>
      <c r="BI8" s="9" t="s">
        <v>189</v>
      </c>
      <c r="BJ8" s="9" t="s">
        <v>188</v>
      </c>
      <c r="BK8" s="9" t="s">
        <v>188</v>
      </c>
      <c r="BL8" s="9" t="s">
        <v>190</v>
      </c>
      <c r="BM8" s="19" t="b">
        <v>0</v>
      </c>
      <c r="BN8" s="29"/>
    </row>
    <row r="9" s="111" customFormat="1" ht="37" customHeight="1" spans="1:66">
      <c r="A9" s="35"/>
      <c r="B9" s="77" t="s">
        <v>362</v>
      </c>
      <c r="C9" s="77"/>
      <c r="D9" s="77"/>
      <c r="E9" s="77"/>
      <c r="F9" s="77"/>
      <c r="G9" s="4"/>
      <c r="H9" s="7"/>
      <c r="I9" s="7"/>
      <c r="J9" s="7"/>
      <c r="K9" s="7"/>
      <c r="L9" s="7"/>
      <c r="M9" s="106"/>
      <c r="N9" s="106"/>
      <c r="O9" s="7"/>
      <c r="P9" s="7"/>
      <c r="Q9" s="7"/>
      <c r="R9" s="7"/>
      <c r="S9" s="7"/>
      <c r="T9" s="106"/>
      <c r="U9" s="7"/>
      <c r="V9" s="106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114"/>
      <c r="AJ9" s="95"/>
      <c r="AK9" s="95"/>
      <c r="AL9" s="95"/>
      <c r="AM9" s="95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13"/>
      <c r="BB9" s="13"/>
      <c r="BC9" s="9"/>
      <c r="BD9" s="9"/>
      <c r="BE9" s="9"/>
      <c r="BF9" s="9"/>
      <c r="BG9" s="9"/>
      <c r="BH9" s="19"/>
      <c r="BI9" s="9"/>
      <c r="BJ9" s="9"/>
      <c r="BK9" s="9"/>
      <c r="BL9" s="9"/>
      <c r="BM9" s="19"/>
      <c r="BN9" s="29"/>
    </row>
    <row r="10" s="1" customFormat="1" ht="50" customHeight="1" spans="1:65">
      <c r="A10" s="4" t="s">
        <v>363</v>
      </c>
      <c r="B10" s="21" t="s">
        <v>364</v>
      </c>
      <c r="C10" s="94" t="s">
        <v>29</v>
      </c>
      <c r="D10" s="17" t="s">
        <v>356</v>
      </c>
      <c r="E10" s="21" t="s">
        <v>173</v>
      </c>
      <c r="F10" s="7" t="s">
        <v>31</v>
      </c>
      <c r="G10" s="4" t="s">
        <v>32</v>
      </c>
      <c r="H10" s="7" t="s">
        <v>174</v>
      </c>
      <c r="I10" s="7" t="s">
        <v>175</v>
      </c>
      <c r="J10" s="7"/>
      <c r="K10" s="7" t="s">
        <v>176</v>
      </c>
      <c r="L10" s="7"/>
      <c r="M10" s="106"/>
      <c r="N10" s="106"/>
      <c r="O10" s="7"/>
      <c r="P10" s="7"/>
      <c r="Q10" s="7"/>
      <c r="R10" s="7"/>
      <c r="S10" s="7"/>
      <c r="T10" s="106"/>
      <c r="U10" s="7"/>
      <c r="V10" s="106"/>
      <c r="W10" s="7" t="s">
        <v>177</v>
      </c>
      <c r="X10" s="7" t="s">
        <v>178</v>
      </c>
      <c r="Y10" s="7" t="s">
        <v>177</v>
      </c>
      <c r="Z10" s="7" t="s">
        <v>178</v>
      </c>
      <c r="AA10" s="7" t="s">
        <v>178</v>
      </c>
      <c r="AB10" s="7"/>
      <c r="AC10" s="7" t="s">
        <v>179</v>
      </c>
      <c r="AD10" s="7" t="s">
        <v>173</v>
      </c>
      <c r="AE10" s="7" t="s">
        <v>201</v>
      </c>
      <c r="AF10" s="7"/>
      <c r="AG10" s="7"/>
      <c r="AH10" s="7" t="s">
        <v>181</v>
      </c>
      <c r="AI10" s="114" t="s">
        <v>357</v>
      </c>
      <c r="AJ10" s="95" t="s">
        <v>183</v>
      </c>
      <c r="AK10" s="115">
        <v>0.755555555555556</v>
      </c>
      <c r="AL10" s="115">
        <v>0.855555555555556</v>
      </c>
      <c r="AM10" s="95">
        <v>1</v>
      </c>
      <c r="AN10" s="7"/>
      <c r="AO10" s="7" t="s">
        <v>185</v>
      </c>
      <c r="AP10" s="7" t="s">
        <v>186</v>
      </c>
      <c r="AQ10" s="7" t="s">
        <v>63</v>
      </c>
      <c r="AR10" s="7" t="s">
        <v>174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58">
        <v>61375</v>
      </c>
      <c r="BA10" s="57" t="s">
        <v>77</v>
      </c>
      <c r="BB10" s="13" t="s">
        <v>187</v>
      </c>
      <c r="BC10" s="9">
        <v>200</v>
      </c>
      <c r="BD10" s="9">
        <v>1</v>
      </c>
      <c r="BE10" s="9" t="s">
        <v>188</v>
      </c>
      <c r="BF10" s="9" t="str">
        <f t="shared" si="0"/>
        <v>PhuongTT</v>
      </c>
      <c r="BG10" s="9" t="str">
        <f t="shared" si="1"/>
        <v>VST</v>
      </c>
      <c r="BH10" s="19" t="b">
        <v>0</v>
      </c>
      <c r="BI10" s="9" t="s">
        <v>189</v>
      </c>
      <c r="BJ10" s="9" t="s">
        <v>188</v>
      </c>
      <c r="BK10" s="9" t="s">
        <v>188</v>
      </c>
      <c r="BL10" s="9" t="s">
        <v>190</v>
      </c>
      <c r="BM10" s="19" t="b">
        <v>0</v>
      </c>
    </row>
    <row r="11" s="1" customFormat="1" ht="50" customHeight="1" spans="1:65">
      <c r="A11" s="4" t="s">
        <v>365</v>
      </c>
      <c r="B11" s="21" t="s">
        <v>364</v>
      </c>
      <c r="C11" s="94" t="s">
        <v>29</v>
      </c>
      <c r="D11" s="17" t="s">
        <v>356</v>
      </c>
      <c r="E11" s="21" t="s">
        <v>173</v>
      </c>
      <c r="F11" s="7" t="s">
        <v>31</v>
      </c>
      <c r="G11" s="4" t="s">
        <v>32</v>
      </c>
      <c r="H11" s="7" t="s">
        <v>174</v>
      </c>
      <c r="I11" s="7" t="s">
        <v>175</v>
      </c>
      <c r="J11" s="7"/>
      <c r="K11" s="7" t="s">
        <v>176</v>
      </c>
      <c r="L11" s="7"/>
      <c r="M11" s="106"/>
      <c r="N11" s="106"/>
      <c r="O11" s="7"/>
      <c r="P11" s="7"/>
      <c r="Q11" s="7"/>
      <c r="R11" s="7"/>
      <c r="S11" s="7"/>
      <c r="T11" s="106"/>
      <c r="U11" s="7"/>
      <c r="V11" s="106"/>
      <c r="W11" s="7" t="s">
        <v>177</v>
      </c>
      <c r="X11" s="7" t="s">
        <v>178</v>
      </c>
      <c r="Y11" s="7" t="s">
        <v>177</v>
      </c>
      <c r="Z11" s="7" t="s">
        <v>178</v>
      </c>
      <c r="AA11" s="7" t="s">
        <v>178</v>
      </c>
      <c r="AB11" s="7"/>
      <c r="AC11" s="7" t="s">
        <v>179</v>
      </c>
      <c r="AD11" s="7" t="s">
        <v>173</v>
      </c>
      <c r="AE11" s="7" t="s">
        <v>203</v>
      </c>
      <c r="AF11" s="7"/>
      <c r="AG11" s="7"/>
      <c r="AH11" s="7" t="s">
        <v>181</v>
      </c>
      <c r="AI11" s="114" t="s">
        <v>357</v>
      </c>
      <c r="AJ11" s="95" t="s">
        <v>183</v>
      </c>
      <c r="AK11" s="115">
        <v>0.755555555555556</v>
      </c>
      <c r="AL11" s="115">
        <v>0.855555555555556</v>
      </c>
      <c r="AM11" s="95">
        <v>2</v>
      </c>
      <c r="AN11" s="7"/>
      <c r="AO11" s="7" t="s">
        <v>185</v>
      </c>
      <c r="AP11" s="7" t="s">
        <v>186</v>
      </c>
      <c r="AQ11" s="7" t="s">
        <v>63</v>
      </c>
      <c r="AR11" s="7" t="s">
        <v>174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58">
        <v>61375</v>
      </c>
      <c r="BA11" s="57" t="s">
        <v>77</v>
      </c>
      <c r="BB11" s="13" t="s">
        <v>187</v>
      </c>
      <c r="BC11" s="9">
        <v>200</v>
      </c>
      <c r="BD11" s="9">
        <v>1</v>
      </c>
      <c r="BE11" s="9" t="s">
        <v>188</v>
      </c>
      <c r="BF11" s="9" t="str">
        <f t="shared" si="0"/>
        <v>PhuongTT</v>
      </c>
      <c r="BG11" s="9" t="str">
        <f t="shared" si="1"/>
        <v>VST</v>
      </c>
      <c r="BH11" s="19" t="b">
        <v>0</v>
      </c>
      <c r="BI11" s="9" t="s">
        <v>189</v>
      </c>
      <c r="BJ11" s="9" t="s">
        <v>188</v>
      </c>
      <c r="BK11" s="9" t="s">
        <v>188</v>
      </c>
      <c r="BL11" s="9" t="s">
        <v>190</v>
      </c>
      <c r="BM11" s="19" t="b">
        <v>0</v>
      </c>
    </row>
    <row r="12" s="1" customFormat="1" ht="50" customHeight="1" spans="1:65">
      <c r="A12" s="4" t="s">
        <v>366</v>
      </c>
      <c r="B12" s="21" t="s">
        <v>364</v>
      </c>
      <c r="C12" s="94" t="s">
        <v>29</v>
      </c>
      <c r="D12" s="17" t="s">
        <v>356</v>
      </c>
      <c r="E12" s="21" t="s">
        <v>173</v>
      </c>
      <c r="F12" s="7" t="s">
        <v>31</v>
      </c>
      <c r="G12" s="4" t="s">
        <v>32</v>
      </c>
      <c r="H12" s="7" t="s">
        <v>174</v>
      </c>
      <c r="I12" s="7" t="s">
        <v>175</v>
      </c>
      <c r="J12" s="7"/>
      <c r="K12" s="7" t="s">
        <v>176</v>
      </c>
      <c r="L12" s="7"/>
      <c r="M12" s="106"/>
      <c r="N12" s="106"/>
      <c r="O12" s="7"/>
      <c r="P12" s="7"/>
      <c r="Q12" s="7"/>
      <c r="R12" s="7"/>
      <c r="S12" s="7"/>
      <c r="T12" s="106"/>
      <c r="U12" s="7"/>
      <c r="V12" s="106"/>
      <c r="W12" s="7" t="s">
        <v>177</v>
      </c>
      <c r="X12" s="7" t="s">
        <v>178</v>
      </c>
      <c r="Y12" s="7" t="s">
        <v>177</v>
      </c>
      <c r="Z12" s="7" t="s">
        <v>178</v>
      </c>
      <c r="AA12" s="7" t="s">
        <v>178</v>
      </c>
      <c r="AB12" s="7"/>
      <c r="AC12" s="7" t="s">
        <v>179</v>
      </c>
      <c r="AD12" s="7" t="s">
        <v>173</v>
      </c>
      <c r="AE12" s="7" t="s">
        <v>205</v>
      </c>
      <c r="AF12" s="7"/>
      <c r="AG12" s="7"/>
      <c r="AH12" s="7" t="s">
        <v>181</v>
      </c>
      <c r="AI12" s="114" t="s">
        <v>357</v>
      </c>
      <c r="AJ12" s="95" t="s">
        <v>183</v>
      </c>
      <c r="AK12" s="115">
        <v>0.755555555555556</v>
      </c>
      <c r="AL12" s="115">
        <v>0.855555555555556</v>
      </c>
      <c r="AM12" s="95">
        <v>3</v>
      </c>
      <c r="AN12" s="7"/>
      <c r="AO12" s="7" t="s">
        <v>185</v>
      </c>
      <c r="AP12" s="7" t="s">
        <v>186</v>
      </c>
      <c r="AQ12" s="7" t="s">
        <v>63</v>
      </c>
      <c r="AR12" s="7" t="s">
        <v>174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58">
        <v>61375</v>
      </c>
      <c r="BA12" s="57" t="s">
        <v>77</v>
      </c>
      <c r="BB12" s="13" t="s">
        <v>187</v>
      </c>
      <c r="BC12" s="9">
        <v>200</v>
      </c>
      <c r="BD12" s="9">
        <v>1</v>
      </c>
      <c r="BE12" s="9" t="s">
        <v>188</v>
      </c>
      <c r="BF12" s="9" t="str">
        <f t="shared" si="0"/>
        <v>PhuongTT</v>
      </c>
      <c r="BG12" s="9" t="str">
        <f t="shared" si="1"/>
        <v>VST</v>
      </c>
      <c r="BH12" s="19" t="b">
        <v>0</v>
      </c>
      <c r="BI12" s="9" t="s">
        <v>189</v>
      </c>
      <c r="BJ12" s="9" t="s">
        <v>188</v>
      </c>
      <c r="BK12" s="9" t="s">
        <v>188</v>
      </c>
      <c r="BL12" s="9" t="s">
        <v>190</v>
      </c>
      <c r="BM12" s="19" t="b">
        <v>0</v>
      </c>
    </row>
    <row r="13" s="111" customFormat="1" ht="50" customHeight="1" spans="1:66">
      <c r="A13" s="4" t="s">
        <v>367</v>
      </c>
      <c r="B13" s="21" t="s">
        <v>364</v>
      </c>
      <c r="C13" s="94" t="s">
        <v>29</v>
      </c>
      <c r="D13" s="17" t="s">
        <v>356</v>
      </c>
      <c r="E13" s="21" t="s">
        <v>173</v>
      </c>
      <c r="F13" s="7" t="s">
        <v>31</v>
      </c>
      <c r="G13" s="4" t="s">
        <v>32</v>
      </c>
      <c r="H13" s="7" t="s">
        <v>174</v>
      </c>
      <c r="I13" s="7" t="s">
        <v>175</v>
      </c>
      <c r="J13" s="7"/>
      <c r="K13" s="7" t="s">
        <v>176</v>
      </c>
      <c r="L13" s="7"/>
      <c r="M13" s="106"/>
      <c r="N13" s="106"/>
      <c r="O13" s="7"/>
      <c r="P13" s="7"/>
      <c r="Q13" s="7"/>
      <c r="R13" s="7"/>
      <c r="S13" s="7"/>
      <c r="T13" s="106"/>
      <c r="U13" s="7"/>
      <c r="V13" s="106"/>
      <c r="W13" s="7" t="s">
        <v>177</v>
      </c>
      <c r="X13" s="7" t="s">
        <v>178</v>
      </c>
      <c r="Y13" s="7" t="s">
        <v>177</v>
      </c>
      <c r="Z13" s="7" t="s">
        <v>178</v>
      </c>
      <c r="AA13" s="7" t="s">
        <v>178</v>
      </c>
      <c r="AB13" s="7"/>
      <c r="AC13" s="7" t="s">
        <v>179</v>
      </c>
      <c r="AD13" s="7" t="s">
        <v>173</v>
      </c>
      <c r="AE13" s="7" t="s">
        <v>207</v>
      </c>
      <c r="AF13" s="7"/>
      <c r="AG13" s="7"/>
      <c r="AH13" s="7" t="s">
        <v>181</v>
      </c>
      <c r="AI13" s="114" t="s">
        <v>357</v>
      </c>
      <c r="AJ13" s="95" t="s">
        <v>183</v>
      </c>
      <c r="AK13" s="95" t="s">
        <v>45</v>
      </c>
      <c r="AL13" s="95" t="s">
        <v>345</v>
      </c>
      <c r="AM13" s="95">
        <v>0</v>
      </c>
      <c r="AN13" s="7"/>
      <c r="AO13" s="7" t="s">
        <v>185</v>
      </c>
      <c r="AP13" s="7" t="s">
        <v>186</v>
      </c>
      <c r="AQ13" s="7" t="s">
        <v>63</v>
      </c>
      <c r="AR13" s="7" t="s">
        <v>174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58">
        <v>61375</v>
      </c>
      <c r="BA13" s="57" t="s">
        <v>77</v>
      </c>
      <c r="BB13" s="13" t="s">
        <v>187</v>
      </c>
      <c r="BC13" s="9">
        <v>200</v>
      </c>
      <c r="BD13" s="9">
        <v>1</v>
      </c>
      <c r="BE13" s="9" t="s">
        <v>188</v>
      </c>
      <c r="BF13" s="9" t="str">
        <f t="shared" si="0"/>
        <v>PhuongTT</v>
      </c>
      <c r="BG13" s="9" t="str">
        <f t="shared" si="1"/>
        <v>VST</v>
      </c>
      <c r="BH13" s="19" t="b">
        <v>0</v>
      </c>
      <c r="BI13" s="9" t="s">
        <v>189</v>
      </c>
      <c r="BJ13" s="9" t="s">
        <v>188</v>
      </c>
      <c r="BK13" s="9" t="s">
        <v>188</v>
      </c>
      <c r="BL13" s="9" t="s">
        <v>190</v>
      </c>
      <c r="BM13" s="19" t="b">
        <v>0</v>
      </c>
      <c r="BN13" s="29"/>
    </row>
    <row r="14" s="111" customFormat="1" ht="50" customHeight="1" spans="1:66">
      <c r="A14" s="4" t="s">
        <v>368</v>
      </c>
      <c r="B14" s="21" t="s">
        <v>364</v>
      </c>
      <c r="C14" s="94" t="s">
        <v>29</v>
      </c>
      <c r="D14" s="17" t="s">
        <v>356</v>
      </c>
      <c r="E14" s="21" t="s">
        <v>173</v>
      </c>
      <c r="F14" s="7" t="s">
        <v>31</v>
      </c>
      <c r="G14" s="4" t="s">
        <v>32</v>
      </c>
      <c r="H14" s="7" t="s">
        <v>174</v>
      </c>
      <c r="I14" s="7" t="s">
        <v>175</v>
      </c>
      <c r="J14" s="7"/>
      <c r="K14" s="7" t="s">
        <v>176</v>
      </c>
      <c r="L14" s="7"/>
      <c r="M14" s="106"/>
      <c r="N14" s="106"/>
      <c r="O14" s="7"/>
      <c r="P14" s="7"/>
      <c r="Q14" s="7"/>
      <c r="R14" s="7"/>
      <c r="S14" s="7"/>
      <c r="T14" s="106"/>
      <c r="U14" s="7"/>
      <c r="V14" s="106"/>
      <c r="W14" s="7" t="s">
        <v>177</v>
      </c>
      <c r="X14" s="7" t="s">
        <v>178</v>
      </c>
      <c r="Y14" s="7" t="s">
        <v>177</v>
      </c>
      <c r="Z14" s="7" t="s">
        <v>178</v>
      </c>
      <c r="AA14" s="7" t="s">
        <v>178</v>
      </c>
      <c r="AB14" s="7"/>
      <c r="AC14" s="7" t="s">
        <v>179</v>
      </c>
      <c r="AD14" s="7" t="s">
        <v>173</v>
      </c>
      <c r="AE14" s="7" t="s">
        <v>209</v>
      </c>
      <c r="AF14" s="7"/>
      <c r="AG14" s="7"/>
      <c r="AH14" s="7" t="s">
        <v>181</v>
      </c>
      <c r="AI14" s="114" t="s">
        <v>357</v>
      </c>
      <c r="AJ14" s="95" t="s">
        <v>183</v>
      </c>
      <c r="AK14" s="95" t="s">
        <v>45</v>
      </c>
      <c r="AL14" s="95" t="s">
        <v>345</v>
      </c>
      <c r="AM14" s="95">
        <v>1</v>
      </c>
      <c r="AN14" s="7"/>
      <c r="AO14" s="7" t="s">
        <v>185</v>
      </c>
      <c r="AP14" s="7" t="s">
        <v>186</v>
      </c>
      <c r="AQ14" s="7" t="s">
        <v>63</v>
      </c>
      <c r="AR14" s="7" t="s">
        <v>174</v>
      </c>
      <c r="AS14" s="7" t="s">
        <v>33</v>
      </c>
      <c r="AT14" s="7" t="s">
        <v>36</v>
      </c>
      <c r="AU14" s="7"/>
      <c r="AV14" s="7"/>
      <c r="AW14" s="7"/>
      <c r="AX14" s="7"/>
      <c r="AY14" s="7"/>
      <c r="AZ14" s="58">
        <v>61375</v>
      </c>
      <c r="BA14" s="57" t="s">
        <v>77</v>
      </c>
      <c r="BB14" s="13" t="s">
        <v>187</v>
      </c>
      <c r="BC14" s="9">
        <v>200</v>
      </c>
      <c r="BD14" s="9">
        <v>1</v>
      </c>
      <c r="BE14" s="9" t="s">
        <v>188</v>
      </c>
      <c r="BF14" s="9" t="str">
        <f t="shared" si="0"/>
        <v>PhuongTT</v>
      </c>
      <c r="BG14" s="9" t="str">
        <f t="shared" si="1"/>
        <v>VST</v>
      </c>
      <c r="BH14" s="19" t="b">
        <v>0</v>
      </c>
      <c r="BI14" s="9" t="s">
        <v>189</v>
      </c>
      <c r="BJ14" s="9" t="s">
        <v>188</v>
      </c>
      <c r="BK14" s="9" t="s">
        <v>188</v>
      </c>
      <c r="BL14" s="9" t="s">
        <v>190</v>
      </c>
      <c r="BM14" s="19" t="b">
        <v>0</v>
      </c>
      <c r="BN14" s="29"/>
    </row>
    <row r="15" s="111" customFormat="1" ht="37" customHeight="1" spans="1:66">
      <c r="A15" s="35"/>
      <c r="B15" s="77" t="s">
        <v>369</v>
      </c>
      <c r="C15" s="77"/>
      <c r="D15" s="77"/>
      <c r="E15" s="77"/>
      <c r="F15" s="77"/>
      <c r="G15" s="4"/>
      <c r="H15" s="7"/>
      <c r="I15" s="7"/>
      <c r="J15" s="7"/>
      <c r="K15" s="7"/>
      <c r="L15" s="7"/>
      <c r="M15" s="106"/>
      <c r="N15" s="106"/>
      <c r="O15" s="7"/>
      <c r="P15" s="7"/>
      <c r="Q15" s="7"/>
      <c r="R15" s="7"/>
      <c r="S15" s="7"/>
      <c r="T15" s="106"/>
      <c r="U15" s="7"/>
      <c r="V15" s="106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114"/>
      <c r="AJ15" s="95"/>
      <c r="AK15" s="95"/>
      <c r="AL15" s="95"/>
      <c r="AM15" s="95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4"/>
      <c r="BB15" s="13"/>
      <c r="BC15" s="9"/>
      <c r="BD15" s="9"/>
      <c r="BE15" s="9"/>
      <c r="BF15" s="9"/>
      <c r="BG15" s="9"/>
      <c r="BH15" s="19"/>
      <c r="BI15" s="9"/>
      <c r="BJ15" s="9"/>
      <c r="BK15" s="9"/>
      <c r="BL15" s="9"/>
      <c r="BM15" s="19"/>
      <c r="BN15" s="29"/>
    </row>
    <row r="16" s="1" customFormat="1" ht="50" customHeight="1" spans="1:65">
      <c r="A16" s="4" t="s">
        <v>370</v>
      </c>
      <c r="B16" s="21" t="s">
        <v>371</v>
      </c>
      <c r="C16" s="94" t="s">
        <v>29</v>
      </c>
      <c r="D16" s="17" t="s">
        <v>356</v>
      </c>
      <c r="E16" s="21" t="s">
        <v>173</v>
      </c>
      <c r="F16" s="7" t="s">
        <v>31</v>
      </c>
      <c r="G16" s="4" t="s">
        <v>32</v>
      </c>
      <c r="H16" s="7" t="s">
        <v>174</v>
      </c>
      <c r="I16" s="7" t="s">
        <v>175</v>
      </c>
      <c r="J16" s="7"/>
      <c r="K16" s="7" t="s">
        <v>176</v>
      </c>
      <c r="L16" s="7"/>
      <c r="M16" s="106"/>
      <c r="N16" s="106"/>
      <c r="O16" s="7"/>
      <c r="P16" s="7"/>
      <c r="Q16" s="7"/>
      <c r="R16" s="7"/>
      <c r="S16" s="7"/>
      <c r="T16" s="106"/>
      <c r="U16" s="7"/>
      <c r="V16" s="106"/>
      <c r="W16" s="7" t="s">
        <v>177</v>
      </c>
      <c r="X16" s="7" t="s">
        <v>178</v>
      </c>
      <c r="Y16" s="7" t="s">
        <v>177</v>
      </c>
      <c r="Z16" s="7" t="s">
        <v>178</v>
      </c>
      <c r="AA16" s="7" t="s">
        <v>178</v>
      </c>
      <c r="AB16" s="7"/>
      <c r="AC16" s="7" t="s">
        <v>179</v>
      </c>
      <c r="AD16" s="7" t="s">
        <v>173</v>
      </c>
      <c r="AE16" s="7" t="s">
        <v>211</v>
      </c>
      <c r="AF16" s="7"/>
      <c r="AG16" s="7"/>
      <c r="AH16" s="7" t="s">
        <v>181</v>
      </c>
      <c r="AI16" s="114" t="s">
        <v>357</v>
      </c>
      <c r="AJ16" s="95" t="s">
        <v>183</v>
      </c>
      <c r="AK16" s="116">
        <v>0.761111111111111</v>
      </c>
      <c r="AL16" s="116">
        <v>0.861111111111111</v>
      </c>
      <c r="AM16" s="117">
        <v>2</v>
      </c>
      <c r="AN16" s="7"/>
      <c r="AO16" s="7" t="s">
        <v>185</v>
      </c>
      <c r="AP16" s="7" t="s">
        <v>186</v>
      </c>
      <c r="AQ16" s="7" t="s">
        <v>63</v>
      </c>
      <c r="AR16" s="7" t="s">
        <v>174</v>
      </c>
      <c r="AS16" s="7" t="s">
        <v>33</v>
      </c>
      <c r="AT16" s="7" t="s">
        <v>36</v>
      </c>
      <c r="AU16" s="7"/>
      <c r="AV16" s="7"/>
      <c r="AW16" s="7"/>
      <c r="AX16" s="7"/>
      <c r="AY16" s="7"/>
      <c r="AZ16" s="59">
        <v>61377</v>
      </c>
      <c r="BA16" s="60" t="s">
        <v>81</v>
      </c>
      <c r="BB16" s="13" t="s">
        <v>187</v>
      </c>
      <c r="BC16" s="9">
        <v>200</v>
      </c>
      <c r="BD16" s="9">
        <v>1</v>
      </c>
      <c r="BE16" s="9" t="s">
        <v>188</v>
      </c>
      <c r="BF16" s="9" t="str">
        <f t="shared" ref="BF16:BF20" si="2">I16</f>
        <v>PhuongTT</v>
      </c>
      <c r="BG16" s="9" t="str">
        <f t="shared" ref="BG16:BG20" si="3">AQ16</f>
        <v>VST</v>
      </c>
      <c r="BH16" s="19" t="b">
        <v>0</v>
      </c>
      <c r="BI16" s="9" t="s">
        <v>189</v>
      </c>
      <c r="BJ16" s="9" t="s">
        <v>188</v>
      </c>
      <c r="BK16" s="9" t="s">
        <v>188</v>
      </c>
      <c r="BL16" s="9" t="s">
        <v>190</v>
      </c>
      <c r="BM16" s="19" t="b">
        <v>0</v>
      </c>
    </row>
    <row r="17" s="1" customFormat="1" ht="50" customHeight="1" spans="1:65">
      <c r="A17" s="4" t="s">
        <v>372</v>
      </c>
      <c r="B17" s="21" t="s">
        <v>371</v>
      </c>
      <c r="C17" s="94" t="s">
        <v>29</v>
      </c>
      <c r="D17" s="17" t="s">
        <v>356</v>
      </c>
      <c r="E17" s="21" t="s">
        <v>173</v>
      </c>
      <c r="F17" s="7" t="s">
        <v>31</v>
      </c>
      <c r="G17" s="4" t="s">
        <v>32</v>
      </c>
      <c r="H17" s="7" t="s">
        <v>174</v>
      </c>
      <c r="I17" s="7" t="s">
        <v>175</v>
      </c>
      <c r="J17" s="7"/>
      <c r="K17" s="7" t="s">
        <v>176</v>
      </c>
      <c r="L17" s="7"/>
      <c r="M17" s="106"/>
      <c r="N17" s="106"/>
      <c r="O17" s="7"/>
      <c r="P17" s="7"/>
      <c r="Q17" s="7"/>
      <c r="R17" s="7"/>
      <c r="S17" s="7"/>
      <c r="T17" s="106"/>
      <c r="U17" s="7"/>
      <c r="V17" s="106"/>
      <c r="W17" s="7" t="s">
        <v>177</v>
      </c>
      <c r="X17" s="7" t="s">
        <v>178</v>
      </c>
      <c r="Y17" s="7" t="s">
        <v>177</v>
      </c>
      <c r="Z17" s="7" t="s">
        <v>178</v>
      </c>
      <c r="AA17" s="7" t="s">
        <v>178</v>
      </c>
      <c r="AB17" s="7"/>
      <c r="AC17" s="7" t="s">
        <v>179</v>
      </c>
      <c r="AD17" s="7" t="s">
        <v>173</v>
      </c>
      <c r="AE17" s="7" t="s">
        <v>213</v>
      </c>
      <c r="AF17" s="7"/>
      <c r="AG17" s="7"/>
      <c r="AH17" s="7" t="s">
        <v>181</v>
      </c>
      <c r="AI17" s="114" t="s">
        <v>357</v>
      </c>
      <c r="AJ17" s="95" t="s">
        <v>183</v>
      </c>
      <c r="AK17" s="116">
        <v>0.761111111111111</v>
      </c>
      <c r="AL17" s="116">
        <v>0.861111111111111</v>
      </c>
      <c r="AM17" s="117">
        <v>3</v>
      </c>
      <c r="AN17" s="7"/>
      <c r="AO17" s="7" t="s">
        <v>185</v>
      </c>
      <c r="AP17" s="7" t="s">
        <v>186</v>
      </c>
      <c r="AQ17" s="7" t="s">
        <v>63</v>
      </c>
      <c r="AR17" s="7" t="s">
        <v>174</v>
      </c>
      <c r="AS17" s="7" t="s">
        <v>33</v>
      </c>
      <c r="AT17" s="7" t="s">
        <v>36</v>
      </c>
      <c r="AU17" s="7"/>
      <c r="AV17" s="7"/>
      <c r="AW17" s="7"/>
      <c r="AX17" s="7"/>
      <c r="AY17" s="7"/>
      <c r="AZ17" s="59">
        <v>61377</v>
      </c>
      <c r="BA17" s="60" t="s">
        <v>81</v>
      </c>
      <c r="BB17" s="13" t="s">
        <v>187</v>
      </c>
      <c r="BC17" s="9">
        <v>200</v>
      </c>
      <c r="BD17" s="9">
        <v>1</v>
      </c>
      <c r="BE17" s="9" t="s">
        <v>188</v>
      </c>
      <c r="BF17" s="9" t="str">
        <f t="shared" si="2"/>
        <v>PhuongTT</v>
      </c>
      <c r="BG17" s="9" t="str">
        <f t="shared" si="3"/>
        <v>VST</v>
      </c>
      <c r="BH17" s="19" t="b">
        <v>0</v>
      </c>
      <c r="BI17" s="9" t="s">
        <v>189</v>
      </c>
      <c r="BJ17" s="9" t="s">
        <v>188</v>
      </c>
      <c r="BK17" s="9" t="s">
        <v>188</v>
      </c>
      <c r="BL17" s="9" t="s">
        <v>190</v>
      </c>
      <c r="BM17" s="19" t="b">
        <v>0</v>
      </c>
    </row>
    <row r="18" s="1" customFormat="1" ht="50" customHeight="1" spans="1:65">
      <c r="A18" s="4" t="s">
        <v>373</v>
      </c>
      <c r="B18" s="21" t="s">
        <v>371</v>
      </c>
      <c r="C18" s="94" t="s">
        <v>29</v>
      </c>
      <c r="D18" s="17" t="s">
        <v>356</v>
      </c>
      <c r="E18" s="21" t="s">
        <v>173</v>
      </c>
      <c r="F18" s="7" t="s">
        <v>31</v>
      </c>
      <c r="G18" s="4" t="s">
        <v>32</v>
      </c>
      <c r="H18" s="7" t="s">
        <v>174</v>
      </c>
      <c r="I18" s="7" t="s">
        <v>175</v>
      </c>
      <c r="J18" s="7"/>
      <c r="K18" s="7" t="s">
        <v>176</v>
      </c>
      <c r="L18" s="7"/>
      <c r="M18" s="106"/>
      <c r="N18" s="106"/>
      <c r="O18" s="7"/>
      <c r="P18" s="7"/>
      <c r="Q18" s="7"/>
      <c r="R18" s="7"/>
      <c r="S18" s="7"/>
      <c r="T18" s="106"/>
      <c r="U18" s="7"/>
      <c r="V18" s="106"/>
      <c r="W18" s="7" t="s">
        <v>177</v>
      </c>
      <c r="X18" s="7" t="s">
        <v>178</v>
      </c>
      <c r="Y18" s="7" t="s">
        <v>177</v>
      </c>
      <c r="Z18" s="7" t="s">
        <v>178</v>
      </c>
      <c r="AA18" s="7" t="s">
        <v>178</v>
      </c>
      <c r="AB18" s="7"/>
      <c r="AC18" s="7" t="s">
        <v>179</v>
      </c>
      <c r="AD18" s="7" t="s">
        <v>173</v>
      </c>
      <c r="AE18" s="7" t="s">
        <v>215</v>
      </c>
      <c r="AF18" s="7"/>
      <c r="AG18" s="7"/>
      <c r="AH18" s="7" t="s">
        <v>181</v>
      </c>
      <c r="AI18" s="114" t="s">
        <v>357</v>
      </c>
      <c r="AJ18" s="95" t="s">
        <v>183</v>
      </c>
      <c r="AK18" s="116">
        <v>0.766666666666667</v>
      </c>
      <c r="AL18" s="116">
        <v>0.866666666666667</v>
      </c>
      <c r="AM18" s="117">
        <v>0</v>
      </c>
      <c r="AN18" s="7"/>
      <c r="AO18" s="7" t="s">
        <v>185</v>
      </c>
      <c r="AP18" s="7" t="s">
        <v>186</v>
      </c>
      <c r="AQ18" s="7" t="s">
        <v>63</v>
      </c>
      <c r="AR18" s="7" t="s">
        <v>174</v>
      </c>
      <c r="AS18" s="7" t="s">
        <v>33</v>
      </c>
      <c r="AT18" s="7" t="s">
        <v>36</v>
      </c>
      <c r="AU18" s="7"/>
      <c r="AV18" s="7"/>
      <c r="AW18" s="7"/>
      <c r="AX18" s="7"/>
      <c r="AY18" s="7"/>
      <c r="AZ18" s="59">
        <v>61377</v>
      </c>
      <c r="BA18" s="60" t="s">
        <v>81</v>
      </c>
      <c r="BB18" s="13" t="s">
        <v>187</v>
      </c>
      <c r="BC18" s="9">
        <v>200</v>
      </c>
      <c r="BD18" s="9">
        <v>1</v>
      </c>
      <c r="BE18" s="9" t="s">
        <v>188</v>
      </c>
      <c r="BF18" s="9" t="str">
        <f t="shared" si="2"/>
        <v>PhuongTT</v>
      </c>
      <c r="BG18" s="9" t="str">
        <f t="shared" si="3"/>
        <v>VST</v>
      </c>
      <c r="BH18" s="19" t="b">
        <v>0</v>
      </c>
      <c r="BI18" s="9" t="s">
        <v>189</v>
      </c>
      <c r="BJ18" s="9" t="s">
        <v>188</v>
      </c>
      <c r="BK18" s="9" t="s">
        <v>188</v>
      </c>
      <c r="BL18" s="9" t="s">
        <v>190</v>
      </c>
      <c r="BM18" s="19" t="b">
        <v>0</v>
      </c>
    </row>
    <row r="19" s="111" customFormat="1" ht="50" customHeight="1" spans="1:66">
      <c r="A19" s="4" t="s">
        <v>374</v>
      </c>
      <c r="B19" s="21" t="s">
        <v>371</v>
      </c>
      <c r="C19" s="94" t="s">
        <v>29</v>
      </c>
      <c r="D19" s="17" t="s">
        <v>356</v>
      </c>
      <c r="E19" s="21" t="s">
        <v>173</v>
      </c>
      <c r="F19" s="7" t="s">
        <v>31</v>
      </c>
      <c r="G19" s="4" t="s">
        <v>32</v>
      </c>
      <c r="H19" s="7" t="s">
        <v>174</v>
      </c>
      <c r="I19" s="7" t="s">
        <v>175</v>
      </c>
      <c r="J19" s="7"/>
      <c r="K19" s="7" t="s">
        <v>176</v>
      </c>
      <c r="L19" s="7"/>
      <c r="M19" s="106"/>
      <c r="N19" s="106"/>
      <c r="O19" s="7"/>
      <c r="P19" s="7"/>
      <c r="Q19" s="7"/>
      <c r="R19" s="7"/>
      <c r="S19" s="7"/>
      <c r="T19" s="106"/>
      <c r="U19" s="7"/>
      <c r="V19" s="106"/>
      <c r="W19" s="7" t="s">
        <v>177</v>
      </c>
      <c r="X19" s="7" t="s">
        <v>178</v>
      </c>
      <c r="Y19" s="7" t="s">
        <v>177</v>
      </c>
      <c r="Z19" s="7" t="s">
        <v>178</v>
      </c>
      <c r="AA19" s="7" t="s">
        <v>178</v>
      </c>
      <c r="AB19" s="7"/>
      <c r="AC19" s="7" t="s">
        <v>179</v>
      </c>
      <c r="AD19" s="7" t="s">
        <v>173</v>
      </c>
      <c r="AE19" s="7" t="s">
        <v>217</v>
      </c>
      <c r="AF19" s="7"/>
      <c r="AG19" s="7"/>
      <c r="AH19" s="7" t="s">
        <v>181</v>
      </c>
      <c r="AI19" s="114" t="s">
        <v>357</v>
      </c>
      <c r="AJ19" s="95" t="s">
        <v>183</v>
      </c>
      <c r="AK19" s="116">
        <v>0.766666666666667</v>
      </c>
      <c r="AL19" s="116">
        <v>0.866666666666667</v>
      </c>
      <c r="AM19" s="117">
        <v>1</v>
      </c>
      <c r="AN19" s="7"/>
      <c r="AO19" s="7" t="s">
        <v>185</v>
      </c>
      <c r="AP19" s="7" t="s">
        <v>186</v>
      </c>
      <c r="AQ19" s="7" t="s">
        <v>63</v>
      </c>
      <c r="AR19" s="7" t="s">
        <v>174</v>
      </c>
      <c r="AS19" s="7" t="s">
        <v>33</v>
      </c>
      <c r="AT19" s="7" t="s">
        <v>36</v>
      </c>
      <c r="AU19" s="7"/>
      <c r="AV19" s="7"/>
      <c r="AW19" s="7"/>
      <c r="AX19" s="7"/>
      <c r="AY19" s="7"/>
      <c r="AZ19" s="59">
        <v>61377</v>
      </c>
      <c r="BA19" s="60" t="s">
        <v>81</v>
      </c>
      <c r="BB19" s="13" t="s">
        <v>187</v>
      </c>
      <c r="BC19" s="9">
        <v>200</v>
      </c>
      <c r="BD19" s="9">
        <v>1</v>
      </c>
      <c r="BE19" s="9" t="s">
        <v>188</v>
      </c>
      <c r="BF19" s="9" t="str">
        <f t="shared" si="2"/>
        <v>PhuongTT</v>
      </c>
      <c r="BG19" s="9" t="str">
        <f t="shared" si="3"/>
        <v>VST</v>
      </c>
      <c r="BH19" s="19" t="b">
        <v>0</v>
      </c>
      <c r="BI19" s="9" t="s">
        <v>189</v>
      </c>
      <c r="BJ19" s="9" t="s">
        <v>188</v>
      </c>
      <c r="BK19" s="9" t="s">
        <v>188</v>
      </c>
      <c r="BL19" s="9" t="s">
        <v>190</v>
      </c>
      <c r="BM19" s="19" t="b">
        <v>0</v>
      </c>
      <c r="BN19" s="29"/>
    </row>
    <row r="20" s="111" customFormat="1" ht="50" customHeight="1" spans="1:66">
      <c r="A20" s="4" t="s">
        <v>375</v>
      </c>
      <c r="B20" s="21" t="s">
        <v>371</v>
      </c>
      <c r="C20" s="94" t="s">
        <v>29</v>
      </c>
      <c r="D20" s="17" t="s">
        <v>356</v>
      </c>
      <c r="E20" s="21" t="s">
        <v>173</v>
      </c>
      <c r="F20" s="7" t="s">
        <v>31</v>
      </c>
      <c r="G20" s="4" t="s">
        <v>32</v>
      </c>
      <c r="H20" s="7" t="s">
        <v>174</v>
      </c>
      <c r="I20" s="7" t="s">
        <v>175</v>
      </c>
      <c r="J20" s="7"/>
      <c r="K20" s="7" t="s">
        <v>176</v>
      </c>
      <c r="L20" s="7"/>
      <c r="M20" s="106"/>
      <c r="N20" s="106"/>
      <c r="O20" s="7"/>
      <c r="P20" s="7"/>
      <c r="Q20" s="7"/>
      <c r="R20" s="7"/>
      <c r="S20" s="7"/>
      <c r="T20" s="106"/>
      <c r="U20" s="7"/>
      <c r="V20" s="106"/>
      <c r="W20" s="7" t="s">
        <v>177</v>
      </c>
      <c r="X20" s="7" t="s">
        <v>178</v>
      </c>
      <c r="Y20" s="7" t="s">
        <v>177</v>
      </c>
      <c r="Z20" s="7" t="s">
        <v>178</v>
      </c>
      <c r="AA20" s="7" t="s">
        <v>178</v>
      </c>
      <c r="AB20" s="7"/>
      <c r="AC20" s="7" t="s">
        <v>179</v>
      </c>
      <c r="AD20" s="7" t="s">
        <v>173</v>
      </c>
      <c r="AE20" s="7" t="s">
        <v>219</v>
      </c>
      <c r="AF20" s="7"/>
      <c r="AG20" s="7"/>
      <c r="AH20" s="7" t="s">
        <v>181</v>
      </c>
      <c r="AI20" s="114" t="s">
        <v>357</v>
      </c>
      <c r="AJ20" s="95" t="s">
        <v>183</v>
      </c>
      <c r="AK20" s="116">
        <v>0.766666666666667</v>
      </c>
      <c r="AL20" s="116">
        <v>0.866666666666667</v>
      </c>
      <c r="AM20" s="117">
        <v>2</v>
      </c>
      <c r="AN20" s="7"/>
      <c r="AO20" s="7" t="s">
        <v>185</v>
      </c>
      <c r="AP20" s="7" t="s">
        <v>186</v>
      </c>
      <c r="AQ20" s="7" t="s">
        <v>63</v>
      </c>
      <c r="AR20" s="7" t="s">
        <v>174</v>
      </c>
      <c r="AS20" s="7" t="s">
        <v>33</v>
      </c>
      <c r="AT20" s="7" t="s">
        <v>36</v>
      </c>
      <c r="AU20" s="7"/>
      <c r="AV20" s="7"/>
      <c r="AW20" s="7"/>
      <c r="AX20" s="7"/>
      <c r="AY20" s="7"/>
      <c r="AZ20" s="59">
        <v>61377</v>
      </c>
      <c r="BA20" s="60" t="s">
        <v>81</v>
      </c>
      <c r="BB20" s="13" t="s">
        <v>187</v>
      </c>
      <c r="BC20" s="9">
        <v>200</v>
      </c>
      <c r="BD20" s="9">
        <v>1</v>
      </c>
      <c r="BE20" s="9" t="s">
        <v>188</v>
      </c>
      <c r="BF20" s="9" t="str">
        <f t="shared" si="2"/>
        <v>PhuongTT</v>
      </c>
      <c r="BG20" s="9" t="str">
        <f t="shared" si="3"/>
        <v>VST</v>
      </c>
      <c r="BH20" s="19" t="b">
        <v>0</v>
      </c>
      <c r="BI20" s="9" t="s">
        <v>189</v>
      </c>
      <c r="BJ20" s="9" t="s">
        <v>188</v>
      </c>
      <c r="BK20" s="9" t="s">
        <v>188</v>
      </c>
      <c r="BL20" s="9" t="s">
        <v>190</v>
      </c>
      <c r="BM20" s="19" t="b">
        <v>0</v>
      </c>
      <c r="BN20" s="29"/>
    </row>
    <row r="21" s="111" customFormat="1" ht="37" customHeight="1" spans="1:66">
      <c r="A21" s="35"/>
      <c r="B21" s="77" t="s">
        <v>376</v>
      </c>
      <c r="C21" s="77"/>
      <c r="D21" s="77"/>
      <c r="E21" s="77"/>
      <c r="F21" s="77"/>
      <c r="G21" s="4"/>
      <c r="H21" s="7"/>
      <c r="I21" s="7"/>
      <c r="J21" s="7"/>
      <c r="K21" s="7"/>
      <c r="L21" s="7"/>
      <c r="M21" s="106"/>
      <c r="N21" s="106"/>
      <c r="O21" s="7"/>
      <c r="P21" s="7"/>
      <c r="Q21" s="7"/>
      <c r="R21" s="7"/>
      <c r="S21" s="7"/>
      <c r="T21" s="106"/>
      <c r="U21" s="7"/>
      <c r="V21" s="106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114"/>
      <c r="AJ21" s="95"/>
      <c r="AK21" s="95"/>
      <c r="AL21" s="95"/>
      <c r="AM21" s="95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4"/>
      <c r="BB21" s="13"/>
      <c r="BC21" s="9"/>
      <c r="BD21" s="9"/>
      <c r="BE21" s="9"/>
      <c r="BF21" s="9"/>
      <c r="BG21" s="9"/>
      <c r="BH21" s="19"/>
      <c r="BI21" s="9"/>
      <c r="BJ21" s="9"/>
      <c r="BK21" s="9"/>
      <c r="BL21" s="9"/>
      <c r="BM21" s="19"/>
      <c r="BN21" s="29"/>
    </row>
    <row r="22" s="1" customFormat="1" ht="50" customHeight="1" spans="1:65">
      <c r="A22" s="4" t="s">
        <v>377</v>
      </c>
      <c r="B22" s="21" t="s">
        <v>378</v>
      </c>
      <c r="C22" s="94" t="s">
        <v>29</v>
      </c>
      <c r="D22" s="17" t="s">
        <v>356</v>
      </c>
      <c r="E22" s="21" t="s">
        <v>173</v>
      </c>
      <c r="F22" s="7" t="s">
        <v>31</v>
      </c>
      <c r="G22" s="4" t="s">
        <v>32</v>
      </c>
      <c r="H22" s="7" t="s">
        <v>174</v>
      </c>
      <c r="I22" s="7" t="s">
        <v>175</v>
      </c>
      <c r="J22" s="7"/>
      <c r="K22" s="7" t="s">
        <v>176</v>
      </c>
      <c r="L22" s="7"/>
      <c r="M22" s="106"/>
      <c r="N22" s="106"/>
      <c r="O22" s="7"/>
      <c r="P22" s="7"/>
      <c r="Q22" s="7"/>
      <c r="R22" s="7"/>
      <c r="S22" s="7"/>
      <c r="T22" s="106"/>
      <c r="U22" s="7"/>
      <c r="V22" s="106"/>
      <c r="W22" s="7" t="s">
        <v>177</v>
      </c>
      <c r="X22" s="7" t="s">
        <v>178</v>
      </c>
      <c r="Y22" s="7" t="s">
        <v>177</v>
      </c>
      <c r="Z22" s="7" t="s">
        <v>178</v>
      </c>
      <c r="AA22" s="7" t="s">
        <v>178</v>
      </c>
      <c r="AB22" s="7"/>
      <c r="AC22" s="7" t="s">
        <v>179</v>
      </c>
      <c r="AD22" s="7" t="s">
        <v>173</v>
      </c>
      <c r="AE22" s="7" t="s">
        <v>221</v>
      </c>
      <c r="AF22" s="7"/>
      <c r="AG22" s="7"/>
      <c r="AH22" s="7" t="s">
        <v>181</v>
      </c>
      <c r="AI22" s="114" t="s">
        <v>357</v>
      </c>
      <c r="AJ22" s="95" t="s">
        <v>183</v>
      </c>
      <c r="AK22" s="116">
        <v>0.766666666666667</v>
      </c>
      <c r="AL22" s="116">
        <v>0.866666666666667</v>
      </c>
      <c r="AM22" s="117">
        <v>3</v>
      </c>
      <c r="AN22" s="7"/>
      <c r="AO22" s="7" t="s">
        <v>185</v>
      </c>
      <c r="AP22" s="7" t="s">
        <v>186</v>
      </c>
      <c r="AQ22" s="7" t="s">
        <v>63</v>
      </c>
      <c r="AR22" s="7" t="s">
        <v>174</v>
      </c>
      <c r="AS22" s="7" t="s">
        <v>33</v>
      </c>
      <c r="AT22" s="7" t="s">
        <v>36</v>
      </c>
      <c r="AU22" s="7"/>
      <c r="AV22" s="7"/>
      <c r="AW22" s="7"/>
      <c r="AX22" s="7"/>
      <c r="AY22" s="7"/>
      <c r="AZ22" s="58">
        <v>35540</v>
      </c>
      <c r="BA22" s="57" t="s">
        <v>85</v>
      </c>
      <c r="BB22" s="13" t="s">
        <v>187</v>
      </c>
      <c r="BC22" s="9">
        <v>200</v>
      </c>
      <c r="BD22" s="9">
        <v>1</v>
      </c>
      <c r="BE22" s="9" t="s">
        <v>188</v>
      </c>
      <c r="BF22" s="9" t="str">
        <f t="shared" ref="BF22:BF26" si="4">I22</f>
        <v>PhuongTT</v>
      </c>
      <c r="BG22" s="9" t="str">
        <f t="shared" ref="BG22:BG26" si="5">AQ22</f>
        <v>VST</v>
      </c>
      <c r="BH22" s="19" t="b">
        <v>0</v>
      </c>
      <c r="BI22" s="9" t="s">
        <v>189</v>
      </c>
      <c r="BJ22" s="9" t="s">
        <v>188</v>
      </c>
      <c r="BK22" s="9" t="s">
        <v>188</v>
      </c>
      <c r="BL22" s="9" t="s">
        <v>190</v>
      </c>
      <c r="BM22" s="19" t="b">
        <v>0</v>
      </c>
    </row>
    <row r="23" s="1" customFormat="1" ht="50" customHeight="1" spans="1:65">
      <c r="A23" s="4" t="s">
        <v>379</v>
      </c>
      <c r="B23" s="21" t="s">
        <v>378</v>
      </c>
      <c r="C23" s="94" t="s">
        <v>29</v>
      </c>
      <c r="D23" s="17" t="s">
        <v>356</v>
      </c>
      <c r="E23" s="21" t="s">
        <v>173</v>
      </c>
      <c r="F23" s="7" t="s">
        <v>31</v>
      </c>
      <c r="G23" s="4" t="s">
        <v>32</v>
      </c>
      <c r="H23" s="7" t="s">
        <v>174</v>
      </c>
      <c r="I23" s="7" t="s">
        <v>175</v>
      </c>
      <c r="J23" s="7"/>
      <c r="K23" s="7" t="s">
        <v>176</v>
      </c>
      <c r="L23" s="7"/>
      <c r="M23" s="106"/>
      <c r="N23" s="106"/>
      <c r="O23" s="7"/>
      <c r="P23" s="7"/>
      <c r="Q23" s="7"/>
      <c r="R23" s="7"/>
      <c r="S23" s="7"/>
      <c r="T23" s="106"/>
      <c r="U23" s="7"/>
      <c r="V23" s="106"/>
      <c r="W23" s="7" t="s">
        <v>177</v>
      </c>
      <c r="X23" s="7" t="s">
        <v>178</v>
      </c>
      <c r="Y23" s="7" t="s">
        <v>177</v>
      </c>
      <c r="Z23" s="7" t="s">
        <v>178</v>
      </c>
      <c r="AA23" s="7" t="s">
        <v>178</v>
      </c>
      <c r="AB23" s="7"/>
      <c r="AC23" s="7" t="s">
        <v>179</v>
      </c>
      <c r="AD23" s="7" t="s">
        <v>173</v>
      </c>
      <c r="AE23" s="7" t="s">
        <v>223</v>
      </c>
      <c r="AF23" s="7"/>
      <c r="AG23" s="7"/>
      <c r="AH23" s="7" t="s">
        <v>181</v>
      </c>
      <c r="AI23" s="114" t="s">
        <v>357</v>
      </c>
      <c r="AJ23" s="95" t="s">
        <v>183</v>
      </c>
      <c r="AK23" s="116">
        <v>0.772222222222222</v>
      </c>
      <c r="AL23" s="116">
        <v>0.872222222222222</v>
      </c>
      <c r="AM23" s="117">
        <v>0</v>
      </c>
      <c r="AN23" s="7"/>
      <c r="AO23" s="7" t="s">
        <v>185</v>
      </c>
      <c r="AP23" s="7" t="s">
        <v>186</v>
      </c>
      <c r="AQ23" s="7" t="s">
        <v>63</v>
      </c>
      <c r="AR23" s="7" t="s">
        <v>174</v>
      </c>
      <c r="AS23" s="7" t="s">
        <v>33</v>
      </c>
      <c r="AT23" s="7" t="s">
        <v>36</v>
      </c>
      <c r="AU23" s="7"/>
      <c r="AV23" s="7"/>
      <c r="AW23" s="7"/>
      <c r="AX23" s="7"/>
      <c r="AY23" s="7"/>
      <c r="AZ23" s="58">
        <v>35540</v>
      </c>
      <c r="BA23" s="57" t="s">
        <v>85</v>
      </c>
      <c r="BB23" s="13" t="s">
        <v>187</v>
      </c>
      <c r="BC23" s="9">
        <v>200</v>
      </c>
      <c r="BD23" s="9">
        <v>1</v>
      </c>
      <c r="BE23" s="9" t="s">
        <v>188</v>
      </c>
      <c r="BF23" s="9" t="str">
        <f t="shared" si="4"/>
        <v>PhuongTT</v>
      </c>
      <c r="BG23" s="9" t="str">
        <f t="shared" si="5"/>
        <v>VST</v>
      </c>
      <c r="BH23" s="19" t="b">
        <v>0</v>
      </c>
      <c r="BI23" s="9" t="s">
        <v>189</v>
      </c>
      <c r="BJ23" s="9" t="s">
        <v>188</v>
      </c>
      <c r="BK23" s="9" t="s">
        <v>188</v>
      </c>
      <c r="BL23" s="9" t="s">
        <v>190</v>
      </c>
      <c r="BM23" s="19" t="b">
        <v>0</v>
      </c>
    </row>
    <row r="24" s="1" customFormat="1" ht="50" customHeight="1" spans="1:65">
      <c r="A24" s="4" t="s">
        <v>380</v>
      </c>
      <c r="B24" s="21" t="s">
        <v>378</v>
      </c>
      <c r="C24" s="94" t="s">
        <v>29</v>
      </c>
      <c r="D24" s="17" t="s">
        <v>356</v>
      </c>
      <c r="E24" s="21" t="s">
        <v>173</v>
      </c>
      <c r="F24" s="7" t="s">
        <v>31</v>
      </c>
      <c r="G24" s="4" t="s">
        <v>32</v>
      </c>
      <c r="H24" s="7" t="s">
        <v>174</v>
      </c>
      <c r="I24" s="7" t="s">
        <v>175</v>
      </c>
      <c r="J24" s="7"/>
      <c r="K24" s="7" t="s">
        <v>176</v>
      </c>
      <c r="L24" s="7"/>
      <c r="M24" s="106"/>
      <c r="N24" s="106"/>
      <c r="O24" s="7"/>
      <c r="P24" s="7"/>
      <c r="Q24" s="7"/>
      <c r="R24" s="7"/>
      <c r="S24" s="7"/>
      <c r="T24" s="106"/>
      <c r="U24" s="7"/>
      <c r="V24" s="106"/>
      <c r="W24" s="7" t="s">
        <v>177</v>
      </c>
      <c r="X24" s="7" t="s">
        <v>178</v>
      </c>
      <c r="Y24" s="7" t="s">
        <v>177</v>
      </c>
      <c r="Z24" s="7" t="s">
        <v>178</v>
      </c>
      <c r="AA24" s="7" t="s">
        <v>178</v>
      </c>
      <c r="AB24" s="7"/>
      <c r="AC24" s="7" t="s">
        <v>179</v>
      </c>
      <c r="AD24" s="7" t="s">
        <v>173</v>
      </c>
      <c r="AE24" s="7" t="s">
        <v>225</v>
      </c>
      <c r="AF24" s="7"/>
      <c r="AG24" s="7"/>
      <c r="AH24" s="7" t="s">
        <v>181</v>
      </c>
      <c r="AI24" s="114" t="s">
        <v>357</v>
      </c>
      <c r="AJ24" s="95" t="s">
        <v>183</v>
      </c>
      <c r="AK24" s="116">
        <v>0.772222222222222</v>
      </c>
      <c r="AL24" s="116">
        <v>0.872222222222222</v>
      </c>
      <c r="AM24" s="117">
        <v>1</v>
      </c>
      <c r="AN24" s="7"/>
      <c r="AO24" s="7" t="s">
        <v>185</v>
      </c>
      <c r="AP24" s="7" t="s">
        <v>186</v>
      </c>
      <c r="AQ24" s="7" t="s">
        <v>63</v>
      </c>
      <c r="AR24" s="7" t="s">
        <v>174</v>
      </c>
      <c r="AS24" s="7" t="s">
        <v>33</v>
      </c>
      <c r="AT24" s="7" t="s">
        <v>36</v>
      </c>
      <c r="AU24" s="7"/>
      <c r="AV24" s="7"/>
      <c r="AW24" s="7"/>
      <c r="AX24" s="7"/>
      <c r="AY24" s="7"/>
      <c r="AZ24" s="58">
        <v>35540</v>
      </c>
      <c r="BA24" s="57" t="s">
        <v>85</v>
      </c>
      <c r="BB24" s="13" t="s">
        <v>187</v>
      </c>
      <c r="BC24" s="9">
        <v>200</v>
      </c>
      <c r="BD24" s="9">
        <v>1</v>
      </c>
      <c r="BE24" s="9" t="s">
        <v>188</v>
      </c>
      <c r="BF24" s="9" t="str">
        <f t="shared" si="4"/>
        <v>PhuongTT</v>
      </c>
      <c r="BG24" s="9" t="str">
        <f t="shared" si="5"/>
        <v>VST</v>
      </c>
      <c r="BH24" s="19" t="b">
        <v>0</v>
      </c>
      <c r="BI24" s="9" t="s">
        <v>189</v>
      </c>
      <c r="BJ24" s="9" t="s">
        <v>188</v>
      </c>
      <c r="BK24" s="9" t="s">
        <v>188</v>
      </c>
      <c r="BL24" s="9" t="s">
        <v>190</v>
      </c>
      <c r="BM24" s="19" t="b">
        <v>0</v>
      </c>
    </row>
    <row r="25" s="111" customFormat="1" ht="50" customHeight="1" spans="1:66">
      <c r="A25" s="4" t="s">
        <v>381</v>
      </c>
      <c r="B25" s="21" t="s">
        <v>378</v>
      </c>
      <c r="C25" s="94" t="s">
        <v>29</v>
      </c>
      <c r="D25" s="17" t="s">
        <v>356</v>
      </c>
      <c r="E25" s="21" t="s">
        <v>173</v>
      </c>
      <c r="F25" s="7" t="s">
        <v>31</v>
      </c>
      <c r="G25" s="4" t="s">
        <v>32</v>
      </c>
      <c r="H25" s="7" t="s">
        <v>174</v>
      </c>
      <c r="I25" s="7" t="s">
        <v>175</v>
      </c>
      <c r="J25" s="7"/>
      <c r="K25" s="7" t="s">
        <v>176</v>
      </c>
      <c r="L25" s="7"/>
      <c r="M25" s="106"/>
      <c r="N25" s="106"/>
      <c r="O25" s="7"/>
      <c r="P25" s="7"/>
      <c r="Q25" s="7"/>
      <c r="R25" s="7"/>
      <c r="S25" s="7"/>
      <c r="T25" s="106"/>
      <c r="U25" s="7"/>
      <c r="V25" s="106"/>
      <c r="W25" s="7" t="s">
        <v>177</v>
      </c>
      <c r="X25" s="7" t="s">
        <v>178</v>
      </c>
      <c r="Y25" s="7" t="s">
        <v>177</v>
      </c>
      <c r="Z25" s="7" t="s">
        <v>178</v>
      </c>
      <c r="AA25" s="7" t="s">
        <v>178</v>
      </c>
      <c r="AB25" s="7"/>
      <c r="AC25" s="7" t="s">
        <v>179</v>
      </c>
      <c r="AD25" s="7" t="s">
        <v>173</v>
      </c>
      <c r="AE25" s="7" t="s">
        <v>227</v>
      </c>
      <c r="AF25" s="7"/>
      <c r="AG25" s="7"/>
      <c r="AH25" s="7" t="s">
        <v>181</v>
      </c>
      <c r="AI25" s="114" t="s">
        <v>357</v>
      </c>
      <c r="AJ25" s="95" t="s">
        <v>183</v>
      </c>
      <c r="AK25" s="116">
        <v>0.772222222222222</v>
      </c>
      <c r="AL25" s="116">
        <v>0.872222222222222</v>
      </c>
      <c r="AM25" s="117">
        <v>2</v>
      </c>
      <c r="AN25" s="7"/>
      <c r="AO25" s="7" t="s">
        <v>185</v>
      </c>
      <c r="AP25" s="7" t="s">
        <v>186</v>
      </c>
      <c r="AQ25" s="7" t="s">
        <v>63</v>
      </c>
      <c r="AR25" s="7" t="s">
        <v>174</v>
      </c>
      <c r="AS25" s="7" t="s">
        <v>33</v>
      </c>
      <c r="AT25" s="7" t="s">
        <v>36</v>
      </c>
      <c r="AU25" s="7"/>
      <c r="AV25" s="7"/>
      <c r="AW25" s="7"/>
      <c r="AX25" s="7"/>
      <c r="AY25" s="7"/>
      <c r="AZ25" s="58">
        <v>35540</v>
      </c>
      <c r="BA25" s="57" t="s">
        <v>85</v>
      </c>
      <c r="BB25" s="13" t="s">
        <v>187</v>
      </c>
      <c r="BC25" s="9">
        <v>200</v>
      </c>
      <c r="BD25" s="9">
        <v>1</v>
      </c>
      <c r="BE25" s="9" t="s">
        <v>188</v>
      </c>
      <c r="BF25" s="9" t="str">
        <f t="shared" si="4"/>
        <v>PhuongTT</v>
      </c>
      <c r="BG25" s="9" t="str">
        <f t="shared" si="5"/>
        <v>VST</v>
      </c>
      <c r="BH25" s="19" t="b">
        <v>0</v>
      </c>
      <c r="BI25" s="9" t="s">
        <v>189</v>
      </c>
      <c r="BJ25" s="9" t="s">
        <v>188</v>
      </c>
      <c r="BK25" s="9" t="s">
        <v>188</v>
      </c>
      <c r="BL25" s="9" t="s">
        <v>190</v>
      </c>
      <c r="BM25" s="19" t="b">
        <v>0</v>
      </c>
      <c r="BN25" s="29"/>
    </row>
    <row r="26" s="111" customFormat="1" ht="50" customHeight="1" spans="1:66">
      <c r="A26" s="4" t="s">
        <v>382</v>
      </c>
      <c r="B26" s="21" t="s">
        <v>378</v>
      </c>
      <c r="C26" s="94" t="s">
        <v>29</v>
      </c>
      <c r="D26" s="17" t="s">
        <v>356</v>
      </c>
      <c r="E26" s="21" t="s">
        <v>173</v>
      </c>
      <c r="F26" s="7" t="s">
        <v>31</v>
      </c>
      <c r="G26" s="4" t="s">
        <v>32</v>
      </c>
      <c r="H26" s="7" t="s">
        <v>174</v>
      </c>
      <c r="I26" s="7" t="s">
        <v>175</v>
      </c>
      <c r="J26" s="7"/>
      <c r="K26" s="7" t="s">
        <v>176</v>
      </c>
      <c r="L26" s="7"/>
      <c r="M26" s="106"/>
      <c r="N26" s="106"/>
      <c r="O26" s="7"/>
      <c r="P26" s="7"/>
      <c r="Q26" s="7"/>
      <c r="R26" s="7"/>
      <c r="S26" s="7"/>
      <c r="T26" s="106"/>
      <c r="U26" s="7"/>
      <c r="V26" s="106"/>
      <c r="W26" s="7" t="s">
        <v>177</v>
      </c>
      <c r="X26" s="7" t="s">
        <v>178</v>
      </c>
      <c r="Y26" s="7" t="s">
        <v>177</v>
      </c>
      <c r="Z26" s="7" t="s">
        <v>178</v>
      </c>
      <c r="AA26" s="7" t="s">
        <v>178</v>
      </c>
      <c r="AB26" s="7"/>
      <c r="AC26" s="7" t="s">
        <v>179</v>
      </c>
      <c r="AD26" s="7" t="s">
        <v>173</v>
      </c>
      <c r="AE26" s="7" t="s">
        <v>229</v>
      </c>
      <c r="AF26" s="7"/>
      <c r="AG26" s="7"/>
      <c r="AH26" s="7" t="s">
        <v>181</v>
      </c>
      <c r="AI26" s="114" t="s">
        <v>357</v>
      </c>
      <c r="AJ26" s="95" t="s">
        <v>183</v>
      </c>
      <c r="AK26" s="116">
        <v>0.772222222222222</v>
      </c>
      <c r="AL26" s="116">
        <v>0.872222222222222</v>
      </c>
      <c r="AM26" s="117">
        <v>3</v>
      </c>
      <c r="AN26" s="7"/>
      <c r="AO26" s="7" t="s">
        <v>185</v>
      </c>
      <c r="AP26" s="7" t="s">
        <v>186</v>
      </c>
      <c r="AQ26" s="7" t="s">
        <v>63</v>
      </c>
      <c r="AR26" s="7" t="s">
        <v>174</v>
      </c>
      <c r="AS26" s="7" t="s">
        <v>33</v>
      </c>
      <c r="AT26" s="7" t="s">
        <v>36</v>
      </c>
      <c r="AU26" s="7"/>
      <c r="AV26" s="7"/>
      <c r="AW26" s="7"/>
      <c r="AX26" s="7"/>
      <c r="AY26" s="7"/>
      <c r="AZ26" s="58">
        <v>35540</v>
      </c>
      <c r="BA26" s="57" t="s">
        <v>85</v>
      </c>
      <c r="BB26" s="13" t="s">
        <v>187</v>
      </c>
      <c r="BC26" s="9">
        <v>200</v>
      </c>
      <c r="BD26" s="9">
        <v>1</v>
      </c>
      <c r="BE26" s="9" t="s">
        <v>188</v>
      </c>
      <c r="BF26" s="9" t="str">
        <f t="shared" si="4"/>
        <v>PhuongTT</v>
      </c>
      <c r="BG26" s="9" t="str">
        <f t="shared" si="5"/>
        <v>VST</v>
      </c>
      <c r="BH26" s="19" t="b">
        <v>0</v>
      </c>
      <c r="BI26" s="9" t="s">
        <v>189</v>
      </c>
      <c r="BJ26" s="9" t="s">
        <v>188</v>
      </c>
      <c r="BK26" s="9" t="s">
        <v>188</v>
      </c>
      <c r="BL26" s="9" t="s">
        <v>190</v>
      </c>
      <c r="BM26" s="19" t="b">
        <v>0</v>
      </c>
      <c r="BN26" s="29"/>
    </row>
    <row r="27" s="111" customFormat="1" ht="37" customHeight="1" spans="1:66">
      <c r="A27" s="35"/>
      <c r="B27" s="77" t="s">
        <v>383</v>
      </c>
      <c r="C27" s="77"/>
      <c r="D27" s="77"/>
      <c r="E27" s="77"/>
      <c r="F27" s="77"/>
      <c r="G27" s="4"/>
      <c r="H27" s="7"/>
      <c r="I27" s="7"/>
      <c r="J27" s="7"/>
      <c r="K27" s="7"/>
      <c r="L27" s="7"/>
      <c r="M27" s="106"/>
      <c r="N27" s="106"/>
      <c r="O27" s="7"/>
      <c r="P27" s="7"/>
      <c r="Q27" s="7"/>
      <c r="R27" s="7"/>
      <c r="S27" s="7"/>
      <c r="T27" s="106"/>
      <c r="U27" s="7"/>
      <c r="V27" s="106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114"/>
      <c r="AJ27" s="95"/>
      <c r="AK27" s="95"/>
      <c r="AL27" s="95"/>
      <c r="AM27" s="95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4"/>
      <c r="BB27" s="13"/>
      <c r="BC27" s="9"/>
      <c r="BD27" s="9"/>
      <c r="BE27" s="9"/>
      <c r="BF27" s="9"/>
      <c r="BG27" s="9"/>
      <c r="BH27" s="19"/>
      <c r="BI27" s="9"/>
      <c r="BJ27" s="9"/>
      <c r="BK27" s="9"/>
      <c r="BL27" s="9"/>
      <c r="BM27" s="19"/>
      <c r="BN27" s="29"/>
    </row>
    <row r="28" s="1" customFormat="1" ht="50" customHeight="1" spans="1:65">
      <c r="A28" s="4" t="s">
        <v>384</v>
      </c>
      <c r="B28" s="21" t="s">
        <v>385</v>
      </c>
      <c r="C28" s="94" t="s">
        <v>29</v>
      </c>
      <c r="D28" s="17" t="s">
        <v>356</v>
      </c>
      <c r="E28" s="21" t="s">
        <v>173</v>
      </c>
      <c r="F28" s="7" t="s">
        <v>31</v>
      </c>
      <c r="G28" s="4" t="s">
        <v>32</v>
      </c>
      <c r="H28" s="7" t="s">
        <v>174</v>
      </c>
      <c r="I28" s="7" t="s">
        <v>175</v>
      </c>
      <c r="J28" s="7"/>
      <c r="K28" s="7" t="s">
        <v>176</v>
      </c>
      <c r="L28" s="7"/>
      <c r="M28" s="106"/>
      <c r="N28" s="106"/>
      <c r="O28" s="7"/>
      <c r="P28" s="7"/>
      <c r="Q28" s="7"/>
      <c r="R28" s="7"/>
      <c r="S28" s="7"/>
      <c r="T28" s="106"/>
      <c r="U28" s="7"/>
      <c r="V28" s="106"/>
      <c r="W28" s="7" t="s">
        <v>177</v>
      </c>
      <c r="X28" s="7" t="s">
        <v>178</v>
      </c>
      <c r="Y28" s="7" t="s">
        <v>177</v>
      </c>
      <c r="Z28" s="7" t="s">
        <v>178</v>
      </c>
      <c r="AA28" s="7" t="s">
        <v>178</v>
      </c>
      <c r="AB28" s="7"/>
      <c r="AC28" s="7" t="s">
        <v>179</v>
      </c>
      <c r="AD28" s="7" t="s">
        <v>173</v>
      </c>
      <c r="AE28" s="7" t="s">
        <v>231</v>
      </c>
      <c r="AF28" s="7"/>
      <c r="AG28" s="7"/>
      <c r="AH28" s="7" t="s">
        <v>181</v>
      </c>
      <c r="AI28" s="114" t="s">
        <v>357</v>
      </c>
      <c r="AJ28" s="95" t="s">
        <v>183</v>
      </c>
      <c r="AK28" s="116">
        <v>0.777777777777778</v>
      </c>
      <c r="AL28" s="116">
        <v>0.877777777777778</v>
      </c>
      <c r="AM28" s="117">
        <v>0</v>
      </c>
      <c r="AN28" s="7"/>
      <c r="AO28" s="7" t="s">
        <v>185</v>
      </c>
      <c r="AP28" s="7" t="s">
        <v>186</v>
      </c>
      <c r="AQ28" s="7" t="s">
        <v>63</v>
      </c>
      <c r="AR28" s="7" t="s">
        <v>174</v>
      </c>
      <c r="AS28" s="7" t="s">
        <v>33</v>
      </c>
      <c r="AT28" s="7" t="s">
        <v>36</v>
      </c>
      <c r="AU28" s="7"/>
      <c r="AV28" s="7"/>
      <c r="AW28" s="7"/>
      <c r="AX28" s="7"/>
      <c r="AY28" s="7"/>
      <c r="AZ28" s="58">
        <v>61353</v>
      </c>
      <c r="BA28" s="57" t="s">
        <v>89</v>
      </c>
      <c r="BB28" s="13" t="s">
        <v>187</v>
      </c>
      <c r="BC28" s="9">
        <v>200</v>
      </c>
      <c r="BD28" s="9">
        <v>1</v>
      </c>
      <c r="BE28" s="9" t="s">
        <v>188</v>
      </c>
      <c r="BF28" s="9" t="str">
        <f t="shared" ref="BF28:BF32" si="6">I28</f>
        <v>PhuongTT</v>
      </c>
      <c r="BG28" s="9" t="str">
        <f t="shared" ref="BG28:BG32" si="7">AQ28</f>
        <v>VST</v>
      </c>
      <c r="BH28" s="19" t="b">
        <v>0</v>
      </c>
      <c r="BI28" s="9" t="s">
        <v>189</v>
      </c>
      <c r="BJ28" s="9" t="s">
        <v>188</v>
      </c>
      <c r="BK28" s="9" t="s">
        <v>188</v>
      </c>
      <c r="BL28" s="9" t="s">
        <v>190</v>
      </c>
      <c r="BM28" s="19" t="b">
        <v>0</v>
      </c>
    </row>
    <row r="29" s="1" customFormat="1" ht="50" customHeight="1" spans="1:65">
      <c r="A29" s="4" t="s">
        <v>386</v>
      </c>
      <c r="B29" s="21" t="s">
        <v>385</v>
      </c>
      <c r="C29" s="94" t="s">
        <v>29</v>
      </c>
      <c r="D29" s="17" t="s">
        <v>356</v>
      </c>
      <c r="E29" s="21" t="s">
        <v>173</v>
      </c>
      <c r="F29" s="7" t="s">
        <v>31</v>
      </c>
      <c r="G29" s="4" t="s">
        <v>32</v>
      </c>
      <c r="H29" s="7" t="s">
        <v>174</v>
      </c>
      <c r="I29" s="7" t="s">
        <v>175</v>
      </c>
      <c r="J29" s="7"/>
      <c r="K29" s="7" t="s">
        <v>176</v>
      </c>
      <c r="L29" s="7"/>
      <c r="M29" s="106"/>
      <c r="N29" s="106"/>
      <c r="O29" s="7"/>
      <c r="P29" s="7"/>
      <c r="Q29" s="7"/>
      <c r="R29" s="7"/>
      <c r="S29" s="7"/>
      <c r="T29" s="106"/>
      <c r="U29" s="7"/>
      <c r="V29" s="106"/>
      <c r="W29" s="7" t="s">
        <v>177</v>
      </c>
      <c r="X29" s="7" t="s">
        <v>178</v>
      </c>
      <c r="Y29" s="7" t="s">
        <v>177</v>
      </c>
      <c r="Z29" s="7" t="s">
        <v>178</v>
      </c>
      <c r="AA29" s="7" t="s">
        <v>178</v>
      </c>
      <c r="AB29" s="7"/>
      <c r="AC29" s="7" t="s">
        <v>179</v>
      </c>
      <c r="AD29" s="7" t="s">
        <v>173</v>
      </c>
      <c r="AE29" s="7" t="s">
        <v>233</v>
      </c>
      <c r="AF29" s="7"/>
      <c r="AG29" s="7"/>
      <c r="AH29" s="7" t="s">
        <v>181</v>
      </c>
      <c r="AI29" s="114" t="s">
        <v>357</v>
      </c>
      <c r="AJ29" s="95" t="s">
        <v>183</v>
      </c>
      <c r="AK29" s="116">
        <v>0.777777777777778</v>
      </c>
      <c r="AL29" s="116">
        <v>0.877777777777778</v>
      </c>
      <c r="AM29" s="117">
        <v>1</v>
      </c>
      <c r="AN29" s="7"/>
      <c r="AO29" s="7" t="s">
        <v>185</v>
      </c>
      <c r="AP29" s="7" t="s">
        <v>186</v>
      </c>
      <c r="AQ29" s="7" t="s">
        <v>63</v>
      </c>
      <c r="AR29" s="7" t="s">
        <v>174</v>
      </c>
      <c r="AS29" s="7" t="s">
        <v>33</v>
      </c>
      <c r="AT29" s="7" t="s">
        <v>36</v>
      </c>
      <c r="AU29" s="7"/>
      <c r="AV29" s="7"/>
      <c r="AW29" s="7"/>
      <c r="AX29" s="7"/>
      <c r="AY29" s="7"/>
      <c r="AZ29" s="58">
        <v>61353</v>
      </c>
      <c r="BA29" s="57" t="s">
        <v>89</v>
      </c>
      <c r="BB29" s="13" t="s">
        <v>187</v>
      </c>
      <c r="BC29" s="9">
        <v>200</v>
      </c>
      <c r="BD29" s="9">
        <v>1</v>
      </c>
      <c r="BE29" s="9" t="s">
        <v>188</v>
      </c>
      <c r="BF29" s="9" t="str">
        <f t="shared" si="6"/>
        <v>PhuongTT</v>
      </c>
      <c r="BG29" s="9" t="str">
        <f t="shared" si="7"/>
        <v>VST</v>
      </c>
      <c r="BH29" s="19" t="b">
        <v>0</v>
      </c>
      <c r="BI29" s="9" t="s">
        <v>189</v>
      </c>
      <c r="BJ29" s="9" t="s">
        <v>188</v>
      </c>
      <c r="BK29" s="9" t="s">
        <v>188</v>
      </c>
      <c r="BL29" s="9" t="s">
        <v>190</v>
      </c>
      <c r="BM29" s="19" t="b">
        <v>0</v>
      </c>
    </row>
    <row r="30" s="1" customFormat="1" ht="50" customHeight="1" spans="1:65">
      <c r="A30" s="4" t="s">
        <v>387</v>
      </c>
      <c r="B30" s="21" t="s">
        <v>385</v>
      </c>
      <c r="C30" s="94" t="s">
        <v>29</v>
      </c>
      <c r="D30" s="17" t="s">
        <v>356</v>
      </c>
      <c r="E30" s="21" t="s">
        <v>173</v>
      </c>
      <c r="F30" s="7" t="s">
        <v>31</v>
      </c>
      <c r="G30" s="4" t="s">
        <v>32</v>
      </c>
      <c r="H30" s="7" t="s">
        <v>174</v>
      </c>
      <c r="I30" s="7" t="s">
        <v>175</v>
      </c>
      <c r="J30" s="7"/>
      <c r="K30" s="7" t="s">
        <v>176</v>
      </c>
      <c r="L30" s="7"/>
      <c r="M30" s="106"/>
      <c r="N30" s="106"/>
      <c r="O30" s="7"/>
      <c r="P30" s="7"/>
      <c r="Q30" s="7"/>
      <c r="R30" s="7"/>
      <c r="S30" s="7"/>
      <c r="T30" s="106"/>
      <c r="U30" s="7"/>
      <c r="V30" s="106"/>
      <c r="W30" s="7" t="s">
        <v>177</v>
      </c>
      <c r="X30" s="7" t="s">
        <v>178</v>
      </c>
      <c r="Y30" s="7" t="s">
        <v>177</v>
      </c>
      <c r="Z30" s="7" t="s">
        <v>178</v>
      </c>
      <c r="AA30" s="7" t="s">
        <v>178</v>
      </c>
      <c r="AB30" s="7"/>
      <c r="AC30" s="7" t="s">
        <v>179</v>
      </c>
      <c r="AD30" s="7" t="s">
        <v>173</v>
      </c>
      <c r="AE30" s="7" t="s">
        <v>235</v>
      </c>
      <c r="AF30" s="7"/>
      <c r="AG30" s="7"/>
      <c r="AH30" s="7" t="s">
        <v>181</v>
      </c>
      <c r="AI30" s="114" t="s">
        <v>357</v>
      </c>
      <c r="AJ30" s="95" t="s">
        <v>183</v>
      </c>
      <c r="AK30" s="116">
        <v>0.777777777777778</v>
      </c>
      <c r="AL30" s="116">
        <v>0.877777777777778</v>
      </c>
      <c r="AM30" s="117">
        <v>2</v>
      </c>
      <c r="AN30" s="7"/>
      <c r="AO30" s="7" t="s">
        <v>185</v>
      </c>
      <c r="AP30" s="7" t="s">
        <v>186</v>
      </c>
      <c r="AQ30" s="7" t="s">
        <v>63</v>
      </c>
      <c r="AR30" s="7" t="s">
        <v>174</v>
      </c>
      <c r="AS30" s="7" t="s">
        <v>33</v>
      </c>
      <c r="AT30" s="7" t="s">
        <v>36</v>
      </c>
      <c r="AU30" s="7"/>
      <c r="AV30" s="7"/>
      <c r="AW30" s="7"/>
      <c r="AX30" s="7"/>
      <c r="AY30" s="7"/>
      <c r="AZ30" s="58">
        <v>61353</v>
      </c>
      <c r="BA30" s="57" t="s">
        <v>89</v>
      </c>
      <c r="BB30" s="13" t="s">
        <v>187</v>
      </c>
      <c r="BC30" s="9">
        <v>200</v>
      </c>
      <c r="BD30" s="9">
        <v>1</v>
      </c>
      <c r="BE30" s="9" t="s">
        <v>188</v>
      </c>
      <c r="BF30" s="9" t="str">
        <f t="shared" si="6"/>
        <v>PhuongTT</v>
      </c>
      <c r="BG30" s="9" t="str">
        <f t="shared" si="7"/>
        <v>VST</v>
      </c>
      <c r="BH30" s="19" t="b">
        <v>0</v>
      </c>
      <c r="BI30" s="9" t="s">
        <v>189</v>
      </c>
      <c r="BJ30" s="9" t="s">
        <v>188</v>
      </c>
      <c r="BK30" s="9" t="s">
        <v>188</v>
      </c>
      <c r="BL30" s="9" t="s">
        <v>190</v>
      </c>
      <c r="BM30" s="19" t="b">
        <v>0</v>
      </c>
    </row>
    <row r="31" s="111" customFormat="1" ht="50" customHeight="1" spans="1:66">
      <c r="A31" s="4" t="s">
        <v>388</v>
      </c>
      <c r="B31" s="21" t="s">
        <v>385</v>
      </c>
      <c r="C31" s="94" t="s">
        <v>29</v>
      </c>
      <c r="D31" s="17" t="s">
        <v>356</v>
      </c>
      <c r="E31" s="21" t="s">
        <v>173</v>
      </c>
      <c r="F31" s="7" t="s">
        <v>31</v>
      </c>
      <c r="G31" s="4" t="s">
        <v>32</v>
      </c>
      <c r="H31" s="7" t="s">
        <v>174</v>
      </c>
      <c r="I31" s="7" t="s">
        <v>175</v>
      </c>
      <c r="J31" s="7"/>
      <c r="K31" s="7" t="s">
        <v>176</v>
      </c>
      <c r="L31" s="7"/>
      <c r="M31" s="106"/>
      <c r="N31" s="106"/>
      <c r="O31" s="7"/>
      <c r="P31" s="7"/>
      <c r="Q31" s="7"/>
      <c r="R31" s="7"/>
      <c r="S31" s="7"/>
      <c r="T31" s="106"/>
      <c r="U31" s="7"/>
      <c r="V31" s="106"/>
      <c r="W31" s="7" t="s">
        <v>177</v>
      </c>
      <c r="X31" s="7" t="s">
        <v>178</v>
      </c>
      <c r="Y31" s="7" t="s">
        <v>177</v>
      </c>
      <c r="Z31" s="7" t="s">
        <v>178</v>
      </c>
      <c r="AA31" s="7" t="s">
        <v>178</v>
      </c>
      <c r="AB31" s="7"/>
      <c r="AC31" s="7" t="s">
        <v>179</v>
      </c>
      <c r="AD31" s="7" t="s">
        <v>173</v>
      </c>
      <c r="AE31" s="7" t="s">
        <v>237</v>
      </c>
      <c r="AF31" s="7"/>
      <c r="AG31" s="7"/>
      <c r="AH31" s="7" t="s">
        <v>181</v>
      </c>
      <c r="AI31" s="114" t="s">
        <v>357</v>
      </c>
      <c r="AJ31" s="95" t="s">
        <v>183</v>
      </c>
      <c r="AK31" s="116">
        <v>0.777777777777778</v>
      </c>
      <c r="AL31" s="116">
        <v>0.877777777777778</v>
      </c>
      <c r="AM31" s="117">
        <v>3</v>
      </c>
      <c r="AN31" s="7"/>
      <c r="AO31" s="7" t="s">
        <v>185</v>
      </c>
      <c r="AP31" s="7" t="s">
        <v>186</v>
      </c>
      <c r="AQ31" s="7" t="s">
        <v>63</v>
      </c>
      <c r="AR31" s="7" t="s">
        <v>174</v>
      </c>
      <c r="AS31" s="7" t="s">
        <v>33</v>
      </c>
      <c r="AT31" s="7" t="s">
        <v>36</v>
      </c>
      <c r="AU31" s="7"/>
      <c r="AV31" s="7"/>
      <c r="AW31" s="7"/>
      <c r="AX31" s="7"/>
      <c r="AY31" s="7"/>
      <c r="AZ31" s="58">
        <v>61353</v>
      </c>
      <c r="BA31" s="57" t="s">
        <v>89</v>
      </c>
      <c r="BB31" s="13" t="s">
        <v>187</v>
      </c>
      <c r="BC31" s="9">
        <v>200</v>
      </c>
      <c r="BD31" s="9">
        <v>1</v>
      </c>
      <c r="BE31" s="9" t="s">
        <v>188</v>
      </c>
      <c r="BF31" s="9" t="str">
        <f t="shared" si="6"/>
        <v>PhuongTT</v>
      </c>
      <c r="BG31" s="9" t="str">
        <f t="shared" si="7"/>
        <v>VST</v>
      </c>
      <c r="BH31" s="19" t="b">
        <v>0</v>
      </c>
      <c r="BI31" s="9" t="s">
        <v>189</v>
      </c>
      <c r="BJ31" s="9" t="s">
        <v>188</v>
      </c>
      <c r="BK31" s="9" t="s">
        <v>188</v>
      </c>
      <c r="BL31" s="9" t="s">
        <v>190</v>
      </c>
      <c r="BM31" s="19" t="b">
        <v>0</v>
      </c>
      <c r="BN31" s="29"/>
    </row>
    <row r="32" s="111" customFormat="1" ht="50" customHeight="1" spans="1:66">
      <c r="A32" s="4" t="s">
        <v>389</v>
      </c>
      <c r="B32" s="21" t="s">
        <v>385</v>
      </c>
      <c r="C32" s="94" t="s">
        <v>29</v>
      </c>
      <c r="D32" s="17" t="s">
        <v>356</v>
      </c>
      <c r="E32" s="21" t="s">
        <v>173</v>
      </c>
      <c r="F32" s="7" t="s">
        <v>31</v>
      </c>
      <c r="G32" s="4" t="s">
        <v>32</v>
      </c>
      <c r="H32" s="7" t="s">
        <v>174</v>
      </c>
      <c r="I32" s="7" t="s">
        <v>175</v>
      </c>
      <c r="J32" s="7"/>
      <c r="K32" s="7" t="s">
        <v>176</v>
      </c>
      <c r="L32" s="7"/>
      <c r="M32" s="106"/>
      <c r="N32" s="106"/>
      <c r="O32" s="7"/>
      <c r="P32" s="7"/>
      <c r="Q32" s="7"/>
      <c r="R32" s="7"/>
      <c r="S32" s="7"/>
      <c r="T32" s="106"/>
      <c r="U32" s="7"/>
      <c r="V32" s="106"/>
      <c r="W32" s="7" t="s">
        <v>177</v>
      </c>
      <c r="X32" s="7" t="s">
        <v>178</v>
      </c>
      <c r="Y32" s="7" t="s">
        <v>177</v>
      </c>
      <c r="Z32" s="7" t="s">
        <v>178</v>
      </c>
      <c r="AA32" s="7" t="s">
        <v>178</v>
      </c>
      <c r="AB32" s="7"/>
      <c r="AC32" s="7" t="s">
        <v>179</v>
      </c>
      <c r="AD32" s="7" t="s">
        <v>173</v>
      </c>
      <c r="AE32" s="7" t="s">
        <v>239</v>
      </c>
      <c r="AF32" s="7"/>
      <c r="AG32" s="7"/>
      <c r="AH32" s="7" t="s">
        <v>181</v>
      </c>
      <c r="AI32" s="114" t="s">
        <v>357</v>
      </c>
      <c r="AJ32" s="95" t="s">
        <v>183</v>
      </c>
      <c r="AK32" s="116">
        <v>0.783333333333333</v>
      </c>
      <c r="AL32" s="116">
        <v>0.883333333333333</v>
      </c>
      <c r="AM32" s="117">
        <v>0</v>
      </c>
      <c r="AN32" s="7"/>
      <c r="AO32" s="7" t="s">
        <v>185</v>
      </c>
      <c r="AP32" s="7" t="s">
        <v>186</v>
      </c>
      <c r="AQ32" s="7" t="s">
        <v>63</v>
      </c>
      <c r="AR32" s="7" t="s">
        <v>174</v>
      </c>
      <c r="AS32" s="7" t="s">
        <v>33</v>
      </c>
      <c r="AT32" s="7" t="s">
        <v>36</v>
      </c>
      <c r="AU32" s="7"/>
      <c r="AV32" s="7"/>
      <c r="AW32" s="7"/>
      <c r="AX32" s="7"/>
      <c r="AY32" s="7"/>
      <c r="AZ32" s="58">
        <v>61353</v>
      </c>
      <c r="BA32" s="57" t="s">
        <v>89</v>
      </c>
      <c r="BB32" s="13" t="s">
        <v>187</v>
      </c>
      <c r="BC32" s="9">
        <v>200</v>
      </c>
      <c r="BD32" s="9">
        <v>1</v>
      </c>
      <c r="BE32" s="9" t="s">
        <v>188</v>
      </c>
      <c r="BF32" s="9" t="str">
        <f t="shared" si="6"/>
        <v>PhuongTT</v>
      </c>
      <c r="BG32" s="9" t="str">
        <f t="shared" si="7"/>
        <v>VST</v>
      </c>
      <c r="BH32" s="19" t="b">
        <v>0</v>
      </c>
      <c r="BI32" s="9" t="s">
        <v>189</v>
      </c>
      <c r="BJ32" s="9" t="s">
        <v>188</v>
      </c>
      <c r="BK32" s="9" t="s">
        <v>188</v>
      </c>
      <c r="BL32" s="9" t="s">
        <v>190</v>
      </c>
      <c r="BM32" s="19" t="b">
        <v>0</v>
      </c>
      <c r="BN32" s="29"/>
    </row>
    <row r="33" s="111" customFormat="1" ht="37" customHeight="1" spans="1:66">
      <c r="A33" s="35"/>
      <c r="B33" s="77" t="s">
        <v>390</v>
      </c>
      <c r="C33" s="77"/>
      <c r="D33" s="77"/>
      <c r="E33" s="77"/>
      <c r="F33" s="77"/>
      <c r="G33" s="4"/>
      <c r="H33" s="7"/>
      <c r="I33" s="7"/>
      <c r="J33" s="7"/>
      <c r="K33" s="7"/>
      <c r="L33" s="7"/>
      <c r="M33" s="106"/>
      <c r="N33" s="106"/>
      <c r="O33" s="7"/>
      <c r="P33" s="7"/>
      <c r="Q33" s="7"/>
      <c r="R33" s="7"/>
      <c r="S33" s="7"/>
      <c r="T33" s="106"/>
      <c r="U33" s="7"/>
      <c r="V33" s="106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114"/>
      <c r="AJ33" s="95"/>
      <c r="AK33" s="95"/>
      <c r="AL33" s="95"/>
      <c r="AM33" s="95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4"/>
      <c r="BB33" s="13"/>
      <c r="BC33" s="9"/>
      <c r="BD33" s="9"/>
      <c r="BE33" s="9"/>
      <c r="BF33" s="9"/>
      <c r="BG33" s="9"/>
      <c r="BH33" s="19"/>
      <c r="BI33" s="9"/>
      <c r="BJ33" s="9"/>
      <c r="BK33" s="9"/>
      <c r="BL33" s="9"/>
      <c r="BM33" s="19"/>
      <c r="BN33" s="29"/>
    </row>
    <row r="34" s="1" customFormat="1" ht="50" customHeight="1" spans="1:65">
      <c r="A34" s="4" t="s">
        <v>391</v>
      </c>
      <c r="B34" s="21" t="s">
        <v>392</v>
      </c>
      <c r="C34" s="94" t="s">
        <v>29</v>
      </c>
      <c r="D34" s="17" t="s">
        <v>356</v>
      </c>
      <c r="E34" s="21" t="s">
        <v>173</v>
      </c>
      <c r="F34" s="7" t="s">
        <v>31</v>
      </c>
      <c r="G34" s="4" t="s">
        <v>32</v>
      </c>
      <c r="H34" s="7" t="s">
        <v>174</v>
      </c>
      <c r="I34" s="7" t="s">
        <v>175</v>
      </c>
      <c r="J34" s="7"/>
      <c r="K34" s="7" t="s">
        <v>176</v>
      </c>
      <c r="L34" s="7"/>
      <c r="M34" s="106"/>
      <c r="N34" s="106"/>
      <c r="O34" s="7"/>
      <c r="P34" s="7"/>
      <c r="Q34" s="7"/>
      <c r="R34" s="7"/>
      <c r="S34" s="7"/>
      <c r="T34" s="106"/>
      <c r="U34" s="7"/>
      <c r="V34" s="106"/>
      <c r="W34" s="7" t="s">
        <v>177</v>
      </c>
      <c r="X34" s="7" t="s">
        <v>178</v>
      </c>
      <c r="Y34" s="7" t="s">
        <v>177</v>
      </c>
      <c r="Z34" s="7" t="s">
        <v>178</v>
      </c>
      <c r="AA34" s="7" t="s">
        <v>178</v>
      </c>
      <c r="AB34" s="7"/>
      <c r="AC34" s="7" t="s">
        <v>179</v>
      </c>
      <c r="AD34" s="7" t="s">
        <v>173</v>
      </c>
      <c r="AE34" s="7" t="s">
        <v>241</v>
      </c>
      <c r="AF34" s="7"/>
      <c r="AG34" s="7"/>
      <c r="AH34" s="7" t="s">
        <v>181</v>
      </c>
      <c r="AI34" s="114" t="s">
        <v>357</v>
      </c>
      <c r="AJ34" s="95" t="s">
        <v>183</v>
      </c>
      <c r="AK34" s="116">
        <v>0.783333333333333</v>
      </c>
      <c r="AL34" s="116">
        <v>0.883333333333333</v>
      </c>
      <c r="AM34" s="117">
        <v>1</v>
      </c>
      <c r="AN34" s="7"/>
      <c r="AO34" s="7" t="s">
        <v>185</v>
      </c>
      <c r="AP34" s="7" t="s">
        <v>186</v>
      </c>
      <c r="AQ34" s="7" t="s">
        <v>63</v>
      </c>
      <c r="AR34" s="7" t="s">
        <v>174</v>
      </c>
      <c r="AS34" s="7" t="s">
        <v>33</v>
      </c>
      <c r="AT34" s="7" t="s">
        <v>36</v>
      </c>
      <c r="AU34" s="7"/>
      <c r="AV34" s="7"/>
      <c r="AW34" s="7"/>
      <c r="AX34" s="7"/>
      <c r="AY34" s="7"/>
      <c r="AZ34" s="58">
        <v>61357</v>
      </c>
      <c r="BA34" s="57" t="s">
        <v>93</v>
      </c>
      <c r="BB34" s="13" t="s">
        <v>187</v>
      </c>
      <c r="BC34" s="9">
        <v>200</v>
      </c>
      <c r="BD34" s="9">
        <v>1</v>
      </c>
      <c r="BE34" s="9" t="s">
        <v>188</v>
      </c>
      <c r="BF34" s="9" t="str">
        <f t="shared" ref="BF34:BF38" si="8">I34</f>
        <v>PhuongTT</v>
      </c>
      <c r="BG34" s="9" t="str">
        <f t="shared" ref="BG34:BG38" si="9">AQ34</f>
        <v>VST</v>
      </c>
      <c r="BH34" s="19" t="b">
        <v>0</v>
      </c>
      <c r="BI34" s="9" t="s">
        <v>189</v>
      </c>
      <c r="BJ34" s="9" t="s">
        <v>188</v>
      </c>
      <c r="BK34" s="9" t="s">
        <v>188</v>
      </c>
      <c r="BL34" s="9" t="s">
        <v>190</v>
      </c>
      <c r="BM34" s="19" t="b">
        <v>0</v>
      </c>
    </row>
    <row r="35" s="1" customFormat="1" ht="50" customHeight="1" spans="1:65">
      <c r="A35" s="4" t="s">
        <v>393</v>
      </c>
      <c r="B35" s="21" t="s">
        <v>392</v>
      </c>
      <c r="C35" s="94" t="s">
        <v>29</v>
      </c>
      <c r="D35" s="17" t="s">
        <v>356</v>
      </c>
      <c r="E35" s="21" t="s">
        <v>173</v>
      </c>
      <c r="F35" s="7" t="s">
        <v>31</v>
      </c>
      <c r="G35" s="4" t="s">
        <v>32</v>
      </c>
      <c r="H35" s="7" t="s">
        <v>174</v>
      </c>
      <c r="I35" s="7" t="s">
        <v>175</v>
      </c>
      <c r="J35" s="7"/>
      <c r="K35" s="7" t="s">
        <v>176</v>
      </c>
      <c r="L35" s="7"/>
      <c r="M35" s="106"/>
      <c r="N35" s="106"/>
      <c r="O35" s="7"/>
      <c r="P35" s="7"/>
      <c r="Q35" s="7"/>
      <c r="R35" s="7"/>
      <c r="S35" s="7"/>
      <c r="T35" s="106"/>
      <c r="U35" s="7"/>
      <c r="V35" s="106"/>
      <c r="W35" s="7" t="s">
        <v>177</v>
      </c>
      <c r="X35" s="7" t="s">
        <v>178</v>
      </c>
      <c r="Y35" s="7" t="s">
        <v>177</v>
      </c>
      <c r="Z35" s="7" t="s">
        <v>178</v>
      </c>
      <c r="AA35" s="7" t="s">
        <v>178</v>
      </c>
      <c r="AB35" s="7"/>
      <c r="AC35" s="7" t="s">
        <v>179</v>
      </c>
      <c r="AD35" s="7" t="s">
        <v>173</v>
      </c>
      <c r="AE35" s="7" t="s">
        <v>243</v>
      </c>
      <c r="AF35" s="7"/>
      <c r="AG35" s="7"/>
      <c r="AH35" s="7" t="s">
        <v>181</v>
      </c>
      <c r="AI35" s="114" t="s">
        <v>357</v>
      </c>
      <c r="AJ35" s="95" t="s">
        <v>183</v>
      </c>
      <c r="AK35" s="116">
        <v>0.783333333333333</v>
      </c>
      <c r="AL35" s="116">
        <v>0.883333333333333</v>
      </c>
      <c r="AM35" s="117">
        <v>2</v>
      </c>
      <c r="AN35" s="7"/>
      <c r="AO35" s="7" t="s">
        <v>185</v>
      </c>
      <c r="AP35" s="7" t="s">
        <v>186</v>
      </c>
      <c r="AQ35" s="7" t="s">
        <v>63</v>
      </c>
      <c r="AR35" s="7" t="s">
        <v>174</v>
      </c>
      <c r="AS35" s="7" t="s">
        <v>33</v>
      </c>
      <c r="AT35" s="7" t="s">
        <v>36</v>
      </c>
      <c r="AU35" s="7"/>
      <c r="AV35" s="7"/>
      <c r="AW35" s="7"/>
      <c r="AX35" s="7"/>
      <c r="AY35" s="7"/>
      <c r="AZ35" s="58">
        <v>61357</v>
      </c>
      <c r="BA35" s="57" t="s">
        <v>93</v>
      </c>
      <c r="BB35" s="13" t="s">
        <v>187</v>
      </c>
      <c r="BC35" s="9">
        <v>200</v>
      </c>
      <c r="BD35" s="9">
        <v>1</v>
      </c>
      <c r="BE35" s="9" t="s">
        <v>188</v>
      </c>
      <c r="BF35" s="9" t="str">
        <f t="shared" si="8"/>
        <v>PhuongTT</v>
      </c>
      <c r="BG35" s="9" t="str">
        <f t="shared" si="9"/>
        <v>VST</v>
      </c>
      <c r="BH35" s="19" t="b">
        <v>0</v>
      </c>
      <c r="BI35" s="9" t="s">
        <v>189</v>
      </c>
      <c r="BJ35" s="9" t="s">
        <v>188</v>
      </c>
      <c r="BK35" s="9" t="s">
        <v>188</v>
      </c>
      <c r="BL35" s="9" t="s">
        <v>190</v>
      </c>
      <c r="BM35" s="19" t="b">
        <v>0</v>
      </c>
    </row>
    <row r="36" s="1" customFormat="1" ht="50" customHeight="1" spans="1:65">
      <c r="A36" s="4" t="s">
        <v>394</v>
      </c>
      <c r="B36" s="21" t="s">
        <v>392</v>
      </c>
      <c r="C36" s="94" t="s">
        <v>29</v>
      </c>
      <c r="D36" s="17" t="s">
        <v>356</v>
      </c>
      <c r="E36" s="21" t="s">
        <v>173</v>
      </c>
      <c r="F36" s="7" t="s">
        <v>31</v>
      </c>
      <c r="G36" s="4" t="s">
        <v>32</v>
      </c>
      <c r="H36" s="7" t="s">
        <v>174</v>
      </c>
      <c r="I36" s="7" t="s">
        <v>175</v>
      </c>
      <c r="J36" s="7"/>
      <c r="K36" s="7" t="s">
        <v>176</v>
      </c>
      <c r="L36" s="7"/>
      <c r="M36" s="106"/>
      <c r="N36" s="106"/>
      <c r="O36" s="7"/>
      <c r="P36" s="7"/>
      <c r="Q36" s="7"/>
      <c r="R36" s="7"/>
      <c r="S36" s="7"/>
      <c r="T36" s="106"/>
      <c r="U36" s="7"/>
      <c r="V36" s="106"/>
      <c r="W36" s="7" t="s">
        <v>177</v>
      </c>
      <c r="X36" s="7" t="s">
        <v>178</v>
      </c>
      <c r="Y36" s="7" t="s">
        <v>177</v>
      </c>
      <c r="Z36" s="7" t="s">
        <v>178</v>
      </c>
      <c r="AA36" s="7" t="s">
        <v>178</v>
      </c>
      <c r="AB36" s="7"/>
      <c r="AC36" s="7" t="s">
        <v>179</v>
      </c>
      <c r="AD36" s="7" t="s">
        <v>173</v>
      </c>
      <c r="AE36" s="7" t="s">
        <v>245</v>
      </c>
      <c r="AF36" s="7"/>
      <c r="AG36" s="7"/>
      <c r="AH36" s="7" t="s">
        <v>181</v>
      </c>
      <c r="AI36" s="114" t="s">
        <v>357</v>
      </c>
      <c r="AJ36" s="95" t="s">
        <v>183</v>
      </c>
      <c r="AK36" s="116">
        <v>0.783333333333333</v>
      </c>
      <c r="AL36" s="116">
        <v>0.883333333333333</v>
      </c>
      <c r="AM36" s="117">
        <v>3</v>
      </c>
      <c r="AN36" s="7"/>
      <c r="AO36" s="7" t="s">
        <v>185</v>
      </c>
      <c r="AP36" s="7" t="s">
        <v>186</v>
      </c>
      <c r="AQ36" s="7" t="s">
        <v>63</v>
      </c>
      <c r="AR36" s="7" t="s">
        <v>174</v>
      </c>
      <c r="AS36" s="7" t="s">
        <v>33</v>
      </c>
      <c r="AT36" s="7" t="s">
        <v>36</v>
      </c>
      <c r="AU36" s="7"/>
      <c r="AV36" s="7"/>
      <c r="AW36" s="7"/>
      <c r="AX36" s="7"/>
      <c r="AY36" s="7"/>
      <c r="AZ36" s="58">
        <v>61357</v>
      </c>
      <c r="BA36" s="57" t="s">
        <v>93</v>
      </c>
      <c r="BB36" s="13" t="s">
        <v>187</v>
      </c>
      <c r="BC36" s="9">
        <v>200</v>
      </c>
      <c r="BD36" s="9">
        <v>1</v>
      </c>
      <c r="BE36" s="9" t="s">
        <v>188</v>
      </c>
      <c r="BF36" s="9" t="str">
        <f t="shared" si="8"/>
        <v>PhuongTT</v>
      </c>
      <c r="BG36" s="9" t="str">
        <f t="shared" si="9"/>
        <v>VST</v>
      </c>
      <c r="BH36" s="19" t="b">
        <v>0</v>
      </c>
      <c r="BI36" s="9" t="s">
        <v>189</v>
      </c>
      <c r="BJ36" s="9" t="s">
        <v>188</v>
      </c>
      <c r="BK36" s="9" t="s">
        <v>188</v>
      </c>
      <c r="BL36" s="9" t="s">
        <v>190</v>
      </c>
      <c r="BM36" s="19" t="b">
        <v>0</v>
      </c>
    </row>
    <row r="37" s="111" customFormat="1" ht="50" customHeight="1" spans="1:66">
      <c r="A37" s="4" t="s">
        <v>395</v>
      </c>
      <c r="B37" s="21" t="s">
        <v>392</v>
      </c>
      <c r="C37" s="94" t="s">
        <v>29</v>
      </c>
      <c r="D37" s="17" t="s">
        <v>356</v>
      </c>
      <c r="E37" s="21" t="s">
        <v>173</v>
      </c>
      <c r="F37" s="7" t="s">
        <v>31</v>
      </c>
      <c r="G37" s="4" t="s">
        <v>32</v>
      </c>
      <c r="H37" s="7" t="s">
        <v>174</v>
      </c>
      <c r="I37" s="7" t="s">
        <v>175</v>
      </c>
      <c r="J37" s="7"/>
      <c r="K37" s="7" t="s">
        <v>176</v>
      </c>
      <c r="L37" s="7"/>
      <c r="M37" s="106"/>
      <c r="N37" s="106"/>
      <c r="O37" s="7"/>
      <c r="P37" s="7"/>
      <c r="Q37" s="7"/>
      <c r="R37" s="7"/>
      <c r="S37" s="7"/>
      <c r="T37" s="106"/>
      <c r="U37" s="7"/>
      <c r="V37" s="106"/>
      <c r="W37" s="7" t="s">
        <v>177</v>
      </c>
      <c r="X37" s="7" t="s">
        <v>178</v>
      </c>
      <c r="Y37" s="7" t="s">
        <v>177</v>
      </c>
      <c r="Z37" s="7" t="s">
        <v>178</v>
      </c>
      <c r="AA37" s="7" t="s">
        <v>178</v>
      </c>
      <c r="AB37" s="7"/>
      <c r="AC37" s="7" t="s">
        <v>179</v>
      </c>
      <c r="AD37" s="7" t="s">
        <v>173</v>
      </c>
      <c r="AE37" s="7" t="s">
        <v>247</v>
      </c>
      <c r="AF37" s="7"/>
      <c r="AG37" s="7"/>
      <c r="AH37" s="7" t="s">
        <v>181</v>
      </c>
      <c r="AI37" s="114" t="s">
        <v>357</v>
      </c>
      <c r="AJ37" s="95" t="s">
        <v>183</v>
      </c>
      <c r="AK37" s="116">
        <v>0.788888888888889</v>
      </c>
      <c r="AL37" s="116">
        <v>0.888888888888889</v>
      </c>
      <c r="AM37" s="117">
        <v>0</v>
      </c>
      <c r="AN37" s="7"/>
      <c r="AO37" s="7" t="s">
        <v>185</v>
      </c>
      <c r="AP37" s="7" t="s">
        <v>186</v>
      </c>
      <c r="AQ37" s="7" t="s">
        <v>63</v>
      </c>
      <c r="AR37" s="7" t="s">
        <v>174</v>
      </c>
      <c r="AS37" s="7" t="s">
        <v>33</v>
      </c>
      <c r="AT37" s="7" t="s">
        <v>36</v>
      </c>
      <c r="AU37" s="7"/>
      <c r="AV37" s="7"/>
      <c r="AW37" s="7"/>
      <c r="AX37" s="7"/>
      <c r="AY37" s="7"/>
      <c r="AZ37" s="58">
        <v>61357</v>
      </c>
      <c r="BA37" s="57" t="s">
        <v>93</v>
      </c>
      <c r="BB37" s="13" t="s">
        <v>187</v>
      </c>
      <c r="BC37" s="9">
        <v>200</v>
      </c>
      <c r="BD37" s="9">
        <v>1</v>
      </c>
      <c r="BE37" s="9" t="s">
        <v>188</v>
      </c>
      <c r="BF37" s="9" t="str">
        <f t="shared" si="8"/>
        <v>PhuongTT</v>
      </c>
      <c r="BG37" s="9" t="str">
        <f t="shared" si="9"/>
        <v>VST</v>
      </c>
      <c r="BH37" s="19" t="b">
        <v>0</v>
      </c>
      <c r="BI37" s="9" t="s">
        <v>189</v>
      </c>
      <c r="BJ37" s="9" t="s">
        <v>188</v>
      </c>
      <c r="BK37" s="9" t="s">
        <v>188</v>
      </c>
      <c r="BL37" s="9" t="s">
        <v>190</v>
      </c>
      <c r="BM37" s="19" t="b">
        <v>0</v>
      </c>
      <c r="BN37" s="29"/>
    </row>
    <row r="38" s="111" customFormat="1" ht="50" customHeight="1" spans="1:66">
      <c r="A38" s="4" t="s">
        <v>396</v>
      </c>
      <c r="B38" s="21" t="s">
        <v>392</v>
      </c>
      <c r="C38" s="94" t="s">
        <v>29</v>
      </c>
      <c r="D38" s="17" t="s">
        <v>356</v>
      </c>
      <c r="E38" s="21" t="s">
        <v>173</v>
      </c>
      <c r="F38" s="7" t="s">
        <v>31</v>
      </c>
      <c r="G38" s="4" t="s">
        <v>32</v>
      </c>
      <c r="H38" s="7" t="s">
        <v>174</v>
      </c>
      <c r="I38" s="7" t="s">
        <v>175</v>
      </c>
      <c r="J38" s="7"/>
      <c r="K38" s="7" t="s">
        <v>176</v>
      </c>
      <c r="L38" s="7"/>
      <c r="M38" s="106"/>
      <c r="N38" s="106"/>
      <c r="O38" s="7"/>
      <c r="P38" s="7"/>
      <c r="Q38" s="7"/>
      <c r="R38" s="7"/>
      <c r="S38" s="7"/>
      <c r="T38" s="106"/>
      <c r="U38" s="7"/>
      <c r="V38" s="106"/>
      <c r="W38" s="7" t="s">
        <v>177</v>
      </c>
      <c r="X38" s="7" t="s">
        <v>178</v>
      </c>
      <c r="Y38" s="7" t="s">
        <v>177</v>
      </c>
      <c r="Z38" s="7" t="s">
        <v>178</v>
      </c>
      <c r="AA38" s="7" t="s">
        <v>178</v>
      </c>
      <c r="AB38" s="7"/>
      <c r="AC38" s="7" t="s">
        <v>179</v>
      </c>
      <c r="AD38" s="7" t="s">
        <v>173</v>
      </c>
      <c r="AE38" s="7" t="s">
        <v>249</v>
      </c>
      <c r="AF38" s="7"/>
      <c r="AG38" s="7"/>
      <c r="AH38" s="7" t="s">
        <v>181</v>
      </c>
      <c r="AI38" s="114" t="s">
        <v>357</v>
      </c>
      <c r="AJ38" s="95" t="s">
        <v>183</v>
      </c>
      <c r="AK38" s="116">
        <v>0.788888888888889</v>
      </c>
      <c r="AL38" s="116">
        <v>0.888888888888889</v>
      </c>
      <c r="AM38" s="117">
        <v>1</v>
      </c>
      <c r="AN38" s="7"/>
      <c r="AO38" s="7" t="s">
        <v>185</v>
      </c>
      <c r="AP38" s="7" t="s">
        <v>186</v>
      </c>
      <c r="AQ38" s="7" t="s">
        <v>63</v>
      </c>
      <c r="AR38" s="7" t="s">
        <v>174</v>
      </c>
      <c r="AS38" s="7" t="s">
        <v>33</v>
      </c>
      <c r="AT38" s="7" t="s">
        <v>36</v>
      </c>
      <c r="AU38" s="7"/>
      <c r="AV38" s="7"/>
      <c r="AW38" s="7"/>
      <c r="AX38" s="7"/>
      <c r="AY38" s="7"/>
      <c r="AZ38" s="58">
        <v>61357</v>
      </c>
      <c r="BA38" s="57" t="s">
        <v>93</v>
      </c>
      <c r="BB38" s="13" t="s">
        <v>187</v>
      </c>
      <c r="BC38" s="9">
        <v>200</v>
      </c>
      <c r="BD38" s="9">
        <v>1</v>
      </c>
      <c r="BE38" s="9" t="s">
        <v>188</v>
      </c>
      <c r="BF38" s="9" t="str">
        <f t="shared" si="8"/>
        <v>PhuongTT</v>
      </c>
      <c r="BG38" s="9" t="str">
        <f t="shared" si="9"/>
        <v>VST</v>
      </c>
      <c r="BH38" s="19" t="b">
        <v>0</v>
      </c>
      <c r="BI38" s="9" t="s">
        <v>189</v>
      </c>
      <c r="BJ38" s="9" t="s">
        <v>188</v>
      </c>
      <c r="BK38" s="9" t="s">
        <v>188</v>
      </c>
      <c r="BL38" s="9" t="s">
        <v>190</v>
      </c>
      <c r="BM38" s="19" t="b">
        <v>0</v>
      </c>
      <c r="BN38" s="29"/>
    </row>
    <row r="39" s="28" customFormat="1" ht="21" customHeight="1" spans="1:52">
      <c r="A39" s="31"/>
      <c r="B39" s="32" t="s">
        <v>94</v>
      </c>
      <c r="C39" s="33"/>
      <c r="D39" s="33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49"/>
      <c r="R39" s="50"/>
      <c r="S39" s="50"/>
      <c r="T39" s="50"/>
      <c r="U39" s="50"/>
      <c r="V39" s="50"/>
      <c r="W39" s="51"/>
      <c r="X39" s="50"/>
      <c r="Y39" s="50"/>
      <c r="Z39" s="50"/>
      <c r="AA39" s="50"/>
      <c r="AB39" s="52"/>
      <c r="AC39" s="53"/>
      <c r="AD39" s="53"/>
      <c r="AE39" s="53"/>
      <c r="AF39" s="53"/>
      <c r="AG39" s="53"/>
      <c r="AH39" s="53"/>
      <c r="AI39" s="53"/>
      <c r="AJ39" s="53"/>
      <c r="AK39" s="53"/>
      <c r="AL39" s="53"/>
      <c r="AM39" s="53"/>
      <c r="AN39" s="53"/>
      <c r="AO39" s="53"/>
      <c r="AP39" s="53"/>
      <c r="AQ39" s="53"/>
      <c r="AR39" s="53"/>
      <c r="AS39" s="53"/>
      <c r="AT39" s="53"/>
      <c r="AU39" s="53"/>
      <c r="AV39" s="53"/>
      <c r="AW39" s="53"/>
      <c r="AX39" s="53"/>
      <c r="AY39" s="53"/>
      <c r="AZ39" s="53"/>
    </row>
    <row r="40" s="29" customFormat="1" ht="37" customHeight="1" spans="1:65">
      <c r="A40" s="35"/>
      <c r="B40" s="36" t="s">
        <v>69</v>
      </c>
      <c r="C40" s="37"/>
      <c r="D40" s="37"/>
      <c r="E40" s="38"/>
      <c r="F40" s="38"/>
      <c r="G40" s="38"/>
      <c r="H40" s="38"/>
      <c r="I40" s="38"/>
      <c r="J40" s="38"/>
      <c r="K40" s="38"/>
      <c r="L40" s="38"/>
      <c r="M40" s="45"/>
      <c r="N40" s="45"/>
      <c r="O40" s="38"/>
      <c r="P40" s="38"/>
      <c r="Q40" s="38"/>
      <c r="R40" s="38"/>
      <c r="S40" s="38"/>
      <c r="T40" s="45"/>
      <c r="U40" s="38"/>
      <c r="V40" s="45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54"/>
      <c r="AK40" s="54"/>
      <c r="AL40" s="54"/>
      <c r="AM40" s="54"/>
      <c r="AN40" s="38"/>
      <c r="AO40" s="38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61"/>
      <c r="BB40" s="62"/>
      <c r="BC40" s="21"/>
      <c r="BD40" s="21"/>
      <c r="BE40" s="21"/>
      <c r="BF40" s="21"/>
      <c r="BG40" s="21"/>
      <c r="BH40" s="63"/>
      <c r="BI40" s="21"/>
      <c r="BJ40" s="21"/>
      <c r="BK40" s="21"/>
      <c r="BL40" s="21"/>
      <c r="BM40" s="63"/>
    </row>
    <row r="41" s="1" customFormat="1" ht="53" customHeight="1" spans="1:65">
      <c r="A41" s="4" t="s">
        <v>397</v>
      </c>
      <c r="B41" s="21" t="s">
        <v>355</v>
      </c>
      <c r="C41" s="94" t="s">
        <v>29</v>
      </c>
      <c r="D41" s="17" t="s">
        <v>356</v>
      </c>
      <c r="E41" s="7" t="s">
        <v>173</v>
      </c>
      <c r="F41" s="7" t="s">
        <v>31</v>
      </c>
      <c r="G41" s="7" t="s">
        <v>32</v>
      </c>
      <c r="H41" s="7" t="s">
        <v>174</v>
      </c>
      <c r="I41" s="7" t="s">
        <v>253</v>
      </c>
      <c r="J41" s="125" t="s">
        <v>254</v>
      </c>
      <c r="K41" s="107" t="s">
        <v>255</v>
      </c>
      <c r="L41" s="7">
        <v>378</v>
      </c>
      <c r="M41" s="106" t="s">
        <v>177</v>
      </c>
      <c r="N41" s="106" t="s">
        <v>177</v>
      </c>
      <c r="O41" s="7">
        <v>1600000</v>
      </c>
      <c r="P41" s="7">
        <v>400000</v>
      </c>
      <c r="Q41" s="7" t="s">
        <v>185</v>
      </c>
      <c r="R41" s="7" t="s">
        <v>185</v>
      </c>
      <c r="S41" s="7" t="s">
        <v>185</v>
      </c>
      <c r="T41" s="106" t="s">
        <v>256</v>
      </c>
      <c r="U41" s="7">
        <v>100000</v>
      </c>
      <c r="V41" s="7" t="s">
        <v>185</v>
      </c>
      <c r="W41" s="7" t="s">
        <v>177</v>
      </c>
      <c r="X41" s="7" t="s">
        <v>178</v>
      </c>
      <c r="Y41" s="7" t="s">
        <v>177</v>
      </c>
      <c r="Z41" s="7" t="s">
        <v>178</v>
      </c>
      <c r="AA41" s="7" t="s">
        <v>178</v>
      </c>
      <c r="AB41" s="7"/>
      <c r="AC41" s="7" t="s">
        <v>179</v>
      </c>
      <c r="AD41" s="7" t="s">
        <v>173</v>
      </c>
      <c r="AE41" s="7" t="s">
        <v>257</v>
      </c>
      <c r="AF41" s="7"/>
      <c r="AG41" s="7"/>
      <c r="AH41" s="7" t="s">
        <v>181</v>
      </c>
      <c r="AI41" s="114" t="s">
        <v>357</v>
      </c>
      <c r="AJ41" s="95" t="s">
        <v>183</v>
      </c>
      <c r="AK41" s="95" t="s">
        <v>35</v>
      </c>
      <c r="AL41" s="95" t="s">
        <v>184</v>
      </c>
      <c r="AM41" s="95">
        <v>0</v>
      </c>
      <c r="AN41" s="7"/>
      <c r="AO41" s="7" t="s">
        <v>185</v>
      </c>
      <c r="AP41" s="7" t="s">
        <v>186</v>
      </c>
      <c r="AQ41" s="7" t="s">
        <v>65</v>
      </c>
      <c r="AR41" s="7" t="s">
        <v>174</v>
      </c>
      <c r="AS41" s="7" t="s">
        <v>33</v>
      </c>
      <c r="AT41" s="7" t="s">
        <v>36</v>
      </c>
      <c r="AU41" s="7"/>
      <c r="AV41" s="7"/>
      <c r="AW41" s="7"/>
      <c r="AX41" s="7"/>
      <c r="AY41" s="7"/>
      <c r="AZ41" s="58">
        <v>61361</v>
      </c>
      <c r="BA41" s="57" t="s">
        <v>97</v>
      </c>
      <c r="BB41" s="13" t="s">
        <v>187</v>
      </c>
      <c r="BC41" s="9">
        <v>200</v>
      </c>
      <c r="BD41" s="9">
        <v>1</v>
      </c>
      <c r="BE41" s="9" t="s">
        <v>188</v>
      </c>
      <c r="BF41" s="9" t="str">
        <f t="shared" ref="BF41:BF45" si="10">I41</f>
        <v>VNPAY</v>
      </c>
      <c r="BG41" s="9" t="str">
        <f t="shared" ref="BG41:BG45" si="11">AQ41</f>
        <v>AGENT</v>
      </c>
      <c r="BH41" s="19" t="b">
        <v>0</v>
      </c>
      <c r="BI41" s="9" t="s">
        <v>189</v>
      </c>
      <c r="BJ41" s="9" t="s">
        <v>188</v>
      </c>
      <c r="BK41" s="9" t="s">
        <v>188</v>
      </c>
      <c r="BL41" s="9" t="s">
        <v>258</v>
      </c>
      <c r="BM41" s="19" t="b">
        <v>0</v>
      </c>
    </row>
    <row r="42" s="1" customFormat="1" ht="53" customHeight="1" spans="1:65">
      <c r="A42" s="4" t="s">
        <v>398</v>
      </c>
      <c r="B42" s="21" t="s">
        <v>355</v>
      </c>
      <c r="C42" s="94" t="s">
        <v>29</v>
      </c>
      <c r="D42" s="17" t="s">
        <v>356</v>
      </c>
      <c r="E42" s="7" t="s">
        <v>173</v>
      </c>
      <c r="F42" s="7" t="s">
        <v>31</v>
      </c>
      <c r="G42" s="7" t="s">
        <v>32</v>
      </c>
      <c r="H42" s="7" t="s">
        <v>174</v>
      </c>
      <c r="I42" s="7" t="s">
        <v>253</v>
      </c>
      <c r="J42" s="125" t="s">
        <v>254</v>
      </c>
      <c r="K42" s="107" t="s">
        <v>255</v>
      </c>
      <c r="L42" s="7">
        <v>378</v>
      </c>
      <c r="M42" s="106" t="s">
        <v>177</v>
      </c>
      <c r="N42" s="106" t="s">
        <v>177</v>
      </c>
      <c r="O42" s="7">
        <v>1600000</v>
      </c>
      <c r="P42" s="7">
        <v>400000</v>
      </c>
      <c r="Q42" s="7" t="s">
        <v>185</v>
      </c>
      <c r="R42" s="7" t="s">
        <v>185</v>
      </c>
      <c r="S42" s="7" t="s">
        <v>185</v>
      </c>
      <c r="T42" s="106" t="s">
        <v>256</v>
      </c>
      <c r="U42" s="7">
        <v>100000</v>
      </c>
      <c r="V42" s="7" t="s">
        <v>185</v>
      </c>
      <c r="W42" s="7" t="s">
        <v>177</v>
      </c>
      <c r="X42" s="7" t="s">
        <v>178</v>
      </c>
      <c r="Y42" s="7" t="s">
        <v>177</v>
      </c>
      <c r="Z42" s="7" t="s">
        <v>178</v>
      </c>
      <c r="AA42" s="7" t="s">
        <v>178</v>
      </c>
      <c r="AB42" s="7"/>
      <c r="AC42" s="7" t="s">
        <v>179</v>
      </c>
      <c r="AD42" s="7" t="s">
        <v>173</v>
      </c>
      <c r="AE42" s="7" t="s">
        <v>260</v>
      </c>
      <c r="AF42" s="7"/>
      <c r="AG42" s="7"/>
      <c r="AH42" s="7" t="s">
        <v>181</v>
      </c>
      <c r="AI42" s="114" t="s">
        <v>357</v>
      </c>
      <c r="AJ42" s="95" t="s">
        <v>183</v>
      </c>
      <c r="AK42" s="95" t="s">
        <v>35</v>
      </c>
      <c r="AL42" s="95" t="s">
        <v>184</v>
      </c>
      <c r="AM42" s="95">
        <v>1</v>
      </c>
      <c r="AN42" s="7"/>
      <c r="AO42" s="7" t="s">
        <v>185</v>
      </c>
      <c r="AP42" s="7" t="s">
        <v>186</v>
      </c>
      <c r="AQ42" s="7" t="s">
        <v>65</v>
      </c>
      <c r="AR42" s="7" t="s">
        <v>174</v>
      </c>
      <c r="AS42" s="7" t="s">
        <v>33</v>
      </c>
      <c r="AT42" s="7" t="s">
        <v>36</v>
      </c>
      <c r="AU42" s="7"/>
      <c r="AV42" s="7"/>
      <c r="AW42" s="7"/>
      <c r="AX42" s="7"/>
      <c r="AY42" s="7"/>
      <c r="AZ42" s="58">
        <v>61361</v>
      </c>
      <c r="BA42" s="57" t="s">
        <v>97</v>
      </c>
      <c r="BB42" s="13" t="s">
        <v>187</v>
      </c>
      <c r="BC42" s="9">
        <v>200</v>
      </c>
      <c r="BD42" s="9">
        <v>1</v>
      </c>
      <c r="BE42" s="9" t="s">
        <v>188</v>
      </c>
      <c r="BF42" s="9" t="str">
        <f t="shared" si="10"/>
        <v>VNPAY</v>
      </c>
      <c r="BG42" s="9" t="str">
        <f t="shared" si="11"/>
        <v>AGENT</v>
      </c>
      <c r="BH42" s="19" t="b">
        <v>0</v>
      </c>
      <c r="BI42" s="9" t="s">
        <v>189</v>
      </c>
      <c r="BJ42" s="9" t="s">
        <v>188</v>
      </c>
      <c r="BK42" s="9" t="s">
        <v>188</v>
      </c>
      <c r="BL42" s="9" t="s">
        <v>258</v>
      </c>
      <c r="BM42" s="19" t="b">
        <v>0</v>
      </c>
    </row>
    <row r="43" s="1" customFormat="1" ht="53" customHeight="1" spans="1:65">
      <c r="A43" s="4" t="s">
        <v>399</v>
      </c>
      <c r="B43" s="21" t="s">
        <v>355</v>
      </c>
      <c r="C43" s="94" t="s">
        <v>29</v>
      </c>
      <c r="D43" s="17" t="s">
        <v>356</v>
      </c>
      <c r="E43" s="7" t="s">
        <v>173</v>
      </c>
      <c r="F43" s="7" t="s">
        <v>31</v>
      </c>
      <c r="G43" s="7" t="s">
        <v>32</v>
      </c>
      <c r="H43" s="7" t="s">
        <v>174</v>
      </c>
      <c r="I43" s="7" t="s">
        <v>253</v>
      </c>
      <c r="J43" s="125" t="s">
        <v>254</v>
      </c>
      <c r="K43" s="107" t="s">
        <v>255</v>
      </c>
      <c r="L43" s="7">
        <v>378</v>
      </c>
      <c r="M43" s="106" t="s">
        <v>177</v>
      </c>
      <c r="N43" s="106" t="s">
        <v>177</v>
      </c>
      <c r="O43" s="7">
        <v>1600000</v>
      </c>
      <c r="P43" s="7">
        <v>400000</v>
      </c>
      <c r="Q43" s="7" t="s">
        <v>185</v>
      </c>
      <c r="R43" s="7" t="s">
        <v>185</v>
      </c>
      <c r="S43" s="7" t="s">
        <v>185</v>
      </c>
      <c r="T43" s="106" t="s">
        <v>256</v>
      </c>
      <c r="U43" s="7">
        <v>100000</v>
      </c>
      <c r="V43" s="7" t="s">
        <v>185</v>
      </c>
      <c r="W43" s="7" t="s">
        <v>177</v>
      </c>
      <c r="X43" s="7" t="s">
        <v>178</v>
      </c>
      <c r="Y43" s="7" t="s">
        <v>177</v>
      </c>
      <c r="Z43" s="7" t="s">
        <v>178</v>
      </c>
      <c r="AA43" s="7" t="s">
        <v>178</v>
      </c>
      <c r="AB43" s="7"/>
      <c r="AC43" s="7" t="s">
        <v>179</v>
      </c>
      <c r="AD43" s="7" t="s">
        <v>173</v>
      </c>
      <c r="AE43" s="7" t="s">
        <v>262</v>
      </c>
      <c r="AF43" s="7"/>
      <c r="AG43" s="7"/>
      <c r="AH43" s="7" t="s">
        <v>181</v>
      </c>
      <c r="AI43" s="114" t="s">
        <v>357</v>
      </c>
      <c r="AJ43" s="95" t="s">
        <v>183</v>
      </c>
      <c r="AK43" s="95" t="s">
        <v>35</v>
      </c>
      <c r="AL43" s="95" t="s">
        <v>184</v>
      </c>
      <c r="AM43" s="95">
        <v>2</v>
      </c>
      <c r="AN43" s="7"/>
      <c r="AO43" s="7" t="s">
        <v>185</v>
      </c>
      <c r="AP43" s="7" t="s">
        <v>186</v>
      </c>
      <c r="AQ43" s="7" t="s">
        <v>65</v>
      </c>
      <c r="AR43" s="7" t="s">
        <v>174</v>
      </c>
      <c r="AS43" s="7" t="s">
        <v>33</v>
      </c>
      <c r="AT43" s="7" t="s">
        <v>36</v>
      </c>
      <c r="AU43" s="7"/>
      <c r="AV43" s="7"/>
      <c r="AW43" s="7"/>
      <c r="AX43" s="7"/>
      <c r="AY43" s="7"/>
      <c r="AZ43" s="58">
        <v>61361</v>
      </c>
      <c r="BA43" s="57" t="s">
        <v>97</v>
      </c>
      <c r="BB43" s="13" t="s">
        <v>187</v>
      </c>
      <c r="BC43" s="9">
        <v>200</v>
      </c>
      <c r="BD43" s="9">
        <v>1</v>
      </c>
      <c r="BE43" s="9" t="s">
        <v>188</v>
      </c>
      <c r="BF43" s="9" t="str">
        <f t="shared" si="10"/>
        <v>VNPAY</v>
      </c>
      <c r="BG43" s="9" t="str">
        <f t="shared" si="11"/>
        <v>AGENT</v>
      </c>
      <c r="BH43" s="19" t="b">
        <v>0</v>
      </c>
      <c r="BI43" s="9" t="s">
        <v>189</v>
      </c>
      <c r="BJ43" s="9" t="s">
        <v>188</v>
      </c>
      <c r="BK43" s="9" t="s">
        <v>188</v>
      </c>
      <c r="BL43" s="9" t="s">
        <v>258</v>
      </c>
      <c r="BM43" s="19" t="b">
        <v>0</v>
      </c>
    </row>
    <row r="44" s="111" customFormat="1" ht="53" customHeight="1" spans="1:66">
      <c r="A44" s="4" t="s">
        <v>400</v>
      </c>
      <c r="B44" s="21" t="s">
        <v>355</v>
      </c>
      <c r="C44" s="94" t="s">
        <v>29</v>
      </c>
      <c r="D44" s="17" t="s">
        <v>356</v>
      </c>
      <c r="E44" s="7" t="s">
        <v>173</v>
      </c>
      <c r="F44" s="7" t="s">
        <v>31</v>
      </c>
      <c r="G44" s="7" t="s">
        <v>32</v>
      </c>
      <c r="H44" s="7" t="s">
        <v>174</v>
      </c>
      <c r="I44" s="7" t="s">
        <v>253</v>
      </c>
      <c r="J44" s="125" t="s">
        <v>254</v>
      </c>
      <c r="K44" s="107" t="s">
        <v>255</v>
      </c>
      <c r="L44" s="7">
        <v>378</v>
      </c>
      <c r="M44" s="106" t="s">
        <v>177</v>
      </c>
      <c r="N44" s="106" t="s">
        <v>177</v>
      </c>
      <c r="O44" s="7">
        <v>1600000</v>
      </c>
      <c r="P44" s="7">
        <v>400000</v>
      </c>
      <c r="Q44" s="7" t="s">
        <v>185</v>
      </c>
      <c r="R44" s="7" t="s">
        <v>185</v>
      </c>
      <c r="S44" s="7" t="s">
        <v>185</v>
      </c>
      <c r="T44" s="106" t="s">
        <v>256</v>
      </c>
      <c r="U44" s="7">
        <v>100000</v>
      </c>
      <c r="V44" s="7" t="s">
        <v>185</v>
      </c>
      <c r="W44" s="7" t="s">
        <v>177</v>
      </c>
      <c r="X44" s="7" t="s">
        <v>178</v>
      </c>
      <c r="Y44" s="7" t="s">
        <v>177</v>
      </c>
      <c r="Z44" s="7" t="s">
        <v>178</v>
      </c>
      <c r="AA44" s="7" t="s">
        <v>178</v>
      </c>
      <c r="AB44" s="7"/>
      <c r="AC44" s="7" t="s">
        <v>179</v>
      </c>
      <c r="AD44" s="7" t="s">
        <v>173</v>
      </c>
      <c r="AE44" s="7" t="s">
        <v>264</v>
      </c>
      <c r="AF44" s="7"/>
      <c r="AG44" s="7"/>
      <c r="AH44" s="7" t="s">
        <v>181</v>
      </c>
      <c r="AI44" s="114" t="s">
        <v>357</v>
      </c>
      <c r="AJ44" s="95" t="s">
        <v>183</v>
      </c>
      <c r="AK44" s="95" t="s">
        <v>35</v>
      </c>
      <c r="AL44" s="95" t="s">
        <v>184</v>
      </c>
      <c r="AM44" s="95">
        <v>3</v>
      </c>
      <c r="AN44" s="7"/>
      <c r="AO44" s="7" t="s">
        <v>185</v>
      </c>
      <c r="AP44" s="7" t="s">
        <v>186</v>
      </c>
      <c r="AQ44" s="7" t="s">
        <v>65</v>
      </c>
      <c r="AR44" s="7" t="s">
        <v>174</v>
      </c>
      <c r="AS44" s="7" t="s">
        <v>33</v>
      </c>
      <c r="AT44" s="7" t="s">
        <v>36</v>
      </c>
      <c r="AU44" s="7"/>
      <c r="AV44" s="7"/>
      <c r="AW44" s="7"/>
      <c r="AX44" s="7"/>
      <c r="AY44" s="7"/>
      <c r="AZ44" s="58">
        <v>61361</v>
      </c>
      <c r="BA44" s="57" t="s">
        <v>97</v>
      </c>
      <c r="BB44" s="13" t="s">
        <v>187</v>
      </c>
      <c r="BC44" s="9">
        <v>200</v>
      </c>
      <c r="BD44" s="9">
        <v>1</v>
      </c>
      <c r="BE44" s="9" t="s">
        <v>188</v>
      </c>
      <c r="BF44" s="9" t="str">
        <f t="shared" si="10"/>
        <v>VNPAY</v>
      </c>
      <c r="BG44" s="9" t="str">
        <f t="shared" si="11"/>
        <v>AGENT</v>
      </c>
      <c r="BH44" s="19" t="b">
        <v>0</v>
      </c>
      <c r="BI44" s="9" t="s">
        <v>189</v>
      </c>
      <c r="BJ44" s="9" t="s">
        <v>188</v>
      </c>
      <c r="BK44" s="9" t="s">
        <v>188</v>
      </c>
      <c r="BL44" s="9" t="s">
        <v>258</v>
      </c>
      <c r="BM44" s="19" t="b">
        <v>0</v>
      </c>
      <c r="BN44" s="29"/>
    </row>
    <row r="45" s="111" customFormat="1" ht="53" customHeight="1" spans="1:66">
      <c r="A45" s="4" t="s">
        <v>401</v>
      </c>
      <c r="B45" s="21" t="s">
        <v>355</v>
      </c>
      <c r="C45" s="94" t="s">
        <v>29</v>
      </c>
      <c r="D45" s="17" t="s">
        <v>356</v>
      </c>
      <c r="E45" s="7" t="s">
        <v>173</v>
      </c>
      <c r="F45" s="7" t="s">
        <v>31</v>
      </c>
      <c r="G45" s="7" t="s">
        <v>32</v>
      </c>
      <c r="H45" s="7" t="s">
        <v>174</v>
      </c>
      <c r="I45" s="7" t="s">
        <v>253</v>
      </c>
      <c r="J45" s="125" t="s">
        <v>254</v>
      </c>
      <c r="K45" s="107" t="s">
        <v>255</v>
      </c>
      <c r="L45" s="7">
        <v>378</v>
      </c>
      <c r="M45" s="106" t="s">
        <v>177</v>
      </c>
      <c r="N45" s="106" t="s">
        <v>177</v>
      </c>
      <c r="O45" s="7">
        <v>1600000</v>
      </c>
      <c r="P45" s="7">
        <v>400000</v>
      </c>
      <c r="Q45" s="7" t="s">
        <v>185</v>
      </c>
      <c r="R45" s="7" t="s">
        <v>185</v>
      </c>
      <c r="S45" s="7" t="s">
        <v>185</v>
      </c>
      <c r="T45" s="106" t="s">
        <v>256</v>
      </c>
      <c r="U45" s="7">
        <v>100000</v>
      </c>
      <c r="V45" s="7" t="s">
        <v>185</v>
      </c>
      <c r="W45" s="7" t="s">
        <v>177</v>
      </c>
      <c r="X45" s="7" t="s">
        <v>178</v>
      </c>
      <c r="Y45" s="7" t="s">
        <v>177</v>
      </c>
      <c r="Z45" s="7" t="s">
        <v>178</v>
      </c>
      <c r="AA45" s="7" t="s">
        <v>178</v>
      </c>
      <c r="AB45" s="7"/>
      <c r="AC45" s="7" t="s">
        <v>179</v>
      </c>
      <c r="AD45" s="7" t="s">
        <v>173</v>
      </c>
      <c r="AE45" s="7" t="s">
        <v>266</v>
      </c>
      <c r="AF45" s="7"/>
      <c r="AG45" s="7"/>
      <c r="AH45" s="7" t="s">
        <v>181</v>
      </c>
      <c r="AI45" s="114" t="s">
        <v>357</v>
      </c>
      <c r="AJ45" s="95" t="s">
        <v>183</v>
      </c>
      <c r="AK45" s="115">
        <v>0.755555555555556</v>
      </c>
      <c r="AL45" s="115">
        <v>0.855555555555556</v>
      </c>
      <c r="AM45" s="95">
        <v>0</v>
      </c>
      <c r="AN45" s="7"/>
      <c r="AO45" s="7" t="s">
        <v>185</v>
      </c>
      <c r="AP45" s="7" t="s">
        <v>186</v>
      </c>
      <c r="AQ45" s="7" t="s">
        <v>65</v>
      </c>
      <c r="AR45" s="7" t="s">
        <v>174</v>
      </c>
      <c r="AS45" s="7" t="s">
        <v>33</v>
      </c>
      <c r="AT45" s="7" t="s">
        <v>36</v>
      </c>
      <c r="AU45" s="7"/>
      <c r="AV45" s="7"/>
      <c r="AW45" s="7"/>
      <c r="AX45" s="7"/>
      <c r="AY45" s="7"/>
      <c r="AZ45" s="58">
        <v>61361</v>
      </c>
      <c r="BA45" s="57" t="s">
        <v>97</v>
      </c>
      <c r="BB45" s="13" t="s">
        <v>187</v>
      </c>
      <c r="BC45" s="9">
        <v>200</v>
      </c>
      <c r="BD45" s="9">
        <v>1</v>
      </c>
      <c r="BE45" s="9" t="s">
        <v>188</v>
      </c>
      <c r="BF45" s="9" t="str">
        <f t="shared" si="10"/>
        <v>VNPAY</v>
      </c>
      <c r="BG45" s="9" t="str">
        <f t="shared" si="11"/>
        <v>AGENT</v>
      </c>
      <c r="BH45" s="19" t="b">
        <v>0</v>
      </c>
      <c r="BI45" s="9" t="s">
        <v>189</v>
      </c>
      <c r="BJ45" s="9" t="s">
        <v>188</v>
      </c>
      <c r="BK45" s="9" t="s">
        <v>188</v>
      </c>
      <c r="BL45" s="9" t="s">
        <v>258</v>
      </c>
      <c r="BM45" s="19" t="b">
        <v>0</v>
      </c>
      <c r="BN45" s="29"/>
    </row>
    <row r="46" s="111" customFormat="1" ht="37" customHeight="1" spans="1:66">
      <c r="A46" s="35"/>
      <c r="B46" s="77" t="s">
        <v>362</v>
      </c>
      <c r="C46" s="77"/>
      <c r="D46" s="77"/>
      <c r="E46" s="77"/>
      <c r="F46" s="77"/>
      <c r="G46" s="4"/>
      <c r="H46" s="7"/>
      <c r="I46" s="7"/>
      <c r="J46" s="7"/>
      <c r="K46" s="7"/>
      <c r="L46" s="7"/>
      <c r="M46" s="106"/>
      <c r="N46" s="106"/>
      <c r="O46" s="7"/>
      <c r="P46" s="7"/>
      <c r="Q46" s="7"/>
      <c r="R46" s="7"/>
      <c r="S46" s="7"/>
      <c r="T46" s="106"/>
      <c r="U46" s="7"/>
      <c r="V46" s="106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114"/>
      <c r="AJ46" s="95"/>
      <c r="AK46" s="95"/>
      <c r="AL46" s="95"/>
      <c r="AM46" s="95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13"/>
      <c r="BB46" s="13"/>
      <c r="BC46" s="9"/>
      <c r="BD46" s="9"/>
      <c r="BE46" s="9"/>
      <c r="BF46" s="9"/>
      <c r="BG46" s="9"/>
      <c r="BH46" s="19"/>
      <c r="BI46" s="9"/>
      <c r="BJ46" s="9"/>
      <c r="BK46" s="9"/>
      <c r="BL46" s="9"/>
      <c r="BM46" s="19"/>
      <c r="BN46" s="29"/>
    </row>
    <row r="47" s="1" customFormat="1" ht="50" customHeight="1" spans="1:65">
      <c r="A47" s="4" t="s">
        <v>402</v>
      </c>
      <c r="B47" s="21" t="s">
        <v>364</v>
      </c>
      <c r="C47" s="94" t="s">
        <v>29</v>
      </c>
      <c r="D47" s="17" t="s">
        <v>356</v>
      </c>
      <c r="E47" s="7" t="s">
        <v>173</v>
      </c>
      <c r="F47" s="7" t="s">
        <v>31</v>
      </c>
      <c r="G47" s="7" t="s">
        <v>32</v>
      </c>
      <c r="H47" s="7" t="s">
        <v>174</v>
      </c>
      <c r="I47" s="7" t="s">
        <v>253</v>
      </c>
      <c r="J47" s="125" t="s">
        <v>254</v>
      </c>
      <c r="K47" s="107" t="s">
        <v>255</v>
      </c>
      <c r="L47" s="7">
        <v>378</v>
      </c>
      <c r="M47" s="106" t="s">
        <v>177</v>
      </c>
      <c r="N47" s="106" t="s">
        <v>177</v>
      </c>
      <c r="O47" s="7">
        <v>1600000</v>
      </c>
      <c r="P47" s="7">
        <v>400000</v>
      </c>
      <c r="Q47" s="7" t="s">
        <v>185</v>
      </c>
      <c r="R47" s="7" t="s">
        <v>185</v>
      </c>
      <c r="S47" s="7" t="s">
        <v>185</v>
      </c>
      <c r="T47" s="106" t="s">
        <v>256</v>
      </c>
      <c r="U47" s="7">
        <v>100000</v>
      </c>
      <c r="V47" s="7" t="s">
        <v>185</v>
      </c>
      <c r="W47" s="7" t="s">
        <v>177</v>
      </c>
      <c r="X47" s="7" t="s">
        <v>178</v>
      </c>
      <c r="Y47" s="7" t="s">
        <v>177</v>
      </c>
      <c r="Z47" s="7" t="s">
        <v>178</v>
      </c>
      <c r="AA47" s="7" t="s">
        <v>178</v>
      </c>
      <c r="AB47" s="7"/>
      <c r="AC47" s="7" t="s">
        <v>179</v>
      </c>
      <c r="AD47" s="7" t="s">
        <v>173</v>
      </c>
      <c r="AE47" s="7" t="s">
        <v>268</v>
      </c>
      <c r="AF47" s="7"/>
      <c r="AG47" s="7"/>
      <c r="AH47" s="7" t="s">
        <v>181</v>
      </c>
      <c r="AI47" s="114" t="s">
        <v>357</v>
      </c>
      <c r="AJ47" s="95" t="s">
        <v>183</v>
      </c>
      <c r="AK47" s="115">
        <v>0.755555555555556</v>
      </c>
      <c r="AL47" s="115">
        <v>0.855555555555556</v>
      </c>
      <c r="AM47" s="95">
        <v>1</v>
      </c>
      <c r="AN47" s="7"/>
      <c r="AO47" s="7" t="s">
        <v>185</v>
      </c>
      <c r="AP47" s="7" t="s">
        <v>186</v>
      </c>
      <c r="AQ47" s="7" t="s">
        <v>65</v>
      </c>
      <c r="AR47" s="7" t="s">
        <v>174</v>
      </c>
      <c r="AS47" s="7" t="s">
        <v>33</v>
      </c>
      <c r="AT47" s="7" t="s">
        <v>36</v>
      </c>
      <c r="AU47" s="7"/>
      <c r="AV47" s="7"/>
      <c r="AW47" s="7"/>
      <c r="AX47" s="7"/>
      <c r="AY47" s="7"/>
      <c r="AZ47" s="58">
        <v>61362</v>
      </c>
      <c r="BA47" s="57" t="s">
        <v>100</v>
      </c>
      <c r="BB47" s="13" t="s">
        <v>187</v>
      </c>
      <c r="BC47" s="9">
        <v>200</v>
      </c>
      <c r="BD47" s="9">
        <v>1</v>
      </c>
      <c r="BE47" s="9" t="s">
        <v>188</v>
      </c>
      <c r="BF47" s="9" t="str">
        <f t="shared" ref="BF47:BF51" si="12">I47</f>
        <v>VNPAY</v>
      </c>
      <c r="BG47" s="9" t="str">
        <f t="shared" ref="BG47:BG51" si="13">AQ47</f>
        <v>AGENT</v>
      </c>
      <c r="BH47" s="19" t="b">
        <v>0</v>
      </c>
      <c r="BI47" s="9" t="s">
        <v>189</v>
      </c>
      <c r="BJ47" s="9" t="s">
        <v>188</v>
      </c>
      <c r="BK47" s="9" t="s">
        <v>188</v>
      </c>
      <c r="BL47" s="9" t="s">
        <v>258</v>
      </c>
      <c r="BM47" s="19" t="b">
        <v>0</v>
      </c>
    </row>
    <row r="48" s="1" customFormat="1" ht="50" customHeight="1" spans="1:65">
      <c r="A48" s="4" t="s">
        <v>403</v>
      </c>
      <c r="B48" s="21" t="s">
        <v>364</v>
      </c>
      <c r="C48" s="94" t="s">
        <v>29</v>
      </c>
      <c r="D48" s="17" t="s">
        <v>356</v>
      </c>
      <c r="E48" s="7" t="s">
        <v>173</v>
      </c>
      <c r="F48" s="7" t="s">
        <v>31</v>
      </c>
      <c r="G48" s="7" t="s">
        <v>32</v>
      </c>
      <c r="H48" s="7" t="s">
        <v>174</v>
      </c>
      <c r="I48" s="7" t="s">
        <v>253</v>
      </c>
      <c r="J48" s="125" t="s">
        <v>254</v>
      </c>
      <c r="K48" s="107" t="s">
        <v>255</v>
      </c>
      <c r="L48" s="7">
        <v>378</v>
      </c>
      <c r="M48" s="106" t="s">
        <v>177</v>
      </c>
      <c r="N48" s="106" t="s">
        <v>177</v>
      </c>
      <c r="O48" s="7">
        <v>1600000</v>
      </c>
      <c r="P48" s="7">
        <v>400000</v>
      </c>
      <c r="Q48" s="7" t="s">
        <v>185</v>
      </c>
      <c r="R48" s="7" t="s">
        <v>185</v>
      </c>
      <c r="S48" s="7" t="s">
        <v>185</v>
      </c>
      <c r="T48" s="106" t="s">
        <v>256</v>
      </c>
      <c r="U48" s="7">
        <v>100000</v>
      </c>
      <c r="V48" s="7" t="s">
        <v>185</v>
      </c>
      <c r="W48" s="7" t="s">
        <v>177</v>
      </c>
      <c r="X48" s="7" t="s">
        <v>178</v>
      </c>
      <c r="Y48" s="7" t="s">
        <v>177</v>
      </c>
      <c r="Z48" s="7" t="s">
        <v>178</v>
      </c>
      <c r="AA48" s="7" t="s">
        <v>178</v>
      </c>
      <c r="AB48" s="7"/>
      <c r="AC48" s="7" t="s">
        <v>179</v>
      </c>
      <c r="AD48" s="7" t="s">
        <v>173</v>
      </c>
      <c r="AE48" s="7" t="s">
        <v>270</v>
      </c>
      <c r="AF48" s="7"/>
      <c r="AG48" s="7"/>
      <c r="AH48" s="7" t="s">
        <v>181</v>
      </c>
      <c r="AI48" s="114" t="s">
        <v>357</v>
      </c>
      <c r="AJ48" s="95" t="s">
        <v>183</v>
      </c>
      <c r="AK48" s="115">
        <v>0.755555555555556</v>
      </c>
      <c r="AL48" s="115">
        <v>0.855555555555556</v>
      </c>
      <c r="AM48" s="95">
        <v>2</v>
      </c>
      <c r="AN48" s="7"/>
      <c r="AO48" s="7" t="s">
        <v>185</v>
      </c>
      <c r="AP48" s="7" t="s">
        <v>186</v>
      </c>
      <c r="AQ48" s="7" t="s">
        <v>65</v>
      </c>
      <c r="AR48" s="7" t="s">
        <v>174</v>
      </c>
      <c r="AS48" s="7" t="s">
        <v>33</v>
      </c>
      <c r="AT48" s="7" t="s">
        <v>36</v>
      </c>
      <c r="AU48" s="7"/>
      <c r="AV48" s="7"/>
      <c r="AW48" s="7"/>
      <c r="AX48" s="7"/>
      <c r="AY48" s="7"/>
      <c r="AZ48" s="58">
        <v>61362</v>
      </c>
      <c r="BA48" s="57" t="s">
        <v>100</v>
      </c>
      <c r="BB48" s="13" t="s">
        <v>187</v>
      </c>
      <c r="BC48" s="9">
        <v>200</v>
      </c>
      <c r="BD48" s="9">
        <v>1</v>
      </c>
      <c r="BE48" s="9" t="s">
        <v>188</v>
      </c>
      <c r="BF48" s="9" t="str">
        <f t="shared" si="12"/>
        <v>VNPAY</v>
      </c>
      <c r="BG48" s="9" t="str">
        <f t="shared" si="13"/>
        <v>AGENT</v>
      </c>
      <c r="BH48" s="19" t="b">
        <v>0</v>
      </c>
      <c r="BI48" s="9" t="s">
        <v>189</v>
      </c>
      <c r="BJ48" s="9" t="s">
        <v>188</v>
      </c>
      <c r="BK48" s="9" t="s">
        <v>188</v>
      </c>
      <c r="BL48" s="9" t="s">
        <v>258</v>
      </c>
      <c r="BM48" s="19" t="b">
        <v>0</v>
      </c>
    </row>
    <row r="49" s="1" customFormat="1" ht="50" customHeight="1" spans="1:65">
      <c r="A49" s="4" t="s">
        <v>404</v>
      </c>
      <c r="B49" s="21" t="s">
        <v>364</v>
      </c>
      <c r="C49" s="94" t="s">
        <v>29</v>
      </c>
      <c r="D49" s="17" t="s">
        <v>356</v>
      </c>
      <c r="E49" s="7" t="s">
        <v>173</v>
      </c>
      <c r="F49" s="7" t="s">
        <v>31</v>
      </c>
      <c r="G49" s="7" t="s">
        <v>32</v>
      </c>
      <c r="H49" s="7" t="s">
        <v>174</v>
      </c>
      <c r="I49" s="7" t="s">
        <v>253</v>
      </c>
      <c r="J49" s="125" t="s">
        <v>254</v>
      </c>
      <c r="K49" s="107" t="s">
        <v>255</v>
      </c>
      <c r="L49" s="7">
        <v>378</v>
      </c>
      <c r="M49" s="106" t="s">
        <v>177</v>
      </c>
      <c r="N49" s="106" t="s">
        <v>177</v>
      </c>
      <c r="O49" s="7">
        <v>1600000</v>
      </c>
      <c r="P49" s="7">
        <v>400000</v>
      </c>
      <c r="Q49" s="7" t="s">
        <v>185</v>
      </c>
      <c r="R49" s="7" t="s">
        <v>185</v>
      </c>
      <c r="S49" s="7" t="s">
        <v>185</v>
      </c>
      <c r="T49" s="106" t="s">
        <v>256</v>
      </c>
      <c r="U49" s="7">
        <v>100000</v>
      </c>
      <c r="V49" s="7" t="s">
        <v>185</v>
      </c>
      <c r="W49" s="7" t="s">
        <v>177</v>
      </c>
      <c r="X49" s="7" t="s">
        <v>178</v>
      </c>
      <c r="Y49" s="7" t="s">
        <v>177</v>
      </c>
      <c r="Z49" s="7" t="s">
        <v>178</v>
      </c>
      <c r="AA49" s="7" t="s">
        <v>178</v>
      </c>
      <c r="AB49" s="7"/>
      <c r="AC49" s="7" t="s">
        <v>179</v>
      </c>
      <c r="AD49" s="7" t="s">
        <v>173</v>
      </c>
      <c r="AE49" s="7" t="s">
        <v>272</v>
      </c>
      <c r="AF49" s="7"/>
      <c r="AG49" s="7"/>
      <c r="AH49" s="7" t="s">
        <v>181</v>
      </c>
      <c r="AI49" s="114" t="s">
        <v>357</v>
      </c>
      <c r="AJ49" s="95" t="s">
        <v>183</v>
      </c>
      <c r="AK49" s="115">
        <v>0.755555555555556</v>
      </c>
      <c r="AL49" s="115">
        <v>0.855555555555556</v>
      </c>
      <c r="AM49" s="95">
        <v>3</v>
      </c>
      <c r="AN49" s="7"/>
      <c r="AO49" s="7" t="s">
        <v>185</v>
      </c>
      <c r="AP49" s="7" t="s">
        <v>186</v>
      </c>
      <c r="AQ49" s="7" t="s">
        <v>65</v>
      </c>
      <c r="AR49" s="7" t="s">
        <v>174</v>
      </c>
      <c r="AS49" s="7" t="s">
        <v>33</v>
      </c>
      <c r="AT49" s="7" t="s">
        <v>36</v>
      </c>
      <c r="AU49" s="7"/>
      <c r="AV49" s="7"/>
      <c r="AW49" s="7"/>
      <c r="AX49" s="7"/>
      <c r="AY49" s="7"/>
      <c r="AZ49" s="58">
        <v>61362</v>
      </c>
      <c r="BA49" s="57" t="s">
        <v>100</v>
      </c>
      <c r="BB49" s="13" t="s">
        <v>187</v>
      </c>
      <c r="BC49" s="9">
        <v>200</v>
      </c>
      <c r="BD49" s="9">
        <v>1</v>
      </c>
      <c r="BE49" s="9" t="s">
        <v>188</v>
      </c>
      <c r="BF49" s="9" t="str">
        <f t="shared" si="12"/>
        <v>VNPAY</v>
      </c>
      <c r="BG49" s="9" t="str">
        <f t="shared" si="13"/>
        <v>AGENT</v>
      </c>
      <c r="BH49" s="19" t="b">
        <v>0</v>
      </c>
      <c r="BI49" s="9" t="s">
        <v>189</v>
      </c>
      <c r="BJ49" s="9" t="s">
        <v>188</v>
      </c>
      <c r="BK49" s="9" t="s">
        <v>188</v>
      </c>
      <c r="BL49" s="9" t="s">
        <v>258</v>
      </c>
      <c r="BM49" s="19" t="b">
        <v>0</v>
      </c>
    </row>
    <row r="50" s="111" customFormat="1" ht="50" customHeight="1" spans="1:66">
      <c r="A50" s="4" t="s">
        <v>405</v>
      </c>
      <c r="B50" s="21" t="s">
        <v>364</v>
      </c>
      <c r="C50" s="94" t="s">
        <v>29</v>
      </c>
      <c r="D50" s="17" t="s">
        <v>356</v>
      </c>
      <c r="E50" s="7" t="s">
        <v>173</v>
      </c>
      <c r="F50" s="7" t="s">
        <v>31</v>
      </c>
      <c r="G50" s="7" t="s">
        <v>32</v>
      </c>
      <c r="H50" s="7" t="s">
        <v>174</v>
      </c>
      <c r="I50" s="7" t="s">
        <v>253</v>
      </c>
      <c r="J50" s="125" t="s">
        <v>254</v>
      </c>
      <c r="K50" s="107" t="s">
        <v>255</v>
      </c>
      <c r="L50" s="7">
        <v>378</v>
      </c>
      <c r="M50" s="106" t="s">
        <v>177</v>
      </c>
      <c r="N50" s="106" t="s">
        <v>177</v>
      </c>
      <c r="O50" s="7">
        <v>1600000</v>
      </c>
      <c r="P50" s="7">
        <v>400000</v>
      </c>
      <c r="Q50" s="7" t="s">
        <v>185</v>
      </c>
      <c r="R50" s="7" t="s">
        <v>185</v>
      </c>
      <c r="S50" s="7" t="s">
        <v>185</v>
      </c>
      <c r="T50" s="106" t="s">
        <v>256</v>
      </c>
      <c r="U50" s="7">
        <v>100000</v>
      </c>
      <c r="V50" s="7" t="s">
        <v>185</v>
      </c>
      <c r="W50" s="7" t="s">
        <v>177</v>
      </c>
      <c r="X50" s="7" t="s">
        <v>178</v>
      </c>
      <c r="Y50" s="7" t="s">
        <v>177</v>
      </c>
      <c r="Z50" s="7" t="s">
        <v>178</v>
      </c>
      <c r="AA50" s="7" t="s">
        <v>178</v>
      </c>
      <c r="AB50" s="7"/>
      <c r="AC50" s="7" t="s">
        <v>179</v>
      </c>
      <c r="AD50" s="7" t="s">
        <v>173</v>
      </c>
      <c r="AE50" s="7" t="s">
        <v>274</v>
      </c>
      <c r="AF50" s="7"/>
      <c r="AG50" s="7"/>
      <c r="AH50" s="7" t="s">
        <v>181</v>
      </c>
      <c r="AI50" s="114" t="s">
        <v>357</v>
      </c>
      <c r="AJ50" s="95" t="s">
        <v>183</v>
      </c>
      <c r="AK50" s="95" t="s">
        <v>45</v>
      </c>
      <c r="AL50" s="95" t="s">
        <v>345</v>
      </c>
      <c r="AM50" s="95">
        <v>0</v>
      </c>
      <c r="AN50" s="7"/>
      <c r="AO50" s="7" t="s">
        <v>185</v>
      </c>
      <c r="AP50" s="7" t="s">
        <v>186</v>
      </c>
      <c r="AQ50" s="7" t="s">
        <v>65</v>
      </c>
      <c r="AR50" s="7" t="s">
        <v>174</v>
      </c>
      <c r="AS50" s="7" t="s">
        <v>33</v>
      </c>
      <c r="AT50" s="7" t="s">
        <v>36</v>
      </c>
      <c r="AU50" s="7"/>
      <c r="AV50" s="7"/>
      <c r="AW50" s="7"/>
      <c r="AX50" s="7"/>
      <c r="AY50" s="7"/>
      <c r="AZ50" s="58">
        <v>61362</v>
      </c>
      <c r="BA50" s="57" t="s">
        <v>100</v>
      </c>
      <c r="BB50" s="13" t="s">
        <v>187</v>
      </c>
      <c r="BC50" s="9">
        <v>200</v>
      </c>
      <c r="BD50" s="9">
        <v>1</v>
      </c>
      <c r="BE50" s="9" t="s">
        <v>188</v>
      </c>
      <c r="BF50" s="9" t="str">
        <f t="shared" si="12"/>
        <v>VNPAY</v>
      </c>
      <c r="BG50" s="9" t="str">
        <f t="shared" si="13"/>
        <v>AGENT</v>
      </c>
      <c r="BH50" s="19" t="b">
        <v>0</v>
      </c>
      <c r="BI50" s="9" t="s">
        <v>189</v>
      </c>
      <c r="BJ50" s="9" t="s">
        <v>188</v>
      </c>
      <c r="BK50" s="9" t="s">
        <v>188</v>
      </c>
      <c r="BL50" s="9" t="s">
        <v>258</v>
      </c>
      <c r="BM50" s="19" t="b">
        <v>0</v>
      </c>
      <c r="BN50" s="29"/>
    </row>
    <row r="51" s="111" customFormat="1" ht="50" customHeight="1" spans="1:66">
      <c r="A51" s="4" t="s">
        <v>406</v>
      </c>
      <c r="B51" s="21" t="s">
        <v>364</v>
      </c>
      <c r="C51" s="94" t="s">
        <v>29</v>
      </c>
      <c r="D51" s="17" t="s">
        <v>356</v>
      </c>
      <c r="E51" s="7" t="s">
        <v>173</v>
      </c>
      <c r="F51" s="7" t="s">
        <v>31</v>
      </c>
      <c r="G51" s="7" t="s">
        <v>32</v>
      </c>
      <c r="H51" s="7" t="s">
        <v>174</v>
      </c>
      <c r="I51" s="7" t="s">
        <v>253</v>
      </c>
      <c r="J51" s="125" t="s">
        <v>254</v>
      </c>
      <c r="K51" s="107" t="s">
        <v>255</v>
      </c>
      <c r="L51" s="7">
        <v>378</v>
      </c>
      <c r="M51" s="106" t="s">
        <v>177</v>
      </c>
      <c r="N51" s="106" t="s">
        <v>177</v>
      </c>
      <c r="O51" s="7">
        <v>1600000</v>
      </c>
      <c r="P51" s="7">
        <v>400000</v>
      </c>
      <c r="Q51" s="7" t="s">
        <v>185</v>
      </c>
      <c r="R51" s="7" t="s">
        <v>185</v>
      </c>
      <c r="S51" s="7" t="s">
        <v>185</v>
      </c>
      <c r="T51" s="106" t="s">
        <v>256</v>
      </c>
      <c r="U51" s="7">
        <v>100000</v>
      </c>
      <c r="V51" s="7" t="s">
        <v>185</v>
      </c>
      <c r="W51" s="7" t="s">
        <v>177</v>
      </c>
      <c r="X51" s="7" t="s">
        <v>178</v>
      </c>
      <c r="Y51" s="7" t="s">
        <v>177</v>
      </c>
      <c r="Z51" s="7" t="s">
        <v>178</v>
      </c>
      <c r="AA51" s="7" t="s">
        <v>178</v>
      </c>
      <c r="AB51" s="7"/>
      <c r="AC51" s="7" t="s">
        <v>179</v>
      </c>
      <c r="AD51" s="7" t="s">
        <v>173</v>
      </c>
      <c r="AE51" s="7" t="s">
        <v>276</v>
      </c>
      <c r="AF51" s="7"/>
      <c r="AG51" s="7"/>
      <c r="AH51" s="7" t="s">
        <v>181</v>
      </c>
      <c r="AI51" s="114" t="s">
        <v>357</v>
      </c>
      <c r="AJ51" s="95" t="s">
        <v>183</v>
      </c>
      <c r="AK51" s="95" t="s">
        <v>45</v>
      </c>
      <c r="AL51" s="95" t="s">
        <v>345</v>
      </c>
      <c r="AM51" s="95">
        <v>1</v>
      </c>
      <c r="AN51" s="7"/>
      <c r="AO51" s="7" t="s">
        <v>185</v>
      </c>
      <c r="AP51" s="7" t="s">
        <v>186</v>
      </c>
      <c r="AQ51" s="7" t="s">
        <v>65</v>
      </c>
      <c r="AR51" s="7" t="s">
        <v>174</v>
      </c>
      <c r="AS51" s="7" t="s">
        <v>33</v>
      </c>
      <c r="AT51" s="7" t="s">
        <v>36</v>
      </c>
      <c r="AU51" s="7"/>
      <c r="AV51" s="7"/>
      <c r="AW51" s="7"/>
      <c r="AX51" s="7"/>
      <c r="AY51" s="7"/>
      <c r="AZ51" s="58">
        <v>61362</v>
      </c>
      <c r="BA51" s="57" t="s">
        <v>100</v>
      </c>
      <c r="BB51" s="13" t="s">
        <v>187</v>
      </c>
      <c r="BC51" s="9">
        <v>200</v>
      </c>
      <c r="BD51" s="9">
        <v>1</v>
      </c>
      <c r="BE51" s="9" t="s">
        <v>188</v>
      </c>
      <c r="BF51" s="9" t="str">
        <f t="shared" si="12"/>
        <v>VNPAY</v>
      </c>
      <c r="BG51" s="9" t="str">
        <f t="shared" si="13"/>
        <v>AGENT</v>
      </c>
      <c r="BH51" s="19" t="b">
        <v>0</v>
      </c>
      <c r="BI51" s="9" t="s">
        <v>189</v>
      </c>
      <c r="BJ51" s="9" t="s">
        <v>188</v>
      </c>
      <c r="BK51" s="9" t="s">
        <v>188</v>
      </c>
      <c r="BL51" s="9" t="s">
        <v>258</v>
      </c>
      <c r="BM51" s="19" t="b">
        <v>0</v>
      </c>
      <c r="BN51" s="29"/>
    </row>
    <row r="52" s="111" customFormat="1" ht="37" customHeight="1" spans="1:66">
      <c r="A52" s="35"/>
      <c r="B52" s="77" t="s">
        <v>369</v>
      </c>
      <c r="C52" s="77"/>
      <c r="D52" s="77"/>
      <c r="E52" s="77"/>
      <c r="F52" s="77"/>
      <c r="G52" s="4"/>
      <c r="H52" s="7"/>
      <c r="I52" s="7"/>
      <c r="J52" s="7"/>
      <c r="K52" s="7"/>
      <c r="L52" s="7"/>
      <c r="M52" s="106"/>
      <c r="N52" s="106"/>
      <c r="O52" s="7"/>
      <c r="P52" s="7"/>
      <c r="Q52" s="7"/>
      <c r="R52" s="7"/>
      <c r="S52" s="7"/>
      <c r="T52" s="106"/>
      <c r="U52" s="7"/>
      <c r="V52" s="106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114"/>
      <c r="AJ52" s="95"/>
      <c r="AK52" s="95"/>
      <c r="AL52" s="95"/>
      <c r="AM52" s="95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4"/>
      <c r="BB52" s="13"/>
      <c r="BC52" s="9"/>
      <c r="BD52" s="9"/>
      <c r="BE52" s="9"/>
      <c r="BF52" s="9"/>
      <c r="BG52" s="9"/>
      <c r="BH52" s="19"/>
      <c r="BI52" s="9"/>
      <c r="BJ52" s="9"/>
      <c r="BK52" s="9"/>
      <c r="BL52" s="9"/>
      <c r="BM52" s="19"/>
      <c r="BN52" s="29"/>
    </row>
    <row r="53" s="1" customFormat="1" ht="50" customHeight="1" spans="1:65">
      <c r="A53" s="4" t="s">
        <v>407</v>
      </c>
      <c r="B53" s="21" t="s">
        <v>371</v>
      </c>
      <c r="C53" s="94" t="s">
        <v>29</v>
      </c>
      <c r="D53" s="17" t="s">
        <v>356</v>
      </c>
      <c r="E53" s="7" t="s">
        <v>173</v>
      </c>
      <c r="F53" s="7" t="s">
        <v>31</v>
      </c>
      <c r="G53" s="7" t="s">
        <v>32</v>
      </c>
      <c r="H53" s="7" t="s">
        <v>174</v>
      </c>
      <c r="I53" s="7" t="s">
        <v>253</v>
      </c>
      <c r="J53" s="125" t="s">
        <v>254</v>
      </c>
      <c r="K53" s="107" t="s">
        <v>255</v>
      </c>
      <c r="L53" s="7">
        <v>378</v>
      </c>
      <c r="M53" s="106" t="s">
        <v>177</v>
      </c>
      <c r="N53" s="106" t="s">
        <v>177</v>
      </c>
      <c r="O53" s="7">
        <v>1600000</v>
      </c>
      <c r="P53" s="7">
        <v>400000</v>
      </c>
      <c r="Q53" s="7" t="s">
        <v>185</v>
      </c>
      <c r="R53" s="7" t="s">
        <v>185</v>
      </c>
      <c r="S53" s="7" t="s">
        <v>185</v>
      </c>
      <c r="T53" s="106" t="s">
        <v>256</v>
      </c>
      <c r="U53" s="7">
        <v>100000</v>
      </c>
      <c r="V53" s="7" t="s">
        <v>185</v>
      </c>
      <c r="W53" s="7" t="s">
        <v>177</v>
      </c>
      <c r="X53" s="7" t="s">
        <v>178</v>
      </c>
      <c r="Y53" s="7" t="s">
        <v>177</v>
      </c>
      <c r="Z53" s="7" t="s">
        <v>178</v>
      </c>
      <c r="AA53" s="7" t="s">
        <v>178</v>
      </c>
      <c r="AB53" s="7"/>
      <c r="AC53" s="7" t="s">
        <v>179</v>
      </c>
      <c r="AD53" s="7" t="s">
        <v>173</v>
      </c>
      <c r="AE53" s="7" t="s">
        <v>278</v>
      </c>
      <c r="AF53" s="7"/>
      <c r="AG53" s="7"/>
      <c r="AH53" s="7" t="s">
        <v>181</v>
      </c>
      <c r="AI53" s="114" t="s">
        <v>357</v>
      </c>
      <c r="AJ53" s="95" t="s">
        <v>183</v>
      </c>
      <c r="AK53" s="116">
        <v>0.761111111111111</v>
      </c>
      <c r="AL53" s="116">
        <v>0.861111111111111</v>
      </c>
      <c r="AM53" s="117">
        <v>2</v>
      </c>
      <c r="AN53" s="7"/>
      <c r="AO53" s="7" t="s">
        <v>185</v>
      </c>
      <c r="AP53" s="7" t="s">
        <v>186</v>
      </c>
      <c r="AQ53" s="7" t="s">
        <v>65</v>
      </c>
      <c r="AR53" s="7" t="s">
        <v>174</v>
      </c>
      <c r="AS53" s="7" t="s">
        <v>33</v>
      </c>
      <c r="AT53" s="7" t="s">
        <v>36</v>
      </c>
      <c r="AU53" s="7"/>
      <c r="AV53" s="7"/>
      <c r="AW53" s="7"/>
      <c r="AX53" s="7"/>
      <c r="AY53" s="7"/>
      <c r="AZ53" s="58">
        <v>61363</v>
      </c>
      <c r="BA53" s="57" t="s">
        <v>103</v>
      </c>
      <c r="BB53" s="13" t="s">
        <v>187</v>
      </c>
      <c r="BC53" s="9">
        <v>200</v>
      </c>
      <c r="BD53" s="9">
        <v>1</v>
      </c>
      <c r="BE53" s="9" t="s">
        <v>188</v>
      </c>
      <c r="BF53" s="9" t="str">
        <f t="shared" ref="BF53:BF57" si="14">I53</f>
        <v>VNPAY</v>
      </c>
      <c r="BG53" s="9" t="str">
        <f t="shared" ref="BG53:BG57" si="15">AQ53</f>
        <v>AGENT</v>
      </c>
      <c r="BH53" s="19" t="b">
        <v>0</v>
      </c>
      <c r="BI53" s="9" t="s">
        <v>189</v>
      </c>
      <c r="BJ53" s="9" t="s">
        <v>188</v>
      </c>
      <c r="BK53" s="9" t="s">
        <v>188</v>
      </c>
      <c r="BL53" s="9" t="s">
        <v>258</v>
      </c>
      <c r="BM53" s="19" t="b">
        <v>0</v>
      </c>
    </row>
    <row r="54" s="1" customFormat="1" ht="50" customHeight="1" spans="1:65">
      <c r="A54" s="4" t="s">
        <v>408</v>
      </c>
      <c r="B54" s="21" t="s">
        <v>371</v>
      </c>
      <c r="C54" s="94" t="s">
        <v>29</v>
      </c>
      <c r="D54" s="17" t="s">
        <v>356</v>
      </c>
      <c r="E54" s="7" t="s">
        <v>173</v>
      </c>
      <c r="F54" s="7" t="s">
        <v>31</v>
      </c>
      <c r="G54" s="7" t="s">
        <v>32</v>
      </c>
      <c r="H54" s="7" t="s">
        <v>174</v>
      </c>
      <c r="I54" s="7" t="s">
        <v>253</v>
      </c>
      <c r="J54" s="125" t="s">
        <v>254</v>
      </c>
      <c r="K54" s="107" t="s">
        <v>255</v>
      </c>
      <c r="L54" s="7">
        <v>378</v>
      </c>
      <c r="M54" s="106" t="s">
        <v>177</v>
      </c>
      <c r="N54" s="106" t="s">
        <v>177</v>
      </c>
      <c r="O54" s="7">
        <v>1600000</v>
      </c>
      <c r="P54" s="7">
        <v>400000</v>
      </c>
      <c r="Q54" s="7" t="s">
        <v>185</v>
      </c>
      <c r="R54" s="7" t="s">
        <v>185</v>
      </c>
      <c r="S54" s="7" t="s">
        <v>185</v>
      </c>
      <c r="T54" s="106" t="s">
        <v>256</v>
      </c>
      <c r="U54" s="7">
        <v>100000</v>
      </c>
      <c r="V54" s="7" t="s">
        <v>185</v>
      </c>
      <c r="W54" s="7" t="s">
        <v>177</v>
      </c>
      <c r="X54" s="7" t="s">
        <v>178</v>
      </c>
      <c r="Y54" s="7" t="s">
        <v>177</v>
      </c>
      <c r="Z54" s="7" t="s">
        <v>178</v>
      </c>
      <c r="AA54" s="7" t="s">
        <v>178</v>
      </c>
      <c r="AB54" s="7"/>
      <c r="AC54" s="7" t="s">
        <v>179</v>
      </c>
      <c r="AD54" s="7" t="s">
        <v>173</v>
      </c>
      <c r="AE54" s="7" t="s">
        <v>280</v>
      </c>
      <c r="AF54" s="7"/>
      <c r="AG54" s="7"/>
      <c r="AH54" s="7" t="s">
        <v>181</v>
      </c>
      <c r="AI54" s="114" t="s">
        <v>357</v>
      </c>
      <c r="AJ54" s="95" t="s">
        <v>183</v>
      </c>
      <c r="AK54" s="116">
        <v>0.761111111111111</v>
      </c>
      <c r="AL54" s="116">
        <v>0.861111111111111</v>
      </c>
      <c r="AM54" s="117">
        <v>3</v>
      </c>
      <c r="AN54" s="7"/>
      <c r="AO54" s="7" t="s">
        <v>185</v>
      </c>
      <c r="AP54" s="7" t="s">
        <v>186</v>
      </c>
      <c r="AQ54" s="7" t="s">
        <v>65</v>
      </c>
      <c r="AR54" s="7" t="s">
        <v>174</v>
      </c>
      <c r="AS54" s="7" t="s">
        <v>33</v>
      </c>
      <c r="AT54" s="7" t="s">
        <v>36</v>
      </c>
      <c r="AU54" s="7"/>
      <c r="AV54" s="7"/>
      <c r="AW54" s="7"/>
      <c r="AX54" s="7"/>
      <c r="AY54" s="7"/>
      <c r="AZ54" s="58">
        <v>61363</v>
      </c>
      <c r="BA54" s="57" t="s">
        <v>103</v>
      </c>
      <c r="BB54" s="13" t="s">
        <v>187</v>
      </c>
      <c r="BC54" s="9">
        <v>200</v>
      </c>
      <c r="BD54" s="9">
        <v>1</v>
      </c>
      <c r="BE54" s="9" t="s">
        <v>188</v>
      </c>
      <c r="BF54" s="9" t="str">
        <f t="shared" si="14"/>
        <v>VNPAY</v>
      </c>
      <c r="BG54" s="9" t="str">
        <f t="shared" si="15"/>
        <v>AGENT</v>
      </c>
      <c r="BH54" s="19" t="b">
        <v>0</v>
      </c>
      <c r="BI54" s="9" t="s">
        <v>189</v>
      </c>
      <c r="BJ54" s="9" t="s">
        <v>188</v>
      </c>
      <c r="BK54" s="9" t="s">
        <v>188</v>
      </c>
      <c r="BL54" s="9" t="s">
        <v>258</v>
      </c>
      <c r="BM54" s="19" t="b">
        <v>0</v>
      </c>
    </row>
    <row r="55" s="1" customFormat="1" ht="50" customHeight="1" spans="1:65">
      <c r="A55" s="4" t="s">
        <v>409</v>
      </c>
      <c r="B55" s="21" t="s">
        <v>371</v>
      </c>
      <c r="C55" s="94" t="s">
        <v>29</v>
      </c>
      <c r="D55" s="17" t="s">
        <v>356</v>
      </c>
      <c r="E55" s="7" t="s">
        <v>173</v>
      </c>
      <c r="F55" s="7" t="s">
        <v>31</v>
      </c>
      <c r="G55" s="7" t="s">
        <v>32</v>
      </c>
      <c r="H55" s="7" t="s">
        <v>174</v>
      </c>
      <c r="I55" s="7" t="s">
        <v>253</v>
      </c>
      <c r="J55" s="125" t="s">
        <v>254</v>
      </c>
      <c r="K55" s="107" t="s">
        <v>255</v>
      </c>
      <c r="L55" s="7">
        <v>378</v>
      </c>
      <c r="M55" s="106" t="s">
        <v>177</v>
      </c>
      <c r="N55" s="106" t="s">
        <v>177</v>
      </c>
      <c r="O55" s="7">
        <v>1600000</v>
      </c>
      <c r="P55" s="7">
        <v>400000</v>
      </c>
      <c r="Q55" s="7" t="s">
        <v>185</v>
      </c>
      <c r="R55" s="7" t="s">
        <v>185</v>
      </c>
      <c r="S55" s="7" t="s">
        <v>185</v>
      </c>
      <c r="T55" s="106" t="s">
        <v>256</v>
      </c>
      <c r="U55" s="7">
        <v>100000</v>
      </c>
      <c r="V55" s="7" t="s">
        <v>185</v>
      </c>
      <c r="W55" s="7" t="s">
        <v>177</v>
      </c>
      <c r="X55" s="7" t="s">
        <v>178</v>
      </c>
      <c r="Y55" s="7" t="s">
        <v>177</v>
      </c>
      <c r="Z55" s="7" t="s">
        <v>178</v>
      </c>
      <c r="AA55" s="7" t="s">
        <v>178</v>
      </c>
      <c r="AB55" s="7"/>
      <c r="AC55" s="7" t="s">
        <v>179</v>
      </c>
      <c r="AD55" s="7" t="s">
        <v>173</v>
      </c>
      <c r="AE55" s="7" t="s">
        <v>282</v>
      </c>
      <c r="AF55" s="7"/>
      <c r="AG55" s="7"/>
      <c r="AH55" s="7" t="s">
        <v>181</v>
      </c>
      <c r="AI55" s="114" t="s">
        <v>357</v>
      </c>
      <c r="AJ55" s="95" t="s">
        <v>183</v>
      </c>
      <c r="AK55" s="116">
        <v>0.766666666666667</v>
      </c>
      <c r="AL55" s="116">
        <v>0.866666666666667</v>
      </c>
      <c r="AM55" s="117">
        <v>0</v>
      </c>
      <c r="AN55" s="7"/>
      <c r="AO55" s="7" t="s">
        <v>185</v>
      </c>
      <c r="AP55" s="7" t="s">
        <v>186</v>
      </c>
      <c r="AQ55" s="7" t="s">
        <v>65</v>
      </c>
      <c r="AR55" s="7" t="s">
        <v>174</v>
      </c>
      <c r="AS55" s="7" t="s">
        <v>33</v>
      </c>
      <c r="AT55" s="7" t="s">
        <v>36</v>
      </c>
      <c r="AU55" s="7"/>
      <c r="AV55" s="7"/>
      <c r="AW55" s="7"/>
      <c r="AX55" s="7"/>
      <c r="AY55" s="7"/>
      <c r="AZ55" s="58">
        <v>61363</v>
      </c>
      <c r="BA55" s="57" t="s">
        <v>103</v>
      </c>
      <c r="BB55" s="13" t="s">
        <v>187</v>
      </c>
      <c r="BC55" s="9">
        <v>200</v>
      </c>
      <c r="BD55" s="9">
        <v>1</v>
      </c>
      <c r="BE55" s="9" t="s">
        <v>188</v>
      </c>
      <c r="BF55" s="9" t="str">
        <f t="shared" si="14"/>
        <v>VNPAY</v>
      </c>
      <c r="BG55" s="9" t="str">
        <f t="shared" si="15"/>
        <v>AGENT</v>
      </c>
      <c r="BH55" s="19" t="b">
        <v>0</v>
      </c>
      <c r="BI55" s="9" t="s">
        <v>189</v>
      </c>
      <c r="BJ55" s="9" t="s">
        <v>188</v>
      </c>
      <c r="BK55" s="9" t="s">
        <v>188</v>
      </c>
      <c r="BL55" s="9" t="s">
        <v>258</v>
      </c>
      <c r="BM55" s="19" t="b">
        <v>0</v>
      </c>
    </row>
    <row r="56" s="111" customFormat="1" ht="50" customHeight="1" spans="1:66">
      <c r="A56" s="4" t="s">
        <v>410</v>
      </c>
      <c r="B56" s="21" t="s">
        <v>371</v>
      </c>
      <c r="C56" s="94" t="s">
        <v>29</v>
      </c>
      <c r="D56" s="17" t="s">
        <v>356</v>
      </c>
      <c r="E56" s="7" t="s">
        <v>173</v>
      </c>
      <c r="F56" s="7" t="s">
        <v>31</v>
      </c>
      <c r="G56" s="7" t="s">
        <v>32</v>
      </c>
      <c r="H56" s="7" t="s">
        <v>174</v>
      </c>
      <c r="I56" s="7" t="s">
        <v>253</v>
      </c>
      <c r="J56" s="125" t="s">
        <v>254</v>
      </c>
      <c r="K56" s="107" t="s">
        <v>255</v>
      </c>
      <c r="L56" s="7">
        <v>378</v>
      </c>
      <c r="M56" s="106" t="s">
        <v>177</v>
      </c>
      <c r="N56" s="106" t="s">
        <v>177</v>
      </c>
      <c r="O56" s="7">
        <v>1600000</v>
      </c>
      <c r="P56" s="7">
        <v>400000</v>
      </c>
      <c r="Q56" s="7" t="s">
        <v>185</v>
      </c>
      <c r="R56" s="7" t="s">
        <v>185</v>
      </c>
      <c r="S56" s="7" t="s">
        <v>185</v>
      </c>
      <c r="T56" s="106" t="s">
        <v>256</v>
      </c>
      <c r="U56" s="7">
        <v>100000</v>
      </c>
      <c r="V56" s="7" t="s">
        <v>185</v>
      </c>
      <c r="W56" s="7" t="s">
        <v>177</v>
      </c>
      <c r="X56" s="7" t="s">
        <v>178</v>
      </c>
      <c r="Y56" s="7" t="s">
        <v>177</v>
      </c>
      <c r="Z56" s="7" t="s">
        <v>178</v>
      </c>
      <c r="AA56" s="7" t="s">
        <v>178</v>
      </c>
      <c r="AB56" s="7"/>
      <c r="AC56" s="7" t="s">
        <v>179</v>
      </c>
      <c r="AD56" s="7" t="s">
        <v>173</v>
      </c>
      <c r="AE56" s="7" t="s">
        <v>284</v>
      </c>
      <c r="AF56" s="7"/>
      <c r="AG56" s="7"/>
      <c r="AH56" s="7" t="s">
        <v>181</v>
      </c>
      <c r="AI56" s="114" t="s">
        <v>357</v>
      </c>
      <c r="AJ56" s="95" t="s">
        <v>183</v>
      </c>
      <c r="AK56" s="116">
        <v>0.766666666666667</v>
      </c>
      <c r="AL56" s="116">
        <v>0.866666666666667</v>
      </c>
      <c r="AM56" s="117">
        <v>1</v>
      </c>
      <c r="AN56" s="7"/>
      <c r="AO56" s="7" t="s">
        <v>185</v>
      </c>
      <c r="AP56" s="7" t="s">
        <v>186</v>
      </c>
      <c r="AQ56" s="7" t="s">
        <v>65</v>
      </c>
      <c r="AR56" s="7" t="s">
        <v>174</v>
      </c>
      <c r="AS56" s="7" t="s">
        <v>33</v>
      </c>
      <c r="AT56" s="7" t="s">
        <v>36</v>
      </c>
      <c r="AU56" s="7"/>
      <c r="AV56" s="7"/>
      <c r="AW56" s="7"/>
      <c r="AX56" s="7"/>
      <c r="AY56" s="7"/>
      <c r="AZ56" s="58">
        <v>61363</v>
      </c>
      <c r="BA56" s="57" t="s">
        <v>103</v>
      </c>
      <c r="BB56" s="13" t="s">
        <v>187</v>
      </c>
      <c r="BC56" s="9">
        <v>200</v>
      </c>
      <c r="BD56" s="9">
        <v>1</v>
      </c>
      <c r="BE56" s="9" t="s">
        <v>188</v>
      </c>
      <c r="BF56" s="9" t="str">
        <f t="shared" si="14"/>
        <v>VNPAY</v>
      </c>
      <c r="BG56" s="9" t="str">
        <f t="shared" si="15"/>
        <v>AGENT</v>
      </c>
      <c r="BH56" s="19" t="b">
        <v>0</v>
      </c>
      <c r="BI56" s="9" t="s">
        <v>189</v>
      </c>
      <c r="BJ56" s="9" t="s">
        <v>188</v>
      </c>
      <c r="BK56" s="9" t="s">
        <v>188</v>
      </c>
      <c r="BL56" s="9" t="s">
        <v>258</v>
      </c>
      <c r="BM56" s="19" t="b">
        <v>0</v>
      </c>
      <c r="BN56" s="29"/>
    </row>
    <row r="57" s="111" customFormat="1" ht="50" customHeight="1" spans="1:66">
      <c r="A57" s="4" t="s">
        <v>411</v>
      </c>
      <c r="B57" s="21" t="s">
        <v>371</v>
      </c>
      <c r="C57" s="94" t="s">
        <v>29</v>
      </c>
      <c r="D57" s="17" t="s">
        <v>356</v>
      </c>
      <c r="E57" s="7" t="s">
        <v>173</v>
      </c>
      <c r="F57" s="7" t="s">
        <v>31</v>
      </c>
      <c r="G57" s="7" t="s">
        <v>32</v>
      </c>
      <c r="H57" s="7" t="s">
        <v>174</v>
      </c>
      <c r="I57" s="7" t="s">
        <v>253</v>
      </c>
      <c r="J57" s="125" t="s">
        <v>254</v>
      </c>
      <c r="K57" s="107" t="s">
        <v>255</v>
      </c>
      <c r="L57" s="7">
        <v>378</v>
      </c>
      <c r="M57" s="106" t="s">
        <v>177</v>
      </c>
      <c r="N57" s="106" t="s">
        <v>177</v>
      </c>
      <c r="O57" s="7">
        <v>1600000</v>
      </c>
      <c r="P57" s="7">
        <v>400000</v>
      </c>
      <c r="Q57" s="7" t="s">
        <v>185</v>
      </c>
      <c r="R57" s="7" t="s">
        <v>185</v>
      </c>
      <c r="S57" s="7" t="s">
        <v>185</v>
      </c>
      <c r="T57" s="106" t="s">
        <v>256</v>
      </c>
      <c r="U57" s="7">
        <v>100000</v>
      </c>
      <c r="V57" s="7" t="s">
        <v>185</v>
      </c>
      <c r="W57" s="7" t="s">
        <v>177</v>
      </c>
      <c r="X57" s="7" t="s">
        <v>178</v>
      </c>
      <c r="Y57" s="7" t="s">
        <v>177</v>
      </c>
      <c r="Z57" s="7" t="s">
        <v>178</v>
      </c>
      <c r="AA57" s="7" t="s">
        <v>178</v>
      </c>
      <c r="AB57" s="7"/>
      <c r="AC57" s="7" t="s">
        <v>179</v>
      </c>
      <c r="AD57" s="7" t="s">
        <v>173</v>
      </c>
      <c r="AE57" s="7" t="s">
        <v>286</v>
      </c>
      <c r="AF57" s="7"/>
      <c r="AG57" s="7"/>
      <c r="AH57" s="7" t="s">
        <v>181</v>
      </c>
      <c r="AI57" s="114" t="s">
        <v>357</v>
      </c>
      <c r="AJ57" s="95" t="s">
        <v>183</v>
      </c>
      <c r="AK57" s="116">
        <v>0.766666666666667</v>
      </c>
      <c r="AL57" s="116">
        <v>0.866666666666667</v>
      </c>
      <c r="AM57" s="117">
        <v>2</v>
      </c>
      <c r="AN57" s="7"/>
      <c r="AO57" s="7" t="s">
        <v>185</v>
      </c>
      <c r="AP57" s="7" t="s">
        <v>186</v>
      </c>
      <c r="AQ57" s="7" t="s">
        <v>65</v>
      </c>
      <c r="AR57" s="7" t="s">
        <v>174</v>
      </c>
      <c r="AS57" s="7" t="s">
        <v>33</v>
      </c>
      <c r="AT57" s="7" t="s">
        <v>36</v>
      </c>
      <c r="AU57" s="7"/>
      <c r="AV57" s="7"/>
      <c r="AW57" s="7"/>
      <c r="AX57" s="7"/>
      <c r="AY57" s="7"/>
      <c r="AZ57" s="58">
        <v>61363</v>
      </c>
      <c r="BA57" s="57" t="s">
        <v>103</v>
      </c>
      <c r="BB57" s="13" t="s">
        <v>187</v>
      </c>
      <c r="BC57" s="9">
        <v>200</v>
      </c>
      <c r="BD57" s="9">
        <v>1</v>
      </c>
      <c r="BE57" s="9" t="s">
        <v>188</v>
      </c>
      <c r="BF57" s="9" t="str">
        <f t="shared" si="14"/>
        <v>VNPAY</v>
      </c>
      <c r="BG57" s="9" t="str">
        <f t="shared" si="15"/>
        <v>AGENT</v>
      </c>
      <c r="BH57" s="19" t="b">
        <v>0</v>
      </c>
      <c r="BI57" s="9" t="s">
        <v>189</v>
      </c>
      <c r="BJ57" s="9" t="s">
        <v>188</v>
      </c>
      <c r="BK57" s="9" t="s">
        <v>188</v>
      </c>
      <c r="BL57" s="9" t="s">
        <v>258</v>
      </c>
      <c r="BM57" s="19" t="b">
        <v>0</v>
      </c>
      <c r="BN57" s="29"/>
    </row>
    <row r="58" s="111" customFormat="1" ht="37" customHeight="1" spans="1:66">
      <c r="A58" s="35"/>
      <c r="B58" s="77" t="s">
        <v>376</v>
      </c>
      <c r="C58" s="77"/>
      <c r="D58" s="77"/>
      <c r="E58" s="77"/>
      <c r="F58" s="77"/>
      <c r="G58" s="4"/>
      <c r="H58" s="7"/>
      <c r="I58" s="7"/>
      <c r="J58" s="7"/>
      <c r="K58" s="7"/>
      <c r="L58" s="7"/>
      <c r="M58" s="106"/>
      <c r="N58" s="106"/>
      <c r="O58" s="7"/>
      <c r="P58" s="7"/>
      <c r="Q58" s="7"/>
      <c r="R58" s="7"/>
      <c r="S58" s="7"/>
      <c r="T58" s="106"/>
      <c r="U58" s="7"/>
      <c r="V58" s="106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114"/>
      <c r="AJ58" s="95"/>
      <c r="AK58" s="95"/>
      <c r="AL58" s="95"/>
      <c r="AM58" s="95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4"/>
      <c r="BB58" s="13"/>
      <c r="BC58" s="9"/>
      <c r="BD58" s="9"/>
      <c r="BE58" s="9"/>
      <c r="BF58" s="9"/>
      <c r="BG58" s="9"/>
      <c r="BH58" s="19"/>
      <c r="BI58" s="9"/>
      <c r="BJ58" s="9"/>
      <c r="BK58" s="9"/>
      <c r="BL58" s="9"/>
      <c r="BM58" s="19"/>
      <c r="BN58" s="29"/>
    </row>
    <row r="59" s="1" customFormat="1" ht="50" customHeight="1" spans="1:65">
      <c r="A59" s="4" t="s">
        <v>412</v>
      </c>
      <c r="B59" s="21" t="s">
        <v>378</v>
      </c>
      <c r="C59" s="94" t="s">
        <v>29</v>
      </c>
      <c r="D59" s="17" t="s">
        <v>356</v>
      </c>
      <c r="E59" s="7" t="s">
        <v>173</v>
      </c>
      <c r="F59" s="7" t="s">
        <v>31</v>
      </c>
      <c r="G59" s="7" t="s">
        <v>32</v>
      </c>
      <c r="H59" s="7" t="s">
        <v>174</v>
      </c>
      <c r="I59" s="7" t="s">
        <v>253</v>
      </c>
      <c r="J59" s="125" t="s">
        <v>254</v>
      </c>
      <c r="K59" s="107" t="s">
        <v>255</v>
      </c>
      <c r="L59" s="7">
        <v>378</v>
      </c>
      <c r="M59" s="106" t="s">
        <v>177</v>
      </c>
      <c r="N59" s="106" t="s">
        <v>177</v>
      </c>
      <c r="O59" s="7">
        <v>1600000</v>
      </c>
      <c r="P59" s="7">
        <v>400000</v>
      </c>
      <c r="Q59" s="7" t="s">
        <v>185</v>
      </c>
      <c r="R59" s="7" t="s">
        <v>185</v>
      </c>
      <c r="S59" s="7" t="s">
        <v>185</v>
      </c>
      <c r="T59" s="106" t="s">
        <v>256</v>
      </c>
      <c r="U59" s="7">
        <v>100000</v>
      </c>
      <c r="V59" s="7" t="s">
        <v>185</v>
      </c>
      <c r="W59" s="7" t="s">
        <v>177</v>
      </c>
      <c r="X59" s="7" t="s">
        <v>178</v>
      </c>
      <c r="Y59" s="7" t="s">
        <v>177</v>
      </c>
      <c r="Z59" s="7" t="s">
        <v>178</v>
      </c>
      <c r="AA59" s="7" t="s">
        <v>178</v>
      </c>
      <c r="AB59" s="7"/>
      <c r="AC59" s="7" t="s">
        <v>179</v>
      </c>
      <c r="AD59" s="7" t="s">
        <v>173</v>
      </c>
      <c r="AE59" s="7" t="s">
        <v>288</v>
      </c>
      <c r="AF59" s="7"/>
      <c r="AG59" s="7"/>
      <c r="AH59" s="7" t="s">
        <v>181</v>
      </c>
      <c r="AI59" s="114" t="s">
        <v>357</v>
      </c>
      <c r="AJ59" s="95" t="s">
        <v>183</v>
      </c>
      <c r="AK59" s="116">
        <v>0.766666666666667</v>
      </c>
      <c r="AL59" s="116">
        <v>0.866666666666667</v>
      </c>
      <c r="AM59" s="117">
        <v>3</v>
      </c>
      <c r="AN59" s="7"/>
      <c r="AO59" s="7" t="s">
        <v>185</v>
      </c>
      <c r="AP59" s="7" t="s">
        <v>186</v>
      </c>
      <c r="AQ59" s="7" t="s">
        <v>65</v>
      </c>
      <c r="AR59" s="7" t="s">
        <v>174</v>
      </c>
      <c r="AS59" s="7" t="s">
        <v>33</v>
      </c>
      <c r="AT59" s="7" t="s">
        <v>36</v>
      </c>
      <c r="AU59" s="7"/>
      <c r="AV59" s="7"/>
      <c r="AW59" s="7"/>
      <c r="AX59" s="7"/>
      <c r="AY59" s="7"/>
      <c r="AZ59" s="58">
        <v>61364</v>
      </c>
      <c r="BA59" s="57" t="s">
        <v>106</v>
      </c>
      <c r="BB59" s="13" t="s">
        <v>187</v>
      </c>
      <c r="BC59" s="9">
        <v>200</v>
      </c>
      <c r="BD59" s="9">
        <v>1</v>
      </c>
      <c r="BE59" s="9" t="s">
        <v>188</v>
      </c>
      <c r="BF59" s="9" t="str">
        <f t="shared" ref="BF59:BF63" si="16">I59</f>
        <v>VNPAY</v>
      </c>
      <c r="BG59" s="9" t="str">
        <f t="shared" ref="BG59:BG63" si="17">AQ59</f>
        <v>AGENT</v>
      </c>
      <c r="BH59" s="19" t="b">
        <v>0</v>
      </c>
      <c r="BI59" s="9" t="s">
        <v>189</v>
      </c>
      <c r="BJ59" s="9" t="s">
        <v>188</v>
      </c>
      <c r="BK59" s="9" t="s">
        <v>188</v>
      </c>
      <c r="BL59" s="9" t="s">
        <v>258</v>
      </c>
      <c r="BM59" s="19" t="b">
        <v>0</v>
      </c>
    </row>
    <row r="60" s="1" customFormat="1" ht="50" customHeight="1" spans="1:65">
      <c r="A60" s="4" t="s">
        <v>413</v>
      </c>
      <c r="B60" s="21" t="s">
        <v>378</v>
      </c>
      <c r="C60" s="94" t="s">
        <v>29</v>
      </c>
      <c r="D60" s="17" t="s">
        <v>356</v>
      </c>
      <c r="E60" s="7" t="s">
        <v>173</v>
      </c>
      <c r="F60" s="7" t="s">
        <v>31</v>
      </c>
      <c r="G60" s="7" t="s">
        <v>32</v>
      </c>
      <c r="H60" s="7" t="s">
        <v>174</v>
      </c>
      <c r="I60" s="7" t="s">
        <v>253</v>
      </c>
      <c r="J60" s="125" t="s">
        <v>254</v>
      </c>
      <c r="K60" s="107" t="s">
        <v>255</v>
      </c>
      <c r="L60" s="7">
        <v>378</v>
      </c>
      <c r="M60" s="106" t="s">
        <v>177</v>
      </c>
      <c r="N60" s="106" t="s">
        <v>177</v>
      </c>
      <c r="O60" s="7">
        <v>1600000</v>
      </c>
      <c r="P60" s="7">
        <v>400000</v>
      </c>
      <c r="Q60" s="7" t="s">
        <v>185</v>
      </c>
      <c r="R60" s="7" t="s">
        <v>185</v>
      </c>
      <c r="S60" s="7" t="s">
        <v>185</v>
      </c>
      <c r="T60" s="106" t="s">
        <v>256</v>
      </c>
      <c r="U60" s="7">
        <v>100000</v>
      </c>
      <c r="V60" s="7" t="s">
        <v>185</v>
      </c>
      <c r="W60" s="7" t="s">
        <v>177</v>
      </c>
      <c r="X60" s="7" t="s">
        <v>178</v>
      </c>
      <c r="Y60" s="7" t="s">
        <v>177</v>
      </c>
      <c r="Z60" s="7" t="s">
        <v>178</v>
      </c>
      <c r="AA60" s="7" t="s">
        <v>178</v>
      </c>
      <c r="AB60" s="7"/>
      <c r="AC60" s="7" t="s">
        <v>179</v>
      </c>
      <c r="AD60" s="7" t="s">
        <v>173</v>
      </c>
      <c r="AE60" s="7" t="s">
        <v>290</v>
      </c>
      <c r="AF60" s="7"/>
      <c r="AG60" s="7"/>
      <c r="AH60" s="7" t="s">
        <v>181</v>
      </c>
      <c r="AI60" s="114" t="s">
        <v>357</v>
      </c>
      <c r="AJ60" s="95" t="s">
        <v>183</v>
      </c>
      <c r="AK60" s="116">
        <v>0.772222222222222</v>
      </c>
      <c r="AL60" s="116">
        <v>0.872222222222222</v>
      </c>
      <c r="AM60" s="117">
        <v>0</v>
      </c>
      <c r="AN60" s="7"/>
      <c r="AO60" s="7" t="s">
        <v>185</v>
      </c>
      <c r="AP60" s="7" t="s">
        <v>186</v>
      </c>
      <c r="AQ60" s="7" t="s">
        <v>65</v>
      </c>
      <c r="AR60" s="7" t="s">
        <v>174</v>
      </c>
      <c r="AS60" s="7" t="s">
        <v>33</v>
      </c>
      <c r="AT60" s="7" t="s">
        <v>36</v>
      </c>
      <c r="AU60" s="7"/>
      <c r="AV60" s="7"/>
      <c r="AW60" s="7"/>
      <c r="AX60" s="7"/>
      <c r="AY60" s="7"/>
      <c r="AZ60" s="58">
        <v>61364</v>
      </c>
      <c r="BA60" s="57" t="s">
        <v>106</v>
      </c>
      <c r="BB60" s="13" t="s">
        <v>187</v>
      </c>
      <c r="BC60" s="9">
        <v>200</v>
      </c>
      <c r="BD60" s="9">
        <v>1</v>
      </c>
      <c r="BE60" s="9" t="s">
        <v>188</v>
      </c>
      <c r="BF60" s="9" t="str">
        <f t="shared" si="16"/>
        <v>VNPAY</v>
      </c>
      <c r="BG60" s="9" t="str">
        <f t="shared" si="17"/>
        <v>AGENT</v>
      </c>
      <c r="BH60" s="19" t="b">
        <v>0</v>
      </c>
      <c r="BI60" s="9" t="s">
        <v>189</v>
      </c>
      <c r="BJ60" s="9" t="s">
        <v>188</v>
      </c>
      <c r="BK60" s="9" t="s">
        <v>188</v>
      </c>
      <c r="BL60" s="9" t="s">
        <v>258</v>
      </c>
      <c r="BM60" s="19" t="b">
        <v>0</v>
      </c>
    </row>
    <row r="61" s="1" customFormat="1" ht="50" customHeight="1" spans="1:65">
      <c r="A61" s="4" t="s">
        <v>414</v>
      </c>
      <c r="B61" s="21" t="s">
        <v>378</v>
      </c>
      <c r="C61" s="94" t="s">
        <v>29</v>
      </c>
      <c r="D61" s="17" t="s">
        <v>356</v>
      </c>
      <c r="E61" s="7" t="s">
        <v>173</v>
      </c>
      <c r="F61" s="7" t="s">
        <v>31</v>
      </c>
      <c r="G61" s="7" t="s">
        <v>32</v>
      </c>
      <c r="H61" s="7" t="s">
        <v>174</v>
      </c>
      <c r="I61" s="7" t="s">
        <v>253</v>
      </c>
      <c r="J61" s="125" t="s">
        <v>254</v>
      </c>
      <c r="K61" s="107" t="s">
        <v>255</v>
      </c>
      <c r="L61" s="7">
        <v>378</v>
      </c>
      <c r="M61" s="106" t="s">
        <v>177</v>
      </c>
      <c r="N61" s="106" t="s">
        <v>177</v>
      </c>
      <c r="O61" s="7">
        <v>1600000</v>
      </c>
      <c r="P61" s="7">
        <v>400000</v>
      </c>
      <c r="Q61" s="7" t="s">
        <v>185</v>
      </c>
      <c r="R61" s="7" t="s">
        <v>185</v>
      </c>
      <c r="S61" s="7" t="s">
        <v>185</v>
      </c>
      <c r="T61" s="106" t="s">
        <v>256</v>
      </c>
      <c r="U61" s="7">
        <v>100000</v>
      </c>
      <c r="V61" s="7" t="s">
        <v>185</v>
      </c>
      <c r="W61" s="7" t="s">
        <v>177</v>
      </c>
      <c r="X61" s="7" t="s">
        <v>178</v>
      </c>
      <c r="Y61" s="7" t="s">
        <v>177</v>
      </c>
      <c r="Z61" s="7" t="s">
        <v>178</v>
      </c>
      <c r="AA61" s="7" t="s">
        <v>178</v>
      </c>
      <c r="AB61" s="7"/>
      <c r="AC61" s="7" t="s">
        <v>179</v>
      </c>
      <c r="AD61" s="7" t="s">
        <v>173</v>
      </c>
      <c r="AE61" s="7" t="s">
        <v>292</v>
      </c>
      <c r="AF61" s="7"/>
      <c r="AG61" s="7"/>
      <c r="AH61" s="7" t="s">
        <v>181</v>
      </c>
      <c r="AI61" s="114" t="s">
        <v>357</v>
      </c>
      <c r="AJ61" s="95" t="s">
        <v>183</v>
      </c>
      <c r="AK61" s="116">
        <v>0.772222222222222</v>
      </c>
      <c r="AL61" s="116">
        <v>0.872222222222222</v>
      </c>
      <c r="AM61" s="117">
        <v>1</v>
      </c>
      <c r="AN61" s="7"/>
      <c r="AO61" s="7" t="s">
        <v>185</v>
      </c>
      <c r="AP61" s="7" t="s">
        <v>186</v>
      </c>
      <c r="AQ61" s="7" t="s">
        <v>65</v>
      </c>
      <c r="AR61" s="7" t="s">
        <v>174</v>
      </c>
      <c r="AS61" s="7" t="s">
        <v>33</v>
      </c>
      <c r="AT61" s="7" t="s">
        <v>36</v>
      </c>
      <c r="AU61" s="7"/>
      <c r="AV61" s="7"/>
      <c r="AW61" s="7"/>
      <c r="AX61" s="7"/>
      <c r="AY61" s="7"/>
      <c r="AZ61" s="58">
        <v>61364</v>
      </c>
      <c r="BA61" s="57" t="s">
        <v>106</v>
      </c>
      <c r="BB61" s="13" t="s">
        <v>187</v>
      </c>
      <c r="BC61" s="9">
        <v>200</v>
      </c>
      <c r="BD61" s="9">
        <v>1</v>
      </c>
      <c r="BE61" s="9" t="s">
        <v>188</v>
      </c>
      <c r="BF61" s="9" t="str">
        <f t="shared" si="16"/>
        <v>VNPAY</v>
      </c>
      <c r="BG61" s="9" t="str">
        <f t="shared" si="17"/>
        <v>AGENT</v>
      </c>
      <c r="BH61" s="19" t="b">
        <v>0</v>
      </c>
      <c r="BI61" s="9" t="s">
        <v>189</v>
      </c>
      <c r="BJ61" s="9" t="s">
        <v>188</v>
      </c>
      <c r="BK61" s="9" t="s">
        <v>188</v>
      </c>
      <c r="BL61" s="9" t="s">
        <v>258</v>
      </c>
      <c r="BM61" s="19" t="b">
        <v>0</v>
      </c>
    </row>
    <row r="62" s="111" customFormat="1" ht="50" customHeight="1" spans="1:66">
      <c r="A62" s="4" t="s">
        <v>415</v>
      </c>
      <c r="B62" s="21" t="s">
        <v>378</v>
      </c>
      <c r="C62" s="94" t="s">
        <v>29</v>
      </c>
      <c r="D62" s="17" t="s">
        <v>356</v>
      </c>
      <c r="E62" s="7" t="s">
        <v>173</v>
      </c>
      <c r="F62" s="7" t="s">
        <v>31</v>
      </c>
      <c r="G62" s="7" t="s">
        <v>32</v>
      </c>
      <c r="H62" s="7" t="s">
        <v>174</v>
      </c>
      <c r="I62" s="7" t="s">
        <v>253</v>
      </c>
      <c r="J62" s="125" t="s">
        <v>254</v>
      </c>
      <c r="K62" s="107" t="s">
        <v>255</v>
      </c>
      <c r="L62" s="7">
        <v>378</v>
      </c>
      <c r="M62" s="106" t="s">
        <v>177</v>
      </c>
      <c r="N62" s="106" t="s">
        <v>177</v>
      </c>
      <c r="O62" s="7">
        <v>1600000</v>
      </c>
      <c r="P62" s="7">
        <v>400000</v>
      </c>
      <c r="Q62" s="7" t="s">
        <v>185</v>
      </c>
      <c r="R62" s="7" t="s">
        <v>185</v>
      </c>
      <c r="S62" s="7" t="s">
        <v>185</v>
      </c>
      <c r="T62" s="106" t="s">
        <v>256</v>
      </c>
      <c r="U62" s="7">
        <v>100000</v>
      </c>
      <c r="V62" s="7" t="s">
        <v>185</v>
      </c>
      <c r="W62" s="7" t="s">
        <v>177</v>
      </c>
      <c r="X62" s="7" t="s">
        <v>178</v>
      </c>
      <c r="Y62" s="7" t="s">
        <v>177</v>
      </c>
      <c r="Z62" s="7" t="s">
        <v>178</v>
      </c>
      <c r="AA62" s="7" t="s">
        <v>178</v>
      </c>
      <c r="AB62" s="7"/>
      <c r="AC62" s="7" t="s">
        <v>179</v>
      </c>
      <c r="AD62" s="7" t="s">
        <v>173</v>
      </c>
      <c r="AE62" s="7" t="s">
        <v>294</v>
      </c>
      <c r="AF62" s="7"/>
      <c r="AG62" s="7"/>
      <c r="AH62" s="7" t="s">
        <v>181</v>
      </c>
      <c r="AI62" s="114" t="s">
        <v>357</v>
      </c>
      <c r="AJ62" s="95" t="s">
        <v>183</v>
      </c>
      <c r="AK62" s="116">
        <v>0.772222222222222</v>
      </c>
      <c r="AL62" s="116">
        <v>0.872222222222222</v>
      </c>
      <c r="AM62" s="117">
        <v>2</v>
      </c>
      <c r="AN62" s="7"/>
      <c r="AO62" s="7" t="s">
        <v>185</v>
      </c>
      <c r="AP62" s="7" t="s">
        <v>186</v>
      </c>
      <c r="AQ62" s="7" t="s">
        <v>65</v>
      </c>
      <c r="AR62" s="7" t="s">
        <v>174</v>
      </c>
      <c r="AS62" s="7" t="s">
        <v>33</v>
      </c>
      <c r="AT62" s="7" t="s">
        <v>36</v>
      </c>
      <c r="AU62" s="7"/>
      <c r="AV62" s="7"/>
      <c r="AW62" s="7"/>
      <c r="AX62" s="7"/>
      <c r="AY62" s="7"/>
      <c r="AZ62" s="58">
        <v>61364</v>
      </c>
      <c r="BA62" s="57" t="s">
        <v>106</v>
      </c>
      <c r="BB62" s="13" t="s">
        <v>187</v>
      </c>
      <c r="BC62" s="9">
        <v>200</v>
      </c>
      <c r="BD62" s="9">
        <v>1</v>
      </c>
      <c r="BE62" s="9" t="s">
        <v>188</v>
      </c>
      <c r="BF62" s="9" t="str">
        <f t="shared" si="16"/>
        <v>VNPAY</v>
      </c>
      <c r="BG62" s="9" t="str">
        <f t="shared" si="17"/>
        <v>AGENT</v>
      </c>
      <c r="BH62" s="19" t="b">
        <v>0</v>
      </c>
      <c r="BI62" s="9" t="s">
        <v>189</v>
      </c>
      <c r="BJ62" s="9" t="s">
        <v>188</v>
      </c>
      <c r="BK62" s="9" t="s">
        <v>188</v>
      </c>
      <c r="BL62" s="9" t="s">
        <v>258</v>
      </c>
      <c r="BM62" s="19" t="b">
        <v>0</v>
      </c>
      <c r="BN62" s="29"/>
    </row>
    <row r="63" s="111" customFormat="1" ht="50" customHeight="1" spans="1:66">
      <c r="A63" s="4" t="s">
        <v>416</v>
      </c>
      <c r="B63" s="21" t="s">
        <v>378</v>
      </c>
      <c r="C63" s="94" t="s">
        <v>29</v>
      </c>
      <c r="D63" s="17" t="s">
        <v>356</v>
      </c>
      <c r="E63" s="7" t="s">
        <v>173</v>
      </c>
      <c r="F63" s="7" t="s">
        <v>31</v>
      </c>
      <c r="G63" s="7" t="s">
        <v>32</v>
      </c>
      <c r="H63" s="7" t="s">
        <v>174</v>
      </c>
      <c r="I63" s="7" t="s">
        <v>253</v>
      </c>
      <c r="J63" s="125" t="s">
        <v>254</v>
      </c>
      <c r="K63" s="107" t="s">
        <v>255</v>
      </c>
      <c r="L63" s="7">
        <v>378</v>
      </c>
      <c r="M63" s="106" t="s">
        <v>177</v>
      </c>
      <c r="N63" s="106" t="s">
        <v>177</v>
      </c>
      <c r="O63" s="7">
        <v>1600000</v>
      </c>
      <c r="P63" s="7">
        <v>400000</v>
      </c>
      <c r="Q63" s="7" t="s">
        <v>185</v>
      </c>
      <c r="R63" s="7" t="s">
        <v>185</v>
      </c>
      <c r="S63" s="7" t="s">
        <v>185</v>
      </c>
      <c r="T63" s="106" t="s">
        <v>256</v>
      </c>
      <c r="U63" s="7">
        <v>100000</v>
      </c>
      <c r="V63" s="7" t="s">
        <v>185</v>
      </c>
      <c r="W63" s="7" t="s">
        <v>177</v>
      </c>
      <c r="X63" s="7" t="s">
        <v>178</v>
      </c>
      <c r="Y63" s="7" t="s">
        <v>177</v>
      </c>
      <c r="Z63" s="7" t="s">
        <v>178</v>
      </c>
      <c r="AA63" s="7" t="s">
        <v>178</v>
      </c>
      <c r="AB63" s="7"/>
      <c r="AC63" s="7" t="s">
        <v>179</v>
      </c>
      <c r="AD63" s="7" t="s">
        <v>173</v>
      </c>
      <c r="AE63" s="7" t="s">
        <v>296</v>
      </c>
      <c r="AF63" s="7"/>
      <c r="AG63" s="7"/>
      <c r="AH63" s="7" t="s">
        <v>181</v>
      </c>
      <c r="AI63" s="114" t="s">
        <v>357</v>
      </c>
      <c r="AJ63" s="95" t="s">
        <v>183</v>
      </c>
      <c r="AK63" s="116">
        <v>0.772222222222222</v>
      </c>
      <c r="AL63" s="116">
        <v>0.872222222222222</v>
      </c>
      <c r="AM63" s="117">
        <v>3</v>
      </c>
      <c r="AN63" s="7"/>
      <c r="AO63" s="7" t="s">
        <v>185</v>
      </c>
      <c r="AP63" s="7" t="s">
        <v>186</v>
      </c>
      <c r="AQ63" s="7" t="s">
        <v>65</v>
      </c>
      <c r="AR63" s="7" t="s">
        <v>174</v>
      </c>
      <c r="AS63" s="7" t="s">
        <v>33</v>
      </c>
      <c r="AT63" s="7" t="s">
        <v>36</v>
      </c>
      <c r="AU63" s="7"/>
      <c r="AV63" s="7"/>
      <c r="AW63" s="7"/>
      <c r="AX63" s="7"/>
      <c r="AY63" s="7"/>
      <c r="AZ63" s="58">
        <v>61364</v>
      </c>
      <c r="BA63" s="57" t="s">
        <v>106</v>
      </c>
      <c r="BB63" s="13" t="s">
        <v>187</v>
      </c>
      <c r="BC63" s="9">
        <v>200</v>
      </c>
      <c r="BD63" s="9">
        <v>1</v>
      </c>
      <c r="BE63" s="9" t="s">
        <v>188</v>
      </c>
      <c r="BF63" s="9" t="str">
        <f t="shared" si="16"/>
        <v>VNPAY</v>
      </c>
      <c r="BG63" s="9" t="str">
        <f t="shared" si="17"/>
        <v>AGENT</v>
      </c>
      <c r="BH63" s="19" t="b">
        <v>0</v>
      </c>
      <c r="BI63" s="9" t="s">
        <v>189</v>
      </c>
      <c r="BJ63" s="9" t="s">
        <v>188</v>
      </c>
      <c r="BK63" s="9" t="s">
        <v>188</v>
      </c>
      <c r="BL63" s="9" t="s">
        <v>258</v>
      </c>
      <c r="BM63" s="19" t="b">
        <v>0</v>
      </c>
      <c r="BN63" s="29"/>
    </row>
    <row r="64" s="111" customFormat="1" ht="37" customHeight="1" spans="1:66">
      <c r="A64" s="35"/>
      <c r="B64" s="77" t="s">
        <v>383</v>
      </c>
      <c r="C64" s="77"/>
      <c r="D64" s="77"/>
      <c r="E64" s="77"/>
      <c r="F64" s="77"/>
      <c r="G64" s="4"/>
      <c r="H64" s="7"/>
      <c r="I64" s="7"/>
      <c r="J64" s="7"/>
      <c r="K64" s="7"/>
      <c r="L64" s="7"/>
      <c r="M64" s="106"/>
      <c r="N64" s="106"/>
      <c r="O64" s="7"/>
      <c r="P64" s="7"/>
      <c r="Q64" s="7"/>
      <c r="R64" s="7"/>
      <c r="S64" s="7"/>
      <c r="T64" s="106"/>
      <c r="U64" s="7"/>
      <c r="V64" s="106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114"/>
      <c r="AJ64" s="95"/>
      <c r="AK64" s="95"/>
      <c r="AL64" s="95"/>
      <c r="AM64" s="95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4"/>
      <c r="BB64" s="13"/>
      <c r="BC64" s="9"/>
      <c r="BD64" s="9"/>
      <c r="BE64" s="9"/>
      <c r="BF64" s="9"/>
      <c r="BG64" s="9"/>
      <c r="BH64" s="19"/>
      <c r="BI64" s="9"/>
      <c r="BJ64" s="9"/>
      <c r="BK64" s="9"/>
      <c r="BL64" s="9"/>
      <c r="BM64" s="19"/>
      <c r="BN64" s="29"/>
    </row>
    <row r="65" s="1" customFormat="1" ht="50" customHeight="1" spans="1:65">
      <c r="A65" s="4" t="s">
        <v>417</v>
      </c>
      <c r="B65" s="21" t="s">
        <v>385</v>
      </c>
      <c r="C65" s="94" t="s">
        <v>29</v>
      </c>
      <c r="D65" s="17" t="s">
        <v>356</v>
      </c>
      <c r="E65" s="7" t="s">
        <v>173</v>
      </c>
      <c r="F65" s="7" t="s">
        <v>31</v>
      </c>
      <c r="G65" s="7" t="s">
        <v>32</v>
      </c>
      <c r="H65" s="7" t="s">
        <v>174</v>
      </c>
      <c r="I65" s="7" t="s">
        <v>253</v>
      </c>
      <c r="J65" s="125" t="s">
        <v>254</v>
      </c>
      <c r="K65" s="107" t="s">
        <v>255</v>
      </c>
      <c r="L65" s="7">
        <v>378</v>
      </c>
      <c r="M65" s="106" t="s">
        <v>177</v>
      </c>
      <c r="N65" s="106" t="s">
        <v>177</v>
      </c>
      <c r="O65" s="7">
        <v>1600000</v>
      </c>
      <c r="P65" s="7">
        <v>400000</v>
      </c>
      <c r="Q65" s="7" t="s">
        <v>185</v>
      </c>
      <c r="R65" s="7" t="s">
        <v>185</v>
      </c>
      <c r="S65" s="7" t="s">
        <v>185</v>
      </c>
      <c r="T65" s="106" t="s">
        <v>256</v>
      </c>
      <c r="U65" s="7">
        <v>100000</v>
      </c>
      <c r="V65" s="7" t="s">
        <v>185</v>
      </c>
      <c r="W65" s="7" t="s">
        <v>177</v>
      </c>
      <c r="X65" s="7" t="s">
        <v>178</v>
      </c>
      <c r="Y65" s="7" t="s">
        <v>177</v>
      </c>
      <c r="Z65" s="7" t="s">
        <v>178</v>
      </c>
      <c r="AA65" s="7" t="s">
        <v>178</v>
      </c>
      <c r="AB65" s="7"/>
      <c r="AC65" s="7" t="s">
        <v>179</v>
      </c>
      <c r="AD65" s="7" t="s">
        <v>173</v>
      </c>
      <c r="AE65" s="7" t="s">
        <v>298</v>
      </c>
      <c r="AF65" s="7"/>
      <c r="AG65" s="7"/>
      <c r="AH65" s="7" t="s">
        <v>181</v>
      </c>
      <c r="AI65" s="114" t="s">
        <v>357</v>
      </c>
      <c r="AJ65" s="95" t="s">
        <v>183</v>
      </c>
      <c r="AK65" s="116">
        <v>0.777777777777778</v>
      </c>
      <c r="AL65" s="116">
        <v>0.877777777777778</v>
      </c>
      <c r="AM65" s="117">
        <v>0</v>
      </c>
      <c r="AN65" s="7"/>
      <c r="AO65" s="7" t="s">
        <v>185</v>
      </c>
      <c r="AP65" s="7" t="s">
        <v>186</v>
      </c>
      <c r="AQ65" s="7" t="s">
        <v>65</v>
      </c>
      <c r="AR65" s="7" t="s">
        <v>174</v>
      </c>
      <c r="AS65" s="7" t="s">
        <v>33</v>
      </c>
      <c r="AT65" s="7" t="s">
        <v>36</v>
      </c>
      <c r="AU65" s="7"/>
      <c r="AV65" s="7"/>
      <c r="AW65" s="7"/>
      <c r="AX65" s="7"/>
      <c r="AY65" s="7"/>
      <c r="AZ65" s="58">
        <v>61365</v>
      </c>
      <c r="BA65" s="57" t="s">
        <v>109</v>
      </c>
      <c r="BB65" s="13" t="s">
        <v>187</v>
      </c>
      <c r="BC65" s="9">
        <v>200</v>
      </c>
      <c r="BD65" s="9">
        <v>1</v>
      </c>
      <c r="BE65" s="9" t="s">
        <v>188</v>
      </c>
      <c r="BF65" s="9" t="str">
        <f t="shared" ref="BF65:BF69" si="18">I65</f>
        <v>VNPAY</v>
      </c>
      <c r="BG65" s="9" t="str">
        <f t="shared" ref="BG65:BG69" si="19">AQ65</f>
        <v>AGENT</v>
      </c>
      <c r="BH65" s="19" t="b">
        <v>0</v>
      </c>
      <c r="BI65" s="9" t="s">
        <v>189</v>
      </c>
      <c r="BJ65" s="9" t="s">
        <v>188</v>
      </c>
      <c r="BK65" s="9" t="s">
        <v>188</v>
      </c>
      <c r="BL65" s="9" t="s">
        <v>258</v>
      </c>
      <c r="BM65" s="19" t="b">
        <v>0</v>
      </c>
    </row>
    <row r="66" s="1" customFormat="1" ht="50" customHeight="1" spans="1:65">
      <c r="A66" s="4" t="s">
        <v>418</v>
      </c>
      <c r="B66" s="21" t="s">
        <v>385</v>
      </c>
      <c r="C66" s="94" t="s">
        <v>29</v>
      </c>
      <c r="D66" s="17" t="s">
        <v>356</v>
      </c>
      <c r="E66" s="7" t="s">
        <v>173</v>
      </c>
      <c r="F66" s="7" t="s">
        <v>31</v>
      </c>
      <c r="G66" s="7" t="s">
        <v>32</v>
      </c>
      <c r="H66" s="7" t="s">
        <v>174</v>
      </c>
      <c r="I66" s="7" t="s">
        <v>253</v>
      </c>
      <c r="J66" s="125" t="s">
        <v>254</v>
      </c>
      <c r="K66" s="107" t="s">
        <v>255</v>
      </c>
      <c r="L66" s="7">
        <v>378</v>
      </c>
      <c r="M66" s="106" t="s">
        <v>177</v>
      </c>
      <c r="N66" s="106" t="s">
        <v>177</v>
      </c>
      <c r="O66" s="7">
        <v>1600000</v>
      </c>
      <c r="P66" s="7">
        <v>400000</v>
      </c>
      <c r="Q66" s="7" t="s">
        <v>185</v>
      </c>
      <c r="R66" s="7" t="s">
        <v>185</v>
      </c>
      <c r="S66" s="7" t="s">
        <v>185</v>
      </c>
      <c r="T66" s="106" t="s">
        <v>256</v>
      </c>
      <c r="U66" s="7">
        <v>100000</v>
      </c>
      <c r="V66" s="7" t="s">
        <v>185</v>
      </c>
      <c r="W66" s="7" t="s">
        <v>177</v>
      </c>
      <c r="X66" s="7" t="s">
        <v>178</v>
      </c>
      <c r="Y66" s="7" t="s">
        <v>177</v>
      </c>
      <c r="Z66" s="7" t="s">
        <v>178</v>
      </c>
      <c r="AA66" s="7" t="s">
        <v>178</v>
      </c>
      <c r="AB66" s="7"/>
      <c r="AC66" s="7" t="s">
        <v>179</v>
      </c>
      <c r="AD66" s="7" t="s">
        <v>173</v>
      </c>
      <c r="AE66" s="7" t="s">
        <v>300</v>
      </c>
      <c r="AF66" s="7"/>
      <c r="AG66" s="7"/>
      <c r="AH66" s="7" t="s">
        <v>181</v>
      </c>
      <c r="AI66" s="114" t="s">
        <v>357</v>
      </c>
      <c r="AJ66" s="95" t="s">
        <v>183</v>
      </c>
      <c r="AK66" s="116">
        <v>0.777777777777778</v>
      </c>
      <c r="AL66" s="116">
        <v>0.877777777777778</v>
      </c>
      <c r="AM66" s="117">
        <v>1</v>
      </c>
      <c r="AN66" s="7"/>
      <c r="AO66" s="7" t="s">
        <v>185</v>
      </c>
      <c r="AP66" s="7" t="s">
        <v>186</v>
      </c>
      <c r="AQ66" s="7" t="s">
        <v>65</v>
      </c>
      <c r="AR66" s="7" t="s">
        <v>174</v>
      </c>
      <c r="AS66" s="7" t="s">
        <v>33</v>
      </c>
      <c r="AT66" s="7" t="s">
        <v>36</v>
      </c>
      <c r="AU66" s="7"/>
      <c r="AV66" s="7"/>
      <c r="AW66" s="7"/>
      <c r="AX66" s="7"/>
      <c r="AY66" s="7"/>
      <c r="AZ66" s="58">
        <v>61365</v>
      </c>
      <c r="BA66" s="57" t="s">
        <v>109</v>
      </c>
      <c r="BB66" s="13" t="s">
        <v>187</v>
      </c>
      <c r="BC66" s="9">
        <v>200</v>
      </c>
      <c r="BD66" s="9">
        <v>1</v>
      </c>
      <c r="BE66" s="9" t="s">
        <v>188</v>
      </c>
      <c r="BF66" s="9" t="str">
        <f t="shared" si="18"/>
        <v>VNPAY</v>
      </c>
      <c r="BG66" s="9" t="str">
        <f t="shared" si="19"/>
        <v>AGENT</v>
      </c>
      <c r="BH66" s="19" t="b">
        <v>0</v>
      </c>
      <c r="BI66" s="9" t="s">
        <v>189</v>
      </c>
      <c r="BJ66" s="9" t="s">
        <v>188</v>
      </c>
      <c r="BK66" s="9" t="s">
        <v>188</v>
      </c>
      <c r="BL66" s="9" t="s">
        <v>258</v>
      </c>
      <c r="BM66" s="19" t="b">
        <v>0</v>
      </c>
    </row>
    <row r="67" s="1" customFormat="1" ht="50" customHeight="1" spans="1:65">
      <c r="A67" s="4" t="s">
        <v>419</v>
      </c>
      <c r="B67" s="21" t="s">
        <v>385</v>
      </c>
      <c r="C67" s="94" t="s">
        <v>29</v>
      </c>
      <c r="D67" s="17" t="s">
        <v>356</v>
      </c>
      <c r="E67" s="7" t="s">
        <v>173</v>
      </c>
      <c r="F67" s="7" t="s">
        <v>31</v>
      </c>
      <c r="G67" s="7" t="s">
        <v>32</v>
      </c>
      <c r="H67" s="7" t="s">
        <v>174</v>
      </c>
      <c r="I67" s="7" t="s">
        <v>253</v>
      </c>
      <c r="J67" s="125" t="s">
        <v>254</v>
      </c>
      <c r="K67" s="107" t="s">
        <v>255</v>
      </c>
      <c r="L67" s="7">
        <v>378</v>
      </c>
      <c r="M67" s="106" t="s">
        <v>177</v>
      </c>
      <c r="N67" s="106" t="s">
        <v>177</v>
      </c>
      <c r="O67" s="7">
        <v>1600000</v>
      </c>
      <c r="P67" s="7">
        <v>400000</v>
      </c>
      <c r="Q67" s="7" t="s">
        <v>185</v>
      </c>
      <c r="R67" s="7" t="s">
        <v>185</v>
      </c>
      <c r="S67" s="7" t="s">
        <v>185</v>
      </c>
      <c r="T67" s="106" t="s">
        <v>256</v>
      </c>
      <c r="U67" s="7">
        <v>100000</v>
      </c>
      <c r="V67" s="7" t="s">
        <v>185</v>
      </c>
      <c r="W67" s="7" t="s">
        <v>177</v>
      </c>
      <c r="X67" s="7" t="s">
        <v>178</v>
      </c>
      <c r="Y67" s="7" t="s">
        <v>177</v>
      </c>
      <c r="Z67" s="7" t="s">
        <v>178</v>
      </c>
      <c r="AA67" s="7" t="s">
        <v>178</v>
      </c>
      <c r="AB67" s="7"/>
      <c r="AC67" s="7" t="s">
        <v>179</v>
      </c>
      <c r="AD67" s="7" t="s">
        <v>173</v>
      </c>
      <c r="AE67" s="7" t="s">
        <v>302</v>
      </c>
      <c r="AF67" s="7"/>
      <c r="AG67" s="7"/>
      <c r="AH67" s="7" t="s">
        <v>181</v>
      </c>
      <c r="AI67" s="114" t="s">
        <v>357</v>
      </c>
      <c r="AJ67" s="95" t="s">
        <v>183</v>
      </c>
      <c r="AK67" s="116">
        <v>0.777777777777778</v>
      </c>
      <c r="AL67" s="116">
        <v>0.877777777777778</v>
      </c>
      <c r="AM67" s="117">
        <v>2</v>
      </c>
      <c r="AN67" s="7"/>
      <c r="AO67" s="7" t="s">
        <v>185</v>
      </c>
      <c r="AP67" s="7" t="s">
        <v>186</v>
      </c>
      <c r="AQ67" s="7" t="s">
        <v>65</v>
      </c>
      <c r="AR67" s="7" t="s">
        <v>174</v>
      </c>
      <c r="AS67" s="7" t="s">
        <v>33</v>
      </c>
      <c r="AT67" s="7" t="s">
        <v>36</v>
      </c>
      <c r="AU67" s="7"/>
      <c r="AV67" s="7"/>
      <c r="AW67" s="7"/>
      <c r="AX67" s="7"/>
      <c r="AY67" s="7"/>
      <c r="AZ67" s="58">
        <v>61365</v>
      </c>
      <c r="BA67" s="57" t="s">
        <v>109</v>
      </c>
      <c r="BB67" s="13" t="s">
        <v>187</v>
      </c>
      <c r="BC67" s="9">
        <v>200</v>
      </c>
      <c r="BD67" s="9">
        <v>1</v>
      </c>
      <c r="BE67" s="9" t="s">
        <v>188</v>
      </c>
      <c r="BF67" s="9" t="str">
        <f t="shared" si="18"/>
        <v>VNPAY</v>
      </c>
      <c r="BG67" s="9" t="str">
        <f t="shared" si="19"/>
        <v>AGENT</v>
      </c>
      <c r="BH67" s="19" t="b">
        <v>0</v>
      </c>
      <c r="BI67" s="9" t="s">
        <v>189</v>
      </c>
      <c r="BJ67" s="9" t="s">
        <v>188</v>
      </c>
      <c r="BK67" s="9" t="s">
        <v>188</v>
      </c>
      <c r="BL67" s="9" t="s">
        <v>258</v>
      </c>
      <c r="BM67" s="19" t="b">
        <v>0</v>
      </c>
    </row>
    <row r="68" s="111" customFormat="1" ht="50" customHeight="1" spans="1:66">
      <c r="A68" s="4" t="s">
        <v>420</v>
      </c>
      <c r="B68" s="21" t="s">
        <v>385</v>
      </c>
      <c r="C68" s="94" t="s">
        <v>29</v>
      </c>
      <c r="D68" s="17" t="s">
        <v>356</v>
      </c>
      <c r="E68" s="7" t="s">
        <v>173</v>
      </c>
      <c r="F68" s="7" t="s">
        <v>31</v>
      </c>
      <c r="G68" s="7" t="s">
        <v>32</v>
      </c>
      <c r="H68" s="7" t="s">
        <v>174</v>
      </c>
      <c r="I68" s="7" t="s">
        <v>253</v>
      </c>
      <c r="J68" s="125" t="s">
        <v>254</v>
      </c>
      <c r="K68" s="107" t="s">
        <v>255</v>
      </c>
      <c r="L68" s="7">
        <v>378</v>
      </c>
      <c r="M68" s="106" t="s">
        <v>177</v>
      </c>
      <c r="N68" s="106" t="s">
        <v>177</v>
      </c>
      <c r="O68" s="7">
        <v>1600000</v>
      </c>
      <c r="P68" s="7">
        <v>400000</v>
      </c>
      <c r="Q68" s="7" t="s">
        <v>185</v>
      </c>
      <c r="R68" s="7" t="s">
        <v>185</v>
      </c>
      <c r="S68" s="7" t="s">
        <v>185</v>
      </c>
      <c r="T68" s="106" t="s">
        <v>256</v>
      </c>
      <c r="U68" s="7">
        <v>100000</v>
      </c>
      <c r="V68" s="7" t="s">
        <v>185</v>
      </c>
      <c r="W68" s="7" t="s">
        <v>177</v>
      </c>
      <c r="X68" s="7" t="s">
        <v>178</v>
      </c>
      <c r="Y68" s="7" t="s">
        <v>177</v>
      </c>
      <c r="Z68" s="7" t="s">
        <v>178</v>
      </c>
      <c r="AA68" s="7" t="s">
        <v>178</v>
      </c>
      <c r="AB68" s="7"/>
      <c r="AC68" s="7" t="s">
        <v>179</v>
      </c>
      <c r="AD68" s="7" t="s">
        <v>173</v>
      </c>
      <c r="AE68" s="7" t="s">
        <v>304</v>
      </c>
      <c r="AF68" s="7"/>
      <c r="AG68" s="7"/>
      <c r="AH68" s="7" t="s">
        <v>181</v>
      </c>
      <c r="AI68" s="114" t="s">
        <v>357</v>
      </c>
      <c r="AJ68" s="95" t="s">
        <v>183</v>
      </c>
      <c r="AK68" s="116">
        <v>0.777777777777778</v>
      </c>
      <c r="AL68" s="116">
        <v>0.877777777777778</v>
      </c>
      <c r="AM68" s="117">
        <v>3</v>
      </c>
      <c r="AN68" s="7"/>
      <c r="AO68" s="7" t="s">
        <v>185</v>
      </c>
      <c r="AP68" s="7" t="s">
        <v>186</v>
      </c>
      <c r="AQ68" s="7" t="s">
        <v>65</v>
      </c>
      <c r="AR68" s="7" t="s">
        <v>174</v>
      </c>
      <c r="AS68" s="7" t="s">
        <v>33</v>
      </c>
      <c r="AT68" s="7" t="s">
        <v>36</v>
      </c>
      <c r="AU68" s="7"/>
      <c r="AV68" s="7"/>
      <c r="AW68" s="7"/>
      <c r="AX68" s="7"/>
      <c r="AY68" s="7"/>
      <c r="AZ68" s="58">
        <v>61365</v>
      </c>
      <c r="BA68" s="57" t="s">
        <v>109</v>
      </c>
      <c r="BB68" s="13" t="s">
        <v>187</v>
      </c>
      <c r="BC68" s="9">
        <v>200</v>
      </c>
      <c r="BD68" s="9">
        <v>1</v>
      </c>
      <c r="BE68" s="9" t="s">
        <v>188</v>
      </c>
      <c r="BF68" s="9" t="str">
        <f t="shared" si="18"/>
        <v>VNPAY</v>
      </c>
      <c r="BG68" s="9" t="str">
        <f t="shared" si="19"/>
        <v>AGENT</v>
      </c>
      <c r="BH68" s="19" t="b">
        <v>0</v>
      </c>
      <c r="BI68" s="9" t="s">
        <v>189</v>
      </c>
      <c r="BJ68" s="9" t="s">
        <v>188</v>
      </c>
      <c r="BK68" s="9" t="s">
        <v>188</v>
      </c>
      <c r="BL68" s="9" t="s">
        <v>258</v>
      </c>
      <c r="BM68" s="19" t="b">
        <v>0</v>
      </c>
      <c r="BN68" s="29"/>
    </row>
    <row r="69" s="111" customFormat="1" ht="50" customHeight="1" spans="1:66">
      <c r="A69" s="4" t="s">
        <v>421</v>
      </c>
      <c r="B69" s="21" t="s">
        <v>385</v>
      </c>
      <c r="C69" s="94" t="s">
        <v>29</v>
      </c>
      <c r="D69" s="17" t="s">
        <v>356</v>
      </c>
      <c r="E69" s="7" t="s">
        <v>173</v>
      </c>
      <c r="F69" s="7" t="s">
        <v>31</v>
      </c>
      <c r="G69" s="7" t="s">
        <v>32</v>
      </c>
      <c r="H69" s="7" t="s">
        <v>174</v>
      </c>
      <c r="I69" s="7" t="s">
        <v>253</v>
      </c>
      <c r="J69" s="125" t="s">
        <v>254</v>
      </c>
      <c r="K69" s="107" t="s">
        <v>255</v>
      </c>
      <c r="L69" s="7">
        <v>378</v>
      </c>
      <c r="M69" s="106" t="s">
        <v>177</v>
      </c>
      <c r="N69" s="106" t="s">
        <v>177</v>
      </c>
      <c r="O69" s="7">
        <v>1600000</v>
      </c>
      <c r="P69" s="7">
        <v>400000</v>
      </c>
      <c r="Q69" s="7" t="s">
        <v>185</v>
      </c>
      <c r="R69" s="7" t="s">
        <v>185</v>
      </c>
      <c r="S69" s="7" t="s">
        <v>185</v>
      </c>
      <c r="T69" s="106" t="s">
        <v>256</v>
      </c>
      <c r="U69" s="7">
        <v>100000</v>
      </c>
      <c r="V69" s="7" t="s">
        <v>185</v>
      </c>
      <c r="W69" s="7" t="s">
        <v>177</v>
      </c>
      <c r="X69" s="7" t="s">
        <v>178</v>
      </c>
      <c r="Y69" s="7" t="s">
        <v>177</v>
      </c>
      <c r="Z69" s="7" t="s">
        <v>178</v>
      </c>
      <c r="AA69" s="7" t="s">
        <v>178</v>
      </c>
      <c r="AB69" s="7"/>
      <c r="AC69" s="7" t="s">
        <v>179</v>
      </c>
      <c r="AD69" s="7" t="s">
        <v>173</v>
      </c>
      <c r="AE69" s="7" t="s">
        <v>306</v>
      </c>
      <c r="AF69" s="7"/>
      <c r="AG69" s="7"/>
      <c r="AH69" s="7" t="s">
        <v>181</v>
      </c>
      <c r="AI69" s="114" t="s">
        <v>357</v>
      </c>
      <c r="AJ69" s="95" t="s">
        <v>183</v>
      </c>
      <c r="AK69" s="116">
        <v>0.783333333333333</v>
      </c>
      <c r="AL69" s="116">
        <v>0.883333333333333</v>
      </c>
      <c r="AM69" s="117">
        <v>0</v>
      </c>
      <c r="AN69" s="7"/>
      <c r="AO69" s="7" t="s">
        <v>185</v>
      </c>
      <c r="AP69" s="7" t="s">
        <v>186</v>
      </c>
      <c r="AQ69" s="7" t="s">
        <v>65</v>
      </c>
      <c r="AR69" s="7" t="s">
        <v>174</v>
      </c>
      <c r="AS69" s="7" t="s">
        <v>33</v>
      </c>
      <c r="AT69" s="7" t="s">
        <v>36</v>
      </c>
      <c r="AU69" s="7"/>
      <c r="AV69" s="7"/>
      <c r="AW69" s="7"/>
      <c r="AX69" s="7"/>
      <c r="AY69" s="7"/>
      <c r="AZ69" s="58">
        <v>61365</v>
      </c>
      <c r="BA69" s="57" t="s">
        <v>109</v>
      </c>
      <c r="BB69" s="13" t="s">
        <v>187</v>
      </c>
      <c r="BC69" s="9">
        <v>200</v>
      </c>
      <c r="BD69" s="9">
        <v>1</v>
      </c>
      <c r="BE69" s="9" t="s">
        <v>188</v>
      </c>
      <c r="BF69" s="9" t="str">
        <f t="shared" si="18"/>
        <v>VNPAY</v>
      </c>
      <c r="BG69" s="9" t="str">
        <f t="shared" si="19"/>
        <v>AGENT</v>
      </c>
      <c r="BH69" s="19" t="b">
        <v>0</v>
      </c>
      <c r="BI69" s="9" t="s">
        <v>189</v>
      </c>
      <c r="BJ69" s="9" t="s">
        <v>188</v>
      </c>
      <c r="BK69" s="9" t="s">
        <v>188</v>
      </c>
      <c r="BL69" s="9" t="s">
        <v>258</v>
      </c>
      <c r="BM69" s="19" t="b">
        <v>0</v>
      </c>
      <c r="BN69" s="29"/>
    </row>
    <row r="70" s="111" customFormat="1" ht="37" customHeight="1" spans="1:66">
      <c r="A70" s="35"/>
      <c r="B70" s="77" t="s">
        <v>390</v>
      </c>
      <c r="C70" s="77"/>
      <c r="D70" s="77"/>
      <c r="E70" s="77"/>
      <c r="F70" s="77"/>
      <c r="G70" s="4"/>
      <c r="H70" s="7"/>
      <c r="I70" s="7"/>
      <c r="J70" s="7"/>
      <c r="K70" s="7"/>
      <c r="L70" s="7"/>
      <c r="M70" s="106"/>
      <c r="N70" s="106"/>
      <c r="O70" s="7"/>
      <c r="P70" s="7"/>
      <c r="Q70" s="7"/>
      <c r="R70" s="7"/>
      <c r="S70" s="7"/>
      <c r="T70" s="106"/>
      <c r="U70" s="7"/>
      <c r="V70" s="106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114"/>
      <c r="AJ70" s="95"/>
      <c r="AK70" s="95"/>
      <c r="AL70" s="95"/>
      <c r="AM70" s="95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4"/>
      <c r="BB70" s="13"/>
      <c r="BC70" s="9"/>
      <c r="BD70" s="9"/>
      <c r="BE70" s="9"/>
      <c r="BF70" s="9"/>
      <c r="BG70" s="9"/>
      <c r="BH70" s="19"/>
      <c r="BI70" s="9"/>
      <c r="BJ70" s="9"/>
      <c r="BK70" s="9"/>
      <c r="BL70" s="9"/>
      <c r="BM70" s="19"/>
      <c r="BN70" s="29"/>
    </row>
    <row r="71" s="1" customFormat="1" ht="50" customHeight="1" spans="1:65">
      <c r="A71" s="4" t="s">
        <v>422</v>
      </c>
      <c r="B71" s="21" t="s">
        <v>392</v>
      </c>
      <c r="C71" s="94" t="s">
        <v>29</v>
      </c>
      <c r="D71" s="17" t="s">
        <v>356</v>
      </c>
      <c r="E71" s="7" t="s">
        <v>173</v>
      </c>
      <c r="F71" s="7" t="s">
        <v>31</v>
      </c>
      <c r="G71" s="7" t="s">
        <v>32</v>
      </c>
      <c r="H71" s="7" t="s">
        <v>174</v>
      </c>
      <c r="I71" s="7" t="s">
        <v>253</v>
      </c>
      <c r="J71" s="125" t="s">
        <v>254</v>
      </c>
      <c r="K71" s="107" t="s">
        <v>255</v>
      </c>
      <c r="L71" s="7">
        <v>378</v>
      </c>
      <c r="M71" s="106" t="s">
        <v>177</v>
      </c>
      <c r="N71" s="106" t="s">
        <v>177</v>
      </c>
      <c r="O71" s="7">
        <v>1600000</v>
      </c>
      <c r="P71" s="7">
        <v>400000</v>
      </c>
      <c r="Q71" s="7" t="s">
        <v>185</v>
      </c>
      <c r="R71" s="7" t="s">
        <v>185</v>
      </c>
      <c r="S71" s="7" t="s">
        <v>185</v>
      </c>
      <c r="T71" s="106" t="s">
        <v>256</v>
      </c>
      <c r="U71" s="7">
        <v>100000</v>
      </c>
      <c r="V71" s="7" t="s">
        <v>185</v>
      </c>
      <c r="W71" s="7" t="s">
        <v>177</v>
      </c>
      <c r="X71" s="7" t="s">
        <v>178</v>
      </c>
      <c r="Y71" s="7" t="s">
        <v>177</v>
      </c>
      <c r="Z71" s="7" t="s">
        <v>178</v>
      </c>
      <c r="AA71" s="7" t="s">
        <v>178</v>
      </c>
      <c r="AB71" s="7"/>
      <c r="AC71" s="7" t="s">
        <v>179</v>
      </c>
      <c r="AD71" s="7" t="s">
        <v>173</v>
      </c>
      <c r="AE71" s="7" t="s">
        <v>308</v>
      </c>
      <c r="AF71" s="7"/>
      <c r="AG71" s="7"/>
      <c r="AH71" s="7" t="s">
        <v>181</v>
      </c>
      <c r="AI71" s="114" t="s">
        <v>357</v>
      </c>
      <c r="AJ71" s="95" t="s">
        <v>183</v>
      </c>
      <c r="AK71" s="116">
        <v>0.783333333333333</v>
      </c>
      <c r="AL71" s="116">
        <v>0.883333333333333</v>
      </c>
      <c r="AM71" s="117">
        <v>1</v>
      </c>
      <c r="AN71" s="7"/>
      <c r="AO71" s="7" t="s">
        <v>185</v>
      </c>
      <c r="AP71" s="7" t="s">
        <v>186</v>
      </c>
      <c r="AQ71" s="7" t="s">
        <v>65</v>
      </c>
      <c r="AR71" s="7" t="s">
        <v>174</v>
      </c>
      <c r="AS71" s="7" t="s">
        <v>33</v>
      </c>
      <c r="AT71" s="7" t="s">
        <v>36</v>
      </c>
      <c r="AU71" s="7"/>
      <c r="AV71" s="7"/>
      <c r="AW71" s="7"/>
      <c r="AX71" s="7"/>
      <c r="AY71" s="7"/>
      <c r="AZ71" s="58">
        <v>61366</v>
      </c>
      <c r="BA71" s="57" t="s">
        <v>112</v>
      </c>
      <c r="BB71" s="13" t="s">
        <v>187</v>
      </c>
      <c r="BC71" s="9">
        <v>200</v>
      </c>
      <c r="BD71" s="9">
        <v>1</v>
      </c>
      <c r="BE71" s="9" t="s">
        <v>188</v>
      </c>
      <c r="BF71" s="9" t="str">
        <f t="shared" ref="BF71:BF75" si="20">I71</f>
        <v>VNPAY</v>
      </c>
      <c r="BG71" s="9" t="str">
        <f t="shared" ref="BG71:BG75" si="21">AQ71</f>
        <v>AGENT</v>
      </c>
      <c r="BH71" s="19" t="b">
        <v>0</v>
      </c>
      <c r="BI71" s="9" t="s">
        <v>189</v>
      </c>
      <c r="BJ71" s="9" t="s">
        <v>188</v>
      </c>
      <c r="BK71" s="9" t="s">
        <v>188</v>
      </c>
      <c r="BL71" s="9" t="s">
        <v>258</v>
      </c>
      <c r="BM71" s="19" t="b">
        <v>0</v>
      </c>
    </row>
    <row r="72" s="1" customFormat="1" ht="50" customHeight="1" spans="1:65">
      <c r="A72" s="4" t="s">
        <v>423</v>
      </c>
      <c r="B72" s="21" t="s">
        <v>392</v>
      </c>
      <c r="C72" s="94" t="s">
        <v>29</v>
      </c>
      <c r="D72" s="17" t="s">
        <v>356</v>
      </c>
      <c r="E72" s="7" t="s">
        <v>173</v>
      </c>
      <c r="F72" s="7" t="s">
        <v>31</v>
      </c>
      <c r="G72" s="7" t="s">
        <v>32</v>
      </c>
      <c r="H72" s="7" t="s">
        <v>174</v>
      </c>
      <c r="I72" s="7" t="s">
        <v>253</v>
      </c>
      <c r="J72" s="125" t="s">
        <v>254</v>
      </c>
      <c r="K72" s="107" t="s">
        <v>255</v>
      </c>
      <c r="L72" s="7">
        <v>378</v>
      </c>
      <c r="M72" s="106" t="s">
        <v>177</v>
      </c>
      <c r="N72" s="106" t="s">
        <v>177</v>
      </c>
      <c r="O72" s="7">
        <v>1600000</v>
      </c>
      <c r="P72" s="7">
        <v>400000</v>
      </c>
      <c r="Q72" s="7" t="s">
        <v>185</v>
      </c>
      <c r="R72" s="7" t="s">
        <v>185</v>
      </c>
      <c r="S72" s="7" t="s">
        <v>185</v>
      </c>
      <c r="T72" s="106" t="s">
        <v>256</v>
      </c>
      <c r="U72" s="7">
        <v>100000</v>
      </c>
      <c r="V72" s="7" t="s">
        <v>185</v>
      </c>
      <c r="W72" s="7" t="s">
        <v>177</v>
      </c>
      <c r="X72" s="7" t="s">
        <v>178</v>
      </c>
      <c r="Y72" s="7" t="s">
        <v>177</v>
      </c>
      <c r="Z72" s="7" t="s">
        <v>178</v>
      </c>
      <c r="AA72" s="7" t="s">
        <v>178</v>
      </c>
      <c r="AB72" s="7"/>
      <c r="AC72" s="7" t="s">
        <v>179</v>
      </c>
      <c r="AD72" s="7" t="s">
        <v>173</v>
      </c>
      <c r="AE72" s="7" t="s">
        <v>310</v>
      </c>
      <c r="AF72" s="7"/>
      <c r="AG72" s="7"/>
      <c r="AH72" s="7" t="s">
        <v>181</v>
      </c>
      <c r="AI72" s="114" t="s">
        <v>357</v>
      </c>
      <c r="AJ72" s="95" t="s">
        <v>183</v>
      </c>
      <c r="AK72" s="116">
        <v>0.783333333333333</v>
      </c>
      <c r="AL72" s="116">
        <v>0.883333333333333</v>
      </c>
      <c r="AM72" s="117">
        <v>2</v>
      </c>
      <c r="AN72" s="7"/>
      <c r="AO72" s="7" t="s">
        <v>185</v>
      </c>
      <c r="AP72" s="7" t="s">
        <v>186</v>
      </c>
      <c r="AQ72" s="7" t="s">
        <v>65</v>
      </c>
      <c r="AR72" s="7" t="s">
        <v>174</v>
      </c>
      <c r="AS72" s="7" t="s">
        <v>33</v>
      </c>
      <c r="AT72" s="7" t="s">
        <v>36</v>
      </c>
      <c r="AU72" s="7"/>
      <c r="AV72" s="7"/>
      <c r="AW72" s="7"/>
      <c r="AX72" s="7"/>
      <c r="AY72" s="7"/>
      <c r="AZ72" s="58">
        <v>61366</v>
      </c>
      <c r="BA72" s="57" t="s">
        <v>112</v>
      </c>
      <c r="BB72" s="13" t="s">
        <v>187</v>
      </c>
      <c r="BC72" s="9">
        <v>200</v>
      </c>
      <c r="BD72" s="9">
        <v>1</v>
      </c>
      <c r="BE72" s="9" t="s">
        <v>188</v>
      </c>
      <c r="BF72" s="9" t="str">
        <f t="shared" si="20"/>
        <v>VNPAY</v>
      </c>
      <c r="BG72" s="9" t="str">
        <f t="shared" si="21"/>
        <v>AGENT</v>
      </c>
      <c r="BH72" s="19" t="b">
        <v>0</v>
      </c>
      <c r="BI72" s="9" t="s">
        <v>189</v>
      </c>
      <c r="BJ72" s="9" t="s">
        <v>188</v>
      </c>
      <c r="BK72" s="9" t="s">
        <v>188</v>
      </c>
      <c r="BL72" s="9" t="s">
        <v>258</v>
      </c>
      <c r="BM72" s="19" t="b">
        <v>0</v>
      </c>
    </row>
    <row r="73" s="1" customFormat="1" ht="50" customHeight="1" spans="1:65">
      <c r="A73" s="4" t="s">
        <v>424</v>
      </c>
      <c r="B73" s="21" t="s">
        <v>392</v>
      </c>
      <c r="C73" s="94" t="s">
        <v>29</v>
      </c>
      <c r="D73" s="17" t="s">
        <v>356</v>
      </c>
      <c r="E73" s="7" t="s">
        <v>173</v>
      </c>
      <c r="F73" s="7" t="s">
        <v>31</v>
      </c>
      <c r="G73" s="7" t="s">
        <v>32</v>
      </c>
      <c r="H73" s="7" t="s">
        <v>174</v>
      </c>
      <c r="I73" s="7" t="s">
        <v>253</v>
      </c>
      <c r="J73" s="125" t="s">
        <v>254</v>
      </c>
      <c r="K73" s="107" t="s">
        <v>255</v>
      </c>
      <c r="L73" s="7">
        <v>378</v>
      </c>
      <c r="M73" s="106" t="s">
        <v>177</v>
      </c>
      <c r="N73" s="106" t="s">
        <v>177</v>
      </c>
      <c r="O73" s="7">
        <v>1600000</v>
      </c>
      <c r="P73" s="7">
        <v>400000</v>
      </c>
      <c r="Q73" s="7" t="s">
        <v>185</v>
      </c>
      <c r="R73" s="7" t="s">
        <v>185</v>
      </c>
      <c r="S73" s="7" t="s">
        <v>185</v>
      </c>
      <c r="T73" s="106" t="s">
        <v>256</v>
      </c>
      <c r="U73" s="7">
        <v>100000</v>
      </c>
      <c r="V73" s="7" t="s">
        <v>185</v>
      </c>
      <c r="W73" s="7" t="s">
        <v>177</v>
      </c>
      <c r="X73" s="7" t="s">
        <v>178</v>
      </c>
      <c r="Y73" s="7" t="s">
        <v>177</v>
      </c>
      <c r="Z73" s="7" t="s">
        <v>178</v>
      </c>
      <c r="AA73" s="7" t="s">
        <v>178</v>
      </c>
      <c r="AB73" s="7"/>
      <c r="AC73" s="7" t="s">
        <v>179</v>
      </c>
      <c r="AD73" s="7" t="s">
        <v>173</v>
      </c>
      <c r="AE73" s="7" t="s">
        <v>312</v>
      </c>
      <c r="AF73" s="7"/>
      <c r="AG73" s="7"/>
      <c r="AH73" s="7" t="s">
        <v>181</v>
      </c>
      <c r="AI73" s="114" t="s">
        <v>357</v>
      </c>
      <c r="AJ73" s="95" t="s">
        <v>183</v>
      </c>
      <c r="AK73" s="116">
        <v>0.783333333333333</v>
      </c>
      <c r="AL73" s="116">
        <v>0.883333333333333</v>
      </c>
      <c r="AM73" s="117">
        <v>3</v>
      </c>
      <c r="AN73" s="7"/>
      <c r="AO73" s="7" t="s">
        <v>185</v>
      </c>
      <c r="AP73" s="7" t="s">
        <v>186</v>
      </c>
      <c r="AQ73" s="7" t="s">
        <v>65</v>
      </c>
      <c r="AR73" s="7" t="s">
        <v>174</v>
      </c>
      <c r="AS73" s="7" t="s">
        <v>33</v>
      </c>
      <c r="AT73" s="7" t="s">
        <v>36</v>
      </c>
      <c r="AU73" s="7"/>
      <c r="AV73" s="7"/>
      <c r="AW73" s="7"/>
      <c r="AX73" s="7"/>
      <c r="AY73" s="7"/>
      <c r="AZ73" s="58">
        <v>61366</v>
      </c>
      <c r="BA73" s="57" t="s">
        <v>112</v>
      </c>
      <c r="BB73" s="13" t="s">
        <v>187</v>
      </c>
      <c r="BC73" s="9">
        <v>200</v>
      </c>
      <c r="BD73" s="9">
        <v>1</v>
      </c>
      <c r="BE73" s="9" t="s">
        <v>188</v>
      </c>
      <c r="BF73" s="9" t="str">
        <f t="shared" si="20"/>
        <v>VNPAY</v>
      </c>
      <c r="BG73" s="9" t="str">
        <f t="shared" si="21"/>
        <v>AGENT</v>
      </c>
      <c r="BH73" s="19" t="b">
        <v>0</v>
      </c>
      <c r="BI73" s="9" t="s">
        <v>189</v>
      </c>
      <c r="BJ73" s="9" t="s">
        <v>188</v>
      </c>
      <c r="BK73" s="9" t="s">
        <v>188</v>
      </c>
      <c r="BL73" s="9" t="s">
        <v>258</v>
      </c>
      <c r="BM73" s="19" t="b">
        <v>0</v>
      </c>
    </row>
    <row r="74" s="111" customFormat="1" ht="50" customHeight="1" spans="1:66">
      <c r="A74" s="4" t="s">
        <v>425</v>
      </c>
      <c r="B74" s="21" t="s">
        <v>392</v>
      </c>
      <c r="C74" s="94" t="s">
        <v>29</v>
      </c>
      <c r="D74" s="17" t="s">
        <v>356</v>
      </c>
      <c r="E74" s="7" t="s">
        <v>173</v>
      </c>
      <c r="F74" s="7" t="s">
        <v>31</v>
      </c>
      <c r="G74" s="7" t="s">
        <v>32</v>
      </c>
      <c r="H74" s="7" t="s">
        <v>174</v>
      </c>
      <c r="I74" s="7" t="s">
        <v>253</v>
      </c>
      <c r="J74" s="125" t="s">
        <v>254</v>
      </c>
      <c r="K74" s="107" t="s">
        <v>255</v>
      </c>
      <c r="L74" s="7">
        <v>378</v>
      </c>
      <c r="M74" s="106" t="s">
        <v>177</v>
      </c>
      <c r="N74" s="106" t="s">
        <v>177</v>
      </c>
      <c r="O74" s="7">
        <v>1600000</v>
      </c>
      <c r="P74" s="7">
        <v>400000</v>
      </c>
      <c r="Q74" s="7" t="s">
        <v>185</v>
      </c>
      <c r="R74" s="7" t="s">
        <v>185</v>
      </c>
      <c r="S74" s="7" t="s">
        <v>185</v>
      </c>
      <c r="T74" s="106" t="s">
        <v>256</v>
      </c>
      <c r="U74" s="7">
        <v>100000</v>
      </c>
      <c r="V74" s="7" t="s">
        <v>185</v>
      </c>
      <c r="W74" s="7" t="s">
        <v>177</v>
      </c>
      <c r="X74" s="7" t="s">
        <v>178</v>
      </c>
      <c r="Y74" s="7" t="s">
        <v>177</v>
      </c>
      <c r="Z74" s="7" t="s">
        <v>178</v>
      </c>
      <c r="AA74" s="7" t="s">
        <v>178</v>
      </c>
      <c r="AB74" s="7"/>
      <c r="AC74" s="7" t="s">
        <v>179</v>
      </c>
      <c r="AD74" s="7" t="s">
        <v>173</v>
      </c>
      <c r="AE74" s="7" t="s">
        <v>314</v>
      </c>
      <c r="AF74" s="7"/>
      <c r="AG74" s="7"/>
      <c r="AH74" s="7" t="s">
        <v>181</v>
      </c>
      <c r="AI74" s="114" t="s">
        <v>357</v>
      </c>
      <c r="AJ74" s="95" t="s">
        <v>183</v>
      </c>
      <c r="AK74" s="116">
        <v>0.788888888888889</v>
      </c>
      <c r="AL74" s="116">
        <v>0.888888888888889</v>
      </c>
      <c r="AM74" s="117">
        <v>0</v>
      </c>
      <c r="AN74" s="7"/>
      <c r="AO74" s="7" t="s">
        <v>185</v>
      </c>
      <c r="AP74" s="7" t="s">
        <v>186</v>
      </c>
      <c r="AQ74" s="7" t="s">
        <v>65</v>
      </c>
      <c r="AR74" s="7" t="s">
        <v>174</v>
      </c>
      <c r="AS74" s="7" t="s">
        <v>33</v>
      </c>
      <c r="AT74" s="7" t="s">
        <v>36</v>
      </c>
      <c r="AU74" s="7"/>
      <c r="AV74" s="7"/>
      <c r="AW74" s="7"/>
      <c r="AX74" s="7"/>
      <c r="AY74" s="7"/>
      <c r="AZ74" s="58">
        <v>61366</v>
      </c>
      <c r="BA74" s="57" t="s">
        <v>112</v>
      </c>
      <c r="BB74" s="13" t="s">
        <v>187</v>
      </c>
      <c r="BC74" s="9">
        <v>200</v>
      </c>
      <c r="BD74" s="9">
        <v>1</v>
      </c>
      <c r="BE74" s="9" t="s">
        <v>188</v>
      </c>
      <c r="BF74" s="9" t="str">
        <f t="shared" si="20"/>
        <v>VNPAY</v>
      </c>
      <c r="BG74" s="9" t="str">
        <f t="shared" si="21"/>
        <v>AGENT</v>
      </c>
      <c r="BH74" s="19" t="b">
        <v>0</v>
      </c>
      <c r="BI74" s="9" t="s">
        <v>189</v>
      </c>
      <c r="BJ74" s="9" t="s">
        <v>188</v>
      </c>
      <c r="BK74" s="9" t="s">
        <v>188</v>
      </c>
      <c r="BL74" s="9" t="s">
        <v>258</v>
      </c>
      <c r="BM74" s="19" t="b">
        <v>0</v>
      </c>
      <c r="BN74" s="29"/>
    </row>
    <row r="75" s="111" customFormat="1" ht="50" customHeight="1" spans="1:66">
      <c r="A75" s="4" t="s">
        <v>426</v>
      </c>
      <c r="B75" s="21" t="s">
        <v>392</v>
      </c>
      <c r="C75" s="94" t="s">
        <v>29</v>
      </c>
      <c r="D75" s="17" t="s">
        <v>356</v>
      </c>
      <c r="E75" s="7" t="s">
        <v>173</v>
      </c>
      <c r="F75" s="7" t="s">
        <v>31</v>
      </c>
      <c r="G75" s="7" t="s">
        <v>32</v>
      </c>
      <c r="H75" s="7" t="s">
        <v>174</v>
      </c>
      <c r="I75" s="7" t="s">
        <v>253</v>
      </c>
      <c r="J75" s="125" t="s">
        <v>254</v>
      </c>
      <c r="K75" s="107" t="s">
        <v>255</v>
      </c>
      <c r="L75" s="7">
        <v>378</v>
      </c>
      <c r="M75" s="106" t="s">
        <v>177</v>
      </c>
      <c r="N75" s="106" t="s">
        <v>177</v>
      </c>
      <c r="O75" s="7">
        <v>1600000</v>
      </c>
      <c r="P75" s="7">
        <v>400000</v>
      </c>
      <c r="Q75" s="7" t="s">
        <v>185</v>
      </c>
      <c r="R75" s="7" t="s">
        <v>185</v>
      </c>
      <c r="S75" s="7" t="s">
        <v>185</v>
      </c>
      <c r="T75" s="106" t="s">
        <v>256</v>
      </c>
      <c r="U75" s="7">
        <v>100000</v>
      </c>
      <c r="V75" s="7" t="s">
        <v>185</v>
      </c>
      <c r="W75" s="7" t="s">
        <v>177</v>
      </c>
      <c r="X75" s="7" t="s">
        <v>178</v>
      </c>
      <c r="Y75" s="7" t="s">
        <v>177</v>
      </c>
      <c r="Z75" s="7" t="s">
        <v>178</v>
      </c>
      <c r="AA75" s="7" t="s">
        <v>178</v>
      </c>
      <c r="AB75" s="7"/>
      <c r="AC75" s="7" t="s">
        <v>179</v>
      </c>
      <c r="AD75" s="7" t="s">
        <v>173</v>
      </c>
      <c r="AE75" s="7" t="s">
        <v>316</v>
      </c>
      <c r="AF75" s="7"/>
      <c r="AG75" s="7"/>
      <c r="AH75" s="7" t="s">
        <v>181</v>
      </c>
      <c r="AI75" s="114" t="s">
        <v>357</v>
      </c>
      <c r="AJ75" s="95" t="s">
        <v>183</v>
      </c>
      <c r="AK75" s="116">
        <v>0.788888888888889</v>
      </c>
      <c r="AL75" s="116">
        <v>0.888888888888889</v>
      </c>
      <c r="AM75" s="117">
        <v>1</v>
      </c>
      <c r="AN75" s="7"/>
      <c r="AO75" s="7" t="s">
        <v>185</v>
      </c>
      <c r="AP75" s="7" t="s">
        <v>186</v>
      </c>
      <c r="AQ75" s="7" t="s">
        <v>65</v>
      </c>
      <c r="AR75" s="7" t="s">
        <v>174</v>
      </c>
      <c r="AS75" s="7" t="s">
        <v>33</v>
      </c>
      <c r="AT75" s="7" t="s">
        <v>36</v>
      </c>
      <c r="AU75" s="7"/>
      <c r="AV75" s="7"/>
      <c r="AW75" s="7"/>
      <c r="AX75" s="7"/>
      <c r="AY75" s="7"/>
      <c r="AZ75" s="58">
        <v>61366</v>
      </c>
      <c r="BA75" s="57" t="s">
        <v>112</v>
      </c>
      <c r="BB75" s="13" t="s">
        <v>187</v>
      </c>
      <c r="BC75" s="9">
        <v>200</v>
      </c>
      <c r="BD75" s="9">
        <v>1</v>
      </c>
      <c r="BE75" s="9" t="s">
        <v>188</v>
      </c>
      <c r="BF75" s="9" t="str">
        <f t="shared" si="20"/>
        <v>VNPAY</v>
      </c>
      <c r="BG75" s="9" t="str">
        <f t="shared" si="21"/>
        <v>AGENT</v>
      </c>
      <c r="BH75" s="19" t="b">
        <v>0</v>
      </c>
      <c r="BI75" s="9" t="s">
        <v>189</v>
      </c>
      <c r="BJ75" s="9" t="s">
        <v>188</v>
      </c>
      <c r="BK75" s="9" t="s">
        <v>188</v>
      </c>
      <c r="BL75" s="9" t="s">
        <v>258</v>
      </c>
      <c r="BM75" s="19" t="b">
        <v>0</v>
      </c>
      <c r="BN75" s="29"/>
    </row>
    <row r="76" s="29" customFormat="1" ht="34" customHeight="1" spans="1:65">
      <c r="A76" s="7"/>
      <c r="B76" s="21"/>
      <c r="C76" s="94"/>
      <c r="D76" s="17"/>
      <c r="E76" s="21"/>
      <c r="F76" s="7"/>
      <c r="G76" s="7"/>
      <c r="H76" s="7"/>
      <c r="I76" s="7"/>
      <c r="J76" s="7"/>
      <c r="K76" s="7"/>
      <c r="L76" s="7"/>
      <c r="M76" s="106"/>
      <c r="N76" s="106"/>
      <c r="O76" s="7"/>
      <c r="P76" s="7"/>
      <c r="Q76" s="7"/>
      <c r="R76" s="7"/>
      <c r="S76" s="7"/>
      <c r="T76" s="106"/>
      <c r="U76" s="7"/>
      <c r="V76" s="106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114"/>
      <c r="AJ76" s="120"/>
      <c r="AK76" s="120"/>
      <c r="AL76" s="120"/>
      <c r="AM76" s="120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101"/>
      <c r="BC76" s="21"/>
      <c r="BD76" s="21"/>
      <c r="BE76" s="21"/>
      <c r="BF76" s="21"/>
      <c r="BG76" s="21"/>
      <c r="BH76" s="63"/>
      <c r="BI76" s="21"/>
      <c r="BJ76" s="21"/>
      <c r="BK76" s="21"/>
      <c r="BL76" s="21"/>
      <c r="BM76" s="63"/>
    </row>
    <row r="77" s="111" customFormat="1" ht="106" customHeight="1" spans="1:66">
      <c r="A77" s="4" t="s">
        <v>427</v>
      </c>
      <c r="B77" s="10" t="s">
        <v>428</v>
      </c>
      <c r="C77" s="6" t="s">
        <v>29</v>
      </c>
      <c r="D77" s="17" t="s">
        <v>356</v>
      </c>
      <c r="E77" s="9" t="s">
        <v>173</v>
      </c>
      <c r="F77" s="4" t="s">
        <v>31</v>
      </c>
      <c r="G77" s="4" t="s">
        <v>32</v>
      </c>
      <c r="H77" s="7" t="s">
        <v>174</v>
      </c>
      <c r="I77" s="7" t="s">
        <v>175</v>
      </c>
      <c r="J77" s="7"/>
      <c r="K77" s="7" t="s">
        <v>176</v>
      </c>
      <c r="L77" s="7"/>
      <c r="M77" s="106"/>
      <c r="N77" s="106"/>
      <c r="O77" s="7"/>
      <c r="P77" s="7"/>
      <c r="Q77" s="7"/>
      <c r="R77" s="7"/>
      <c r="S77" s="7"/>
      <c r="T77" s="106"/>
      <c r="U77" s="7"/>
      <c r="V77" s="106"/>
      <c r="W77" s="7" t="s">
        <v>177</v>
      </c>
      <c r="X77" s="7" t="s">
        <v>178</v>
      </c>
      <c r="Y77" s="7" t="s">
        <v>177</v>
      </c>
      <c r="Z77" s="7" t="s">
        <v>178</v>
      </c>
      <c r="AA77" s="7" t="s">
        <v>178</v>
      </c>
      <c r="AB77" s="7"/>
      <c r="AC77" s="7" t="s">
        <v>179</v>
      </c>
      <c r="AD77" s="7" t="s">
        <v>173</v>
      </c>
      <c r="AE77" s="7" t="s">
        <v>196</v>
      </c>
      <c r="AF77" s="7"/>
      <c r="AG77" s="7"/>
      <c r="AH77" s="7" t="s">
        <v>181</v>
      </c>
      <c r="AI77" s="114" t="s">
        <v>357</v>
      </c>
      <c r="AJ77" s="95" t="s">
        <v>183</v>
      </c>
      <c r="AK77" s="95" t="s">
        <v>42</v>
      </c>
      <c r="AL77" s="95" t="s">
        <v>199</v>
      </c>
      <c r="AM77" s="95">
        <v>1</v>
      </c>
      <c r="AN77" s="7"/>
      <c r="AO77" s="7" t="s">
        <v>185</v>
      </c>
      <c r="AP77" s="7" t="s">
        <v>186</v>
      </c>
      <c r="AQ77" s="7" t="s">
        <v>34</v>
      </c>
      <c r="AR77" s="7" t="s">
        <v>174</v>
      </c>
      <c r="AS77" s="7" t="s">
        <v>33</v>
      </c>
      <c r="AT77" s="7" t="s">
        <v>36</v>
      </c>
      <c r="AU77" s="7"/>
      <c r="AV77" s="7"/>
      <c r="AW77" s="7"/>
      <c r="AX77" s="7"/>
      <c r="AY77" s="7"/>
      <c r="AZ77" s="7">
        <v>35540</v>
      </c>
      <c r="BA77" s="13" t="s">
        <v>85</v>
      </c>
      <c r="BB77" s="13" t="s">
        <v>187</v>
      </c>
      <c r="BC77" s="9">
        <v>200</v>
      </c>
      <c r="BD77" s="9">
        <v>1</v>
      </c>
      <c r="BE77" s="9" t="s">
        <v>188</v>
      </c>
      <c r="BF77" s="9" t="str">
        <f>I77</f>
        <v>PhuongTT</v>
      </c>
      <c r="BG77" s="9" t="str">
        <f>AQ77</f>
        <v>4D</v>
      </c>
      <c r="BH77" s="19" t="b">
        <v>0</v>
      </c>
      <c r="BI77" s="9" t="s">
        <v>189</v>
      </c>
      <c r="BJ77" s="9" t="s">
        <v>188</v>
      </c>
      <c r="BK77" s="9" t="s">
        <v>188</v>
      </c>
      <c r="BL77" s="9" t="s">
        <v>190</v>
      </c>
      <c r="BM77" s="19" t="b">
        <v>0</v>
      </c>
      <c r="BN77" s="29"/>
    </row>
    <row r="78" s="1" customFormat="1" ht="106" customHeight="1" spans="1:66">
      <c r="A78" s="4" t="s">
        <v>429</v>
      </c>
      <c r="B78" s="10" t="s">
        <v>430</v>
      </c>
      <c r="C78" s="6" t="s">
        <v>29</v>
      </c>
      <c r="D78" s="17" t="s">
        <v>356</v>
      </c>
      <c r="E78" s="9" t="s">
        <v>173</v>
      </c>
      <c r="F78" s="4" t="s">
        <v>31</v>
      </c>
      <c r="G78" s="4" t="s">
        <v>32</v>
      </c>
      <c r="H78" s="7" t="s">
        <v>174</v>
      </c>
      <c r="I78" s="7" t="s">
        <v>175</v>
      </c>
      <c r="J78" s="7"/>
      <c r="K78" s="7" t="s">
        <v>176</v>
      </c>
      <c r="L78" s="7"/>
      <c r="M78" s="106"/>
      <c r="N78" s="106"/>
      <c r="O78" s="7"/>
      <c r="P78" s="7"/>
      <c r="Q78" s="7"/>
      <c r="R78" s="7"/>
      <c r="S78" s="7"/>
      <c r="T78" s="106"/>
      <c r="U78" s="7"/>
      <c r="V78" s="106"/>
      <c r="W78" s="7" t="s">
        <v>177</v>
      </c>
      <c r="X78" s="7" t="s">
        <v>178</v>
      </c>
      <c r="Y78" s="7" t="s">
        <v>177</v>
      </c>
      <c r="Z78" s="7" t="s">
        <v>178</v>
      </c>
      <c r="AA78" s="7" t="s">
        <v>178</v>
      </c>
      <c r="AB78" s="7"/>
      <c r="AC78" s="7" t="s">
        <v>179</v>
      </c>
      <c r="AD78" s="7" t="s">
        <v>173</v>
      </c>
      <c r="AE78" s="7" t="s">
        <v>198</v>
      </c>
      <c r="AF78" s="7"/>
      <c r="AG78" s="7"/>
      <c r="AH78" s="7" t="s">
        <v>181</v>
      </c>
      <c r="AI78" s="114" t="s">
        <v>357</v>
      </c>
      <c r="AJ78" s="95" t="s">
        <v>183</v>
      </c>
      <c r="AK78" s="95" t="s">
        <v>42</v>
      </c>
      <c r="AL78" s="95" t="s">
        <v>199</v>
      </c>
      <c r="AM78" s="95">
        <v>2</v>
      </c>
      <c r="AN78" s="7"/>
      <c r="AO78" s="7" t="s">
        <v>185</v>
      </c>
      <c r="AP78" s="7" t="s">
        <v>186</v>
      </c>
      <c r="AQ78" s="7" t="s">
        <v>34</v>
      </c>
      <c r="AR78" s="7" t="s">
        <v>174</v>
      </c>
      <c r="AS78" s="7" t="s">
        <v>33</v>
      </c>
      <c r="AT78" s="7" t="s">
        <v>36</v>
      </c>
      <c r="AU78" s="7"/>
      <c r="AV78" s="7"/>
      <c r="AW78" s="7"/>
      <c r="AX78" s="7"/>
      <c r="AY78" s="7"/>
      <c r="AZ78" s="7">
        <v>35541</v>
      </c>
      <c r="BA78" s="13" t="s">
        <v>431</v>
      </c>
      <c r="BB78" s="13" t="s">
        <v>187</v>
      </c>
      <c r="BC78" s="9">
        <v>200</v>
      </c>
      <c r="BD78" s="9">
        <v>1</v>
      </c>
      <c r="BE78" s="9" t="s">
        <v>188</v>
      </c>
      <c r="BF78" s="9" t="str">
        <f>I78</f>
        <v>PhuongTT</v>
      </c>
      <c r="BG78" s="9" t="str">
        <f>AQ78</f>
        <v>4D</v>
      </c>
      <c r="BH78" s="19" t="b">
        <v>0</v>
      </c>
      <c r="BI78" s="9" t="s">
        <v>189</v>
      </c>
      <c r="BJ78" s="9" t="s">
        <v>188</v>
      </c>
      <c r="BK78" s="9" t="s">
        <v>188</v>
      </c>
      <c r="BL78" s="9" t="s">
        <v>190</v>
      </c>
      <c r="BM78" s="19" t="b">
        <v>0</v>
      </c>
      <c r="BN78" s="29"/>
    </row>
    <row r="79" s="1" customFormat="1" ht="106" customHeight="1" spans="1:66">
      <c r="A79" s="4" t="s">
        <v>432</v>
      </c>
      <c r="B79" s="10" t="s">
        <v>433</v>
      </c>
      <c r="C79" s="6" t="s">
        <v>29</v>
      </c>
      <c r="D79" s="17" t="s">
        <v>356</v>
      </c>
      <c r="E79" s="9" t="s">
        <v>173</v>
      </c>
      <c r="F79" s="4" t="s">
        <v>31</v>
      </c>
      <c r="G79" s="4" t="s">
        <v>32</v>
      </c>
      <c r="H79" s="7" t="s">
        <v>174</v>
      </c>
      <c r="I79" s="7" t="s">
        <v>175</v>
      </c>
      <c r="J79" s="7"/>
      <c r="K79" s="7" t="s">
        <v>176</v>
      </c>
      <c r="L79" s="7"/>
      <c r="M79" s="106"/>
      <c r="N79" s="106"/>
      <c r="O79" s="7"/>
      <c r="P79" s="7"/>
      <c r="Q79" s="7"/>
      <c r="R79" s="7"/>
      <c r="S79" s="7"/>
      <c r="T79" s="106"/>
      <c r="U79" s="7"/>
      <c r="V79" s="106"/>
      <c r="W79" s="7" t="s">
        <v>177</v>
      </c>
      <c r="X79" s="7" t="s">
        <v>178</v>
      </c>
      <c r="Y79" s="7" t="s">
        <v>177</v>
      </c>
      <c r="Z79" s="7" t="s">
        <v>178</v>
      </c>
      <c r="AA79" s="7" t="s">
        <v>178</v>
      </c>
      <c r="AB79" s="7"/>
      <c r="AC79" s="7" t="s">
        <v>179</v>
      </c>
      <c r="AD79" s="7" t="s">
        <v>173</v>
      </c>
      <c r="AE79" s="7" t="s">
        <v>201</v>
      </c>
      <c r="AF79" s="7"/>
      <c r="AG79" s="7"/>
      <c r="AH79" s="7" t="s">
        <v>181</v>
      </c>
      <c r="AI79" s="114" t="s">
        <v>357</v>
      </c>
      <c r="AJ79" s="95" t="s">
        <v>183</v>
      </c>
      <c r="AK79" s="95" t="s">
        <v>42</v>
      </c>
      <c r="AL79" s="95" t="s">
        <v>199</v>
      </c>
      <c r="AM79" s="95">
        <v>3</v>
      </c>
      <c r="AN79" s="7"/>
      <c r="AO79" s="7" t="s">
        <v>185</v>
      </c>
      <c r="AP79" s="7" t="s">
        <v>186</v>
      </c>
      <c r="AQ79" s="7" t="s">
        <v>34</v>
      </c>
      <c r="AR79" s="7" t="s">
        <v>174</v>
      </c>
      <c r="AS79" s="7" t="s">
        <v>33</v>
      </c>
      <c r="AT79" s="7" t="s">
        <v>36</v>
      </c>
      <c r="AU79" s="7"/>
      <c r="AV79" s="7"/>
      <c r="AW79" s="7"/>
      <c r="AX79" s="7"/>
      <c r="AY79" s="7"/>
      <c r="AZ79" s="7">
        <v>35542</v>
      </c>
      <c r="BA79" s="13" t="s">
        <v>434</v>
      </c>
      <c r="BB79" s="13" t="s">
        <v>187</v>
      </c>
      <c r="BC79" s="9">
        <v>200</v>
      </c>
      <c r="BD79" s="9">
        <v>1</v>
      </c>
      <c r="BE79" s="9" t="s">
        <v>188</v>
      </c>
      <c r="BF79" s="9" t="str">
        <f>I79</f>
        <v>PhuongTT</v>
      </c>
      <c r="BG79" s="9" t="str">
        <f>AQ79</f>
        <v>4D</v>
      </c>
      <c r="BH79" s="19" t="b">
        <v>0</v>
      </c>
      <c r="BI79" s="9" t="s">
        <v>189</v>
      </c>
      <c r="BJ79" s="9" t="s">
        <v>188</v>
      </c>
      <c r="BK79" s="9" t="s">
        <v>188</v>
      </c>
      <c r="BL79" s="9" t="s">
        <v>190</v>
      </c>
      <c r="BM79" s="19" t="b">
        <v>0</v>
      </c>
      <c r="BN79" s="29"/>
    </row>
    <row r="80" s="111" customFormat="1" ht="106" customHeight="1" spans="1:66">
      <c r="A80" s="4" t="s">
        <v>435</v>
      </c>
      <c r="B80" s="10" t="s">
        <v>436</v>
      </c>
      <c r="C80" s="6" t="s">
        <v>29</v>
      </c>
      <c r="D80" s="17" t="s">
        <v>356</v>
      </c>
      <c r="E80" s="9" t="s">
        <v>173</v>
      </c>
      <c r="F80" s="4" t="s">
        <v>31</v>
      </c>
      <c r="G80" s="4" t="s">
        <v>32</v>
      </c>
      <c r="H80" s="7" t="s">
        <v>174</v>
      </c>
      <c r="I80" s="7" t="s">
        <v>175</v>
      </c>
      <c r="J80" s="7"/>
      <c r="K80" s="7" t="s">
        <v>176</v>
      </c>
      <c r="L80" s="7"/>
      <c r="M80" s="106"/>
      <c r="N80" s="106"/>
      <c r="O80" s="7"/>
      <c r="P80" s="7"/>
      <c r="Q80" s="7"/>
      <c r="R80" s="7"/>
      <c r="S80" s="7"/>
      <c r="T80" s="106"/>
      <c r="U80" s="7"/>
      <c r="V80" s="106"/>
      <c r="W80" s="7" t="s">
        <v>177</v>
      </c>
      <c r="X80" s="7" t="s">
        <v>178</v>
      </c>
      <c r="Y80" s="7" t="s">
        <v>177</v>
      </c>
      <c r="Z80" s="7" t="s">
        <v>178</v>
      </c>
      <c r="AA80" s="7" t="s">
        <v>178</v>
      </c>
      <c r="AB80" s="7"/>
      <c r="AC80" s="7" t="s">
        <v>179</v>
      </c>
      <c r="AD80" s="7" t="s">
        <v>173</v>
      </c>
      <c r="AE80" s="7" t="s">
        <v>201</v>
      </c>
      <c r="AF80" s="7"/>
      <c r="AG80" s="7"/>
      <c r="AH80" s="7" t="s">
        <v>181</v>
      </c>
      <c r="AI80" s="114" t="s">
        <v>357</v>
      </c>
      <c r="AJ80" s="95" t="s">
        <v>183</v>
      </c>
      <c r="AK80" s="95" t="s">
        <v>42</v>
      </c>
      <c r="AL80" s="95" t="s">
        <v>199</v>
      </c>
      <c r="AM80" s="95">
        <v>3</v>
      </c>
      <c r="AN80" s="7"/>
      <c r="AO80" s="7" t="s">
        <v>185</v>
      </c>
      <c r="AP80" s="7" t="s">
        <v>186</v>
      </c>
      <c r="AQ80" s="7" t="s">
        <v>34</v>
      </c>
      <c r="AR80" s="7" t="s">
        <v>174</v>
      </c>
      <c r="AS80" s="7" t="s">
        <v>33</v>
      </c>
      <c r="AT80" s="7" t="s">
        <v>36</v>
      </c>
      <c r="AU80" s="7"/>
      <c r="AV80" s="7"/>
      <c r="AW80" s="7"/>
      <c r="AX80" s="7"/>
      <c r="AY80" s="7"/>
      <c r="AZ80" s="7">
        <v>35543</v>
      </c>
      <c r="BA80" s="13" t="s">
        <v>437</v>
      </c>
      <c r="BB80" s="13" t="s">
        <v>187</v>
      </c>
      <c r="BC80" s="9">
        <v>200</v>
      </c>
      <c r="BD80" s="9">
        <v>1</v>
      </c>
      <c r="BE80" s="9" t="s">
        <v>188</v>
      </c>
      <c r="BF80" s="9" t="str">
        <f>I80</f>
        <v>PhuongTT</v>
      </c>
      <c r="BG80" s="9" t="str">
        <f>AQ80</f>
        <v>4D</v>
      </c>
      <c r="BH80" s="19" t="b">
        <v>0</v>
      </c>
      <c r="BI80" s="9" t="s">
        <v>189</v>
      </c>
      <c r="BJ80" s="9" t="s">
        <v>188</v>
      </c>
      <c r="BK80" s="9" t="s">
        <v>188</v>
      </c>
      <c r="BL80" s="9" t="s">
        <v>190</v>
      </c>
      <c r="BM80" s="19" t="b">
        <v>0</v>
      </c>
      <c r="BN80" s="29"/>
    </row>
    <row r="81" s="111" customFormat="1" ht="106" customHeight="1" spans="1:66">
      <c r="A81" s="4" t="s">
        <v>435</v>
      </c>
      <c r="B81" s="9" t="s">
        <v>438</v>
      </c>
      <c r="C81" s="6" t="s">
        <v>29</v>
      </c>
      <c r="D81" s="17" t="s">
        <v>356</v>
      </c>
      <c r="E81" s="9" t="s">
        <v>173</v>
      </c>
      <c r="F81" s="4" t="s">
        <v>31</v>
      </c>
      <c r="G81" s="4" t="s">
        <v>32</v>
      </c>
      <c r="H81" s="7" t="s">
        <v>174</v>
      </c>
      <c r="I81" s="7" t="s">
        <v>175</v>
      </c>
      <c r="J81" s="7"/>
      <c r="K81" s="7" t="s">
        <v>176</v>
      </c>
      <c r="L81" s="7"/>
      <c r="M81" s="106"/>
      <c r="N81" s="106"/>
      <c r="O81" s="7"/>
      <c r="P81" s="7"/>
      <c r="Q81" s="7"/>
      <c r="R81" s="7"/>
      <c r="S81" s="7"/>
      <c r="T81" s="106"/>
      <c r="U81" s="7"/>
      <c r="V81" s="106"/>
      <c r="W81" s="7" t="s">
        <v>177</v>
      </c>
      <c r="X81" s="7" t="s">
        <v>178</v>
      </c>
      <c r="Y81" s="7" t="s">
        <v>177</v>
      </c>
      <c r="Z81" s="7" t="s">
        <v>178</v>
      </c>
      <c r="AA81" s="7" t="s">
        <v>178</v>
      </c>
      <c r="AB81" s="7"/>
      <c r="AC81" s="7" t="s">
        <v>179</v>
      </c>
      <c r="AD81" s="7" t="s">
        <v>173</v>
      </c>
      <c r="AE81" s="7" t="s">
        <v>203</v>
      </c>
      <c r="AF81" s="7"/>
      <c r="AG81" s="7"/>
      <c r="AH81" s="7" t="s">
        <v>181</v>
      </c>
      <c r="AI81" s="114" t="s">
        <v>357</v>
      </c>
      <c r="AJ81" s="95" t="s">
        <v>183</v>
      </c>
      <c r="AK81" s="95" t="s">
        <v>45</v>
      </c>
      <c r="AL81" s="95" t="s">
        <v>345</v>
      </c>
      <c r="AM81" s="95">
        <v>0</v>
      </c>
      <c r="AN81" s="7"/>
      <c r="AO81" s="7" t="s">
        <v>185</v>
      </c>
      <c r="AP81" s="7" t="s">
        <v>186</v>
      </c>
      <c r="AQ81" s="7" t="s">
        <v>34</v>
      </c>
      <c r="AR81" s="7" t="s">
        <v>174</v>
      </c>
      <c r="AS81" s="7" t="s">
        <v>33</v>
      </c>
      <c r="AT81" s="7" t="s">
        <v>36</v>
      </c>
      <c r="AU81" s="7"/>
      <c r="AV81" s="7"/>
      <c r="AW81" s="7"/>
      <c r="AX81" s="7"/>
      <c r="AY81" s="7"/>
      <c r="AZ81" s="7">
        <v>35544</v>
      </c>
      <c r="BA81" s="13" t="s">
        <v>439</v>
      </c>
      <c r="BB81" s="13" t="s">
        <v>187</v>
      </c>
      <c r="BC81" s="9">
        <v>200</v>
      </c>
      <c r="BD81" s="9">
        <v>1</v>
      </c>
      <c r="BE81" s="9" t="s">
        <v>188</v>
      </c>
      <c r="BF81" s="9" t="str">
        <f t="shared" ref="BF81:BF90" si="22">I81</f>
        <v>PhuongTT</v>
      </c>
      <c r="BG81" s="9" t="str">
        <f t="shared" ref="BG81:BG90" si="23">AQ81</f>
        <v>4D</v>
      </c>
      <c r="BH81" s="19" t="b">
        <v>0</v>
      </c>
      <c r="BI81" s="9" t="s">
        <v>189</v>
      </c>
      <c r="BJ81" s="9" t="s">
        <v>188</v>
      </c>
      <c r="BK81" s="9" t="s">
        <v>188</v>
      </c>
      <c r="BL81" s="9" t="s">
        <v>190</v>
      </c>
      <c r="BM81" s="19" t="b">
        <v>0</v>
      </c>
      <c r="BN81" s="29"/>
    </row>
    <row r="82" s="29" customFormat="1" ht="106" customHeight="1" spans="1:65">
      <c r="A82" s="4" t="s">
        <v>440</v>
      </c>
      <c r="B82" s="9" t="s">
        <v>441</v>
      </c>
      <c r="C82" s="6" t="s">
        <v>29</v>
      </c>
      <c r="D82" s="17" t="s">
        <v>356</v>
      </c>
      <c r="E82" s="9" t="s">
        <v>173</v>
      </c>
      <c r="F82" s="4" t="s">
        <v>31</v>
      </c>
      <c r="G82" s="4" t="s">
        <v>32</v>
      </c>
      <c r="H82" s="7" t="s">
        <v>174</v>
      </c>
      <c r="I82" s="7" t="s">
        <v>175</v>
      </c>
      <c r="J82" s="7"/>
      <c r="K82" s="7" t="s">
        <v>176</v>
      </c>
      <c r="L82" s="7"/>
      <c r="M82" s="106"/>
      <c r="N82" s="106"/>
      <c r="O82" s="7"/>
      <c r="P82" s="7"/>
      <c r="Q82" s="7"/>
      <c r="R82" s="7"/>
      <c r="S82" s="7"/>
      <c r="T82" s="106"/>
      <c r="U82" s="7"/>
      <c r="V82" s="106"/>
      <c r="W82" s="7" t="s">
        <v>177</v>
      </c>
      <c r="X82" s="7" t="s">
        <v>178</v>
      </c>
      <c r="Y82" s="7" t="s">
        <v>177</v>
      </c>
      <c r="Z82" s="7" t="s">
        <v>178</v>
      </c>
      <c r="AA82" s="7" t="s">
        <v>178</v>
      </c>
      <c r="AB82" s="7"/>
      <c r="AC82" s="7" t="s">
        <v>179</v>
      </c>
      <c r="AD82" s="7" t="s">
        <v>173</v>
      </c>
      <c r="AE82" s="7" t="s">
        <v>205</v>
      </c>
      <c r="AF82" s="7"/>
      <c r="AG82" s="7"/>
      <c r="AH82" s="7" t="s">
        <v>181</v>
      </c>
      <c r="AI82" s="114" t="s">
        <v>357</v>
      </c>
      <c r="AJ82" s="95" t="s">
        <v>183</v>
      </c>
      <c r="AK82" s="95" t="s">
        <v>45</v>
      </c>
      <c r="AL82" s="95" t="s">
        <v>345</v>
      </c>
      <c r="AM82" s="95">
        <v>1</v>
      </c>
      <c r="AN82" s="7"/>
      <c r="AO82" s="7" t="s">
        <v>185</v>
      </c>
      <c r="AP82" s="7" t="s">
        <v>186</v>
      </c>
      <c r="AQ82" s="7" t="s">
        <v>34</v>
      </c>
      <c r="AR82" s="7" t="s">
        <v>174</v>
      </c>
      <c r="AS82" s="7" t="s">
        <v>33</v>
      </c>
      <c r="AT82" s="7" t="s">
        <v>36</v>
      </c>
      <c r="AU82" s="7"/>
      <c r="AV82" s="7"/>
      <c r="AW82" s="7"/>
      <c r="AX82" s="7"/>
      <c r="AY82" s="7"/>
      <c r="AZ82" s="7">
        <v>35545</v>
      </c>
      <c r="BA82" s="13" t="s">
        <v>442</v>
      </c>
      <c r="BB82" s="13" t="s">
        <v>187</v>
      </c>
      <c r="BC82" s="9">
        <v>200</v>
      </c>
      <c r="BD82" s="9">
        <v>1</v>
      </c>
      <c r="BE82" s="9" t="s">
        <v>188</v>
      </c>
      <c r="BF82" s="9" t="str">
        <f t="shared" si="22"/>
        <v>PhuongTT</v>
      </c>
      <c r="BG82" s="9" t="str">
        <f t="shared" si="23"/>
        <v>4D</v>
      </c>
      <c r="BH82" s="19" t="b">
        <v>0</v>
      </c>
      <c r="BI82" s="9" t="s">
        <v>189</v>
      </c>
      <c r="BJ82" s="9" t="s">
        <v>188</v>
      </c>
      <c r="BK82" s="9" t="s">
        <v>188</v>
      </c>
      <c r="BL82" s="9" t="s">
        <v>190</v>
      </c>
      <c r="BM82" s="19" t="b">
        <v>0</v>
      </c>
    </row>
    <row r="83" s="29" customFormat="1" ht="106" customHeight="1" spans="1:65">
      <c r="A83" s="4" t="s">
        <v>443</v>
      </c>
      <c r="B83" s="9" t="s">
        <v>444</v>
      </c>
      <c r="C83" s="6" t="s">
        <v>29</v>
      </c>
      <c r="D83" s="17" t="s">
        <v>356</v>
      </c>
      <c r="E83" s="9" t="s">
        <v>173</v>
      </c>
      <c r="F83" s="4" t="s">
        <v>31</v>
      </c>
      <c r="G83" s="4" t="s">
        <v>32</v>
      </c>
      <c r="H83" s="7" t="s">
        <v>174</v>
      </c>
      <c r="I83" s="7" t="s">
        <v>175</v>
      </c>
      <c r="J83" s="7"/>
      <c r="K83" s="7" t="s">
        <v>176</v>
      </c>
      <c r="L83" s="7"/>
      <c r="M83" s="106"/>
      <c r="N83" s="106"/>
      <c r="O83" s="7"/>
      <c r="P83" s="7"/>
      <c r="Q83" s="7"/>
      <c r="R83" s="7"/>
      <c r="S83" s="7"/>
      <c r="T83" s="106"/>
      <c r="U83" s="7"/>
      <c r="V83" s="106"/>
      <c r="W83" s="7" t="s">
        <v>177</v>
      </c>
      <c r="X83" s="7" t="s">
        <v>178</v>
      </c>
      <c r="Y83" s="7" t="s">
        <v>177</v>
      </c>
      <c r="Z83" s="7" t="s">
        <v>178</v>
      </c>
      <c r="AA83" s="7" t="s">
        <v>178</v>
      </c>
      <c r="AB83" s="7"/>
      <c r="AC83" s="7" t="s">
        <v>179</v>
      </c>
      <c r="AD83" s="7" t="s">
        <v>173</v>
      </c>
      <c r="AE83" s="7" t="s">
        <v>207</v>
      </c>
      <c r="AF83" s="7"/>
      <c r="AG83" s="7"/>
      <c r="AH83" s="7" t="s">
        <v>181</v>
      </c>
      <c r="AI83" s="114" t="s">
        <v>357</v>
      </c>
      <c r="AJ83" s="95" t="s">
        <v>183</v>
      </c>
      <c r="AK83" s="95" t="s">
        <v>45</v>
      </c>
      <c r="AL83" s="95" t="s">
        <v>345</v>
      </c>
      <c r="AM83" s="95">
        <v>2</v>
      </c>
      <c r="AN83" s="7"/>
      <c r="AO83" s="7" t="s">
        <v>185</v>
      </c>
      <c r="AP83" s="7" t="s">
        <v>186</v>
      </c>
      <c r="AQ83" s="7" t="s">
        <v>34</v>
      </c>
      <c r="AR83" s="7" t="s">
        <v>174</v>
      </c>
      <c r="AS83" s="7" t="s">
        <v>33</v>
      </c>
      <c r="AT83" s="7" t="s">
        <v>36</v>
      </c>
      <c r="AU83" s="7"/>
      <c r="AV83" s="7"/>
      <c r="AW83" s="7"/>
      <c r="AX83" s="7"/>
      <c r="AY83" s="7"/>
      <c r="AZ83" s="7">
        <v>35546</v>
      </c>
      <c r="BA83" s="13" t="s">
        <v>445</v>
      </c>
      <c r="BB83" s="13" t="s">
        <v>187</v>
      </c>
      <c r="BC83" s="9">
        <v>200</v>
      </c>
      <c r="BD83" s="9">
        <v>1</v>
      </c>
      <c r="BE83" s="9" t="s">
        <v>188</v>
      </c>
      <c r="BF83" s="9" t="str">
        <f t="shared" si="22"/>
        <v>PhuongTT</v>
      </c>
      <c r="BG83" s="9" t="str">
        <f t="shared" si="23"/>
        <v>4D</v>
      </c>
      <c r="BH83" s="19" t="b">
        <v>0</v>
      </c>
      <c r="BI83" s="9" t="s">
        <v>189</v>
      </c>
      <c r="BJ83" s="9" t="s">
        <v>188</v>
      </c>
      <c r="BK83" s="9" t="s">
        <v>188</v>
      </c>
      <c r="BL83" s="9" t="s">
        <v>190</v>
      </c>
      <c r="BM83" s="19" t="b">
        <v>0</v>
      </c>
    </row>
    <row r="84" s="29" customFormat="1" ht="106" customHeight="1" spans="1:65">
      <c r="A84" s="4" t="s">
        <v>446</v>
      </c>
      <c r="B84" s="9" t="s">
        <v>447</v>
      </c>
      <c r="C84" s="6" t="s">
        <v>29</v>
      </c>
      <c r="D84" s="17" t="s">
        <v>356</v>
      </c>
      <c r="E84" s="9" t="s">
        <v>173</v>
      </c>
      <c r="F84" s="4" t="s">
        <v>31</v>
      </c>
      <c r="G84" s="4" t="s">
        <v>32</v>
      </c>
      <c r="H84" s="7" t="s">
        <v>174</v>
      </c>
      <c r="I84" s="7" t="s">
        <v>175</v>
      </c>
      <c r="J84" s="7"/>
      <c r="K84" s="7" t="s">
        <v>176</v>
      </c>
      <c r="L84" s="7"/>
      <c r="M84" s="106"/>
      <c r="N84" s="106"/>
      <c r="O84" s="7"/>
      <c r="P84" s="7"/>
      <c r="Q84" s="7"/>
      <c r="R84" s="7"/>
      <c r="S84" s="7"/>
      <c r="T84" s="106"/>
      <c r="U84" s="7"/>
      <c r="V84" s="106"/>
      <c r="W84" s="7" t="s">
        <v>177</v>
      </c>
      <c r="X84" s="7" t="s">
        <v>178</v>
      </c>
      <c r="Y84" s="7" t="s">
        <v>177</v>
      </c>
      <c r="Z84" s="7" t="s">
        <v>178</v>
      </c>
      <c r="AA84" s="7" t="s">
        <v>178</v>
      </c>
      <c r="AB84" s="7"/>
      <c r="AC84" s="7" t="s">
        <v>179</v>
      </c>
      <c r="AD84" s="7" t="s">
        <v>173</v>
      </c>
      <c r="AE84" s="7" t="s">
        <v>209</v>
      </c>
      <c r="AF84" s="7"/>
      <c r="AG84" s="7"/>
      <c r="AH84" s="7" t="s">
        <v>181</v>
      </c>
      <c r="AI84" s="114" t="s">
        <v>357</v>
      </c>
      <c r="AJ84" s="95" t="s">
        <v>183</v>
      </c>
      <c r="AK84" s="95" t="s">
        <v>45</v>
      </c>
      <c r="AL84" s="95" t="s">
        <v>345</v>
      </c>
      <c r="AM84" s="95">
        <v>3</v>
      </c>
      <c r="AN84" s="7"/>
      <c r="AO84" s="7" t="s">
        <v>185</v>
      </c>
      <c r="AP84" s="7" t="s">
        <v>186</v>
      </c>
      <c r="AQ84" s="7" t="s">
        <v>34</v>
      </c>
      <c r="AR84" s="7" t="s">
        <v>174</v>
      </c>
      <c r="AS84" s="7" t="s">
        <v>33</v>
      </c>
      <c r="AT84" s="7" t="s">
        <v>36</v>
      </c>
      <c r="AU84" s="7"/>
      <c r="AV84" s="7"/>
      <c r="AW84" s="7"/>
      <c r="AX84" s="7"/>
      <c r="AY84" s="7"/>
      <c r="AZ84" s="7">
        <v>35547</v>
      </c>
      <c r="BA84" s="13" t="s">
        <v>448</v>
      </c>
      <c r="BB84" s="13" t="s">
        <v>187</v>
      </c>
      <c r="BC84" s="9">
        <v>200</v>
      </c>
      <c r="BD84" s="9">
        <v>1</v>
      </c>
      <c r="BE84" s="9" t="s">
        <v>188</v>
      </c>
      <c r="BF84" s="9" t="str">
        <f t="shared" si="22"/>
        <v>PhuongTT</v>
      </c>
      <c r="BG84" s="9" t="str">
        <f t="shared" si="23"/>
        <v>4D</v>
      </c>
      <c r="BH84" s="19" t="b">
        <v>0</v>
      </c>
      <c r="BI84" s="9" t="s">
        <v>189</v>
      </c>
      <c r="BJ84" s="9" t="s">
        <v>188</v>
      </c>
      <c r="BK84" s="9" t="s">
        <v>188</v>
      </c>
      <c r="BL84" s="9" t="s">
        <v>190</v>
      </c>
      <c r="BM84" s="19" t="b">
        <v>0</v>
      </c>
    </row>
    <row r="85" s="29" customFormat="1" ht="106" customHeight="1" spans="1:65">
      <c r="A85" s="4" t="s">
        <v>449</v>
      </c>
      <c r="B85" s="9" t="s">
        <v>450</v>
      </c>
      <c r="C85" s="6" t="s">
        <v>29</v>
      </c>
      <c r="D85" s="17" t="s">
        <v>356</v>
      </c>
      <c r="E85" s="9" t="s">
        <v>173</v>
      </c>
      <c r="F85" s="4" t="s">
        <v>31</v>
      </c>
      <c r="G85" s="4" t="s">
        <v>32</v>
      </c>
      <c r="H85" s="7" t="s">
        <v>174</v>
      </c>
      <c r="I85" s="7" t="s">
        <v>175</v>
      </c>
      <c r="J85" s="7"/>
      <c r="K85" s="7" t="s">
        <v>176</v>
      </c>
      <c r="L85" s="7"/>
      <c r="M85" s="106"/>
      <c r="N85" s="106"/>
      <c r="O85" s="7"/>
      <c r="P85" s="7"/>
      <c r="Q85" s="7"/>
      <c r="R85" s="7"/>
      <c r="S85" s="7"/>
      <c r="T85" s="106"/>
      <c r="U85" s="7"/>
      <c r="V85" s="106"/>
      <c r="W85" s="7" t="s">
        <v>177</v>
      </c>
      <c r="X85" s="7" t="s">
        <v>178</v>
      </c>
      <c r="Y85" s="7" t="s">
        <v>177</v>
      </c>
      <c r="Z85" s="7" t="s">
        <v>178</v>
      </c>
      <c r="AA85" s="7" t="s">
        <v>178</v>
      </c>
      <c r="AB85" s="7"/>
      <c r="AC85" s="7" t="s">
        <v>179</v>
      </c>
      <c r="AD85" s="7" t="s">
        <v>173</v>
      </c>
      <c r="AE85" s="7" t="s">
        <v>211</v>
      </c>
      <c r="AF85" s="7"/>
      <c r="AG85" s="7"/>
      <c r="AH85" s="7" t="s">
        <v>181</v>
      </c>
      <c r="AI85" s="114" t="s">
        <v>357</v>
      </c>
      <c r="AJ85" s="95" t="s">
        <v>183</v>
      </c>
      <c r="AK85" s="95" t="s">
        <v>451</v>
      </c>
      <c r="AL85" s="95" t="s">
        <v>452</v>
      </c>
      <c r="AM85" s="95">
        <v>0</v>
      </c>
      <c r="AN85" s="7"/>
      <c r="AO85" s="7" t="s">
        <v>185</v>
      </c>
      <c r="AP85" s="7" t="s">
        <v>186</v>
      </c>
      <c r="AQ85" s="7" t="s">
        <v>34</v>
      </c>
      <c r="AR85" s="7" t="s">
        <v>174</v>
      </c>
      <c r="AS85" s="7" t="s">
        <v>33</v>
      </c>
      <c r="AT85" s="7" t="s">
        <v>36</v>
      </c>
      <c r="AU85" s="7"/>
      <c r="AV85" s="7"/>
      <c r="AW85" s="7"/>
      <c r="AX85" s="7"/>
      <c r="AY85" s="7"/>
      <c r="AZ85" s="7" t="s">
        <v>36</v>
      </c>
      <c r="BA85" s="13"/>
      <c r="BB85" s="13" t="s">
        <v>187</v>
      </c>
      <c r="BC85" s="9">
        <v>200</v>
      </c>
      <c r="BD85" s="9">
        <v>1</v>
      </c>
      <c r="BE85" s="9" t="s">
        <v>188</v>
      </c>
      <c r="BF85" s="9" t="str">
        <f t="shared" si="22"/>
        <v>PhuongTT</v>
      </c>
      <c r="BG85" s="9" t="str">
        <f t="shared" si="23"/>
        <v>4D</v>
      </c>
      <c r="BH85" s="19" t="b">
        <v>0</v>
      </c>
      <c r="BI85" s="9" t="s">
        <v>189</v>
      </c>
      <c r="BJ85" s="9" t="s">
        <v>188</v>
      </c>
      <c r="BK85" s="9" t="s">
        <v>188</v>
      </c>
      <c r="BL85" s="9" t="s">
        <v>190</v>
      </c>
      <c r="BM85" s="19" t="b">
        <v>0</v>
      </c>
    </row>
    <row r="86" s="29" customFormat="1" ht="106" customHeight="1" spans="1:65">
      <c r="A86" s="4" t="s">
        <v>453</v>
      </c>
      <c r="B86" s="10" t="s">
        <v>454</v>
      </c>
      <c r="C86" s="6" t="s">
        <v>29</v>
      </c>
      <c r="D86" s="17" t="s">
        <v>356</v>
      </c>
      <c r="E86" s="9" t="s">
        <v>173</v>
      </c>
      <c r="F86" s="4" t="s">
        <v>31</v>
      </c>
      <c r="G86" s="4" t="s">
        <v>32</v>
      </c>
      <c r="H86" s="7" t="s">
        <v>174</v>
      </c>
      <c r="I86" s="7" t="s">
        <v>175</v>
      </c>
      <c r="J86" s="7"/>
      <c r="K86" s="7" t="s">
        <v>176</v>
      </c>
      <c r="L86" s="7"/>
      <c r="M86" s="106"/>
      <c r="N86" s="106"/>
      <c r="O86" s="7"/>
      <c r="P86" s="7"/>
      <c r="Q86" s="7"/>
      <c r="R86" s="7"/>
      <c r="S86" s="7"/>
      <c r="T86" s="106"/>
      <c r="U86" s="7"/>
      <c r="V86" s="106"/>
      <c r="W86" s="7" t="s">
        <v>177</v>
      </c>
      <c r="X86" s="7" t="s">
        <v>178</v>
      </c>
      <c r="Y86" s="7" t="s">
        <v>177</v>
      </c>
      <c r="Z86" s="7" t="s">
        <v>178</v>
      </c>
      <c r="AA86" s="7" t="s">
        <v>178</v>
      </c>
      <c r="AB86" s="7"/>
      <c r="AC86" s="7" t="s">
        <v>179</v>
      </c>
      <c r="AD86" s="7" t="s">
        <v>173</v>
      </c>
      <c r="AE86" s="7" t="s">
        <v>213</v>
      </c>
      <c r="AF86" s="7"/>
      <c r="AG86" s="7"/>
      <c r="AH86" s="7" t="s">
        <v>181</v>
      </c>
      <c r="AI86" s="114" t="s">
        <v>357</v>
      </c>
      <c r="AJ86" s="95" t="s">
        <v>183</v>
      </c>
      <c r="AK86" s="95" t="s">
        <v>451</v>
      </c>
      <c r="AL86" s="95" t="s">
        <v>452</v>
      </c>
      <c r="AM86" s="95">
        <v>1</v>
      </c>
      <c r="AN86" s="7"/>
      <c r="AO86" s="7" t="s">
        <v>185</v>
      </c>
      <c r="AP86" s="7" t="s">
        <v>186</v>
      </c>
      <c r="AQ86" s="7" t="s">
        <v>34</v>
      </c>
      <c r="AR86" s="7" t="s">
        <v>174</v>
      </c>
      <c r="AS86" s="7" t="s">
        <v>33</v>
      </c>
      <c r="AT86" s="7" t="s">
        <v>36</v>
      </c>
      <c r="AU86" s="7"/>
      <c r="AV86" s="7"/>
      <c r="AW86" s="7"/>
      <c r="AX86" s="7"/>
      <c r="AY86" s="7"/>
      <c r="AZ86" s="7" t="s">
        <v>36</v>
      </c>
      <c r="BA86" s="13"/>
      <c r="BB86" s="13" t="s">
        <v>187</v>
      </c>
      <c r="BC86" s="9">
        <v>200</v>
      </c>
      <c r="BD86" s="9">
        <v>1</v>
      </c>
      <c r="BE86" s="9" t="s">
        <v>188</v>
      </c>
      <c r="BF86" s="9" t="str">
        <f t="shared" si="22"/>
        <v>PhuongTT</v>
      </c>
      <c r="BG86" s="9" t="str">
        <f t="shared" si="23"/>
        <v>4D</v>
      </c>
      <c r="BH86" s="19" t="b">
        <v>0</v>
      </c>
      <c r="BI86" s="9" t="s">
        <v>189</v>
      </c>
      <c r="BJ86" s="9" t="s">
        <v>188</v>
      </c>
      <c r="BK86" s="9" t="s">
        <v>188</v>
      </c>
      <c r="BL86" s="9" t="s">
        <v>190</v>
      </c>
      <c r="BM86" s="19" t="b">
        <v>0</v>
      </c>
    </row>
    <row r="87" ht="106" customHeight="1" spans="1:65">
      <c r="A87" s="4" t="s">
        <v>455</v>
      </c>
      <c r="B87" s="10" t="s">
        <v>456</v>
      </c>
      <c r="C87" s="119" t="s">
        <v>29</v>
      </c>
      <c r="D87" s="17" t="s">
        <v>356</v>
      </c>
      <c r="E87" s="9" t="s">
        <v>173</v>
      </c>
      <c r="F87" s="4" t="s">
        <v>31</v>
      </c>
      <c r="G87" s="4" t="s">
        <v>32</v>
      </c>
      <c r="H87" s="7" t="s">
        <v>174</v>
      </c>
      <c r="I87" s="7" t="s">
        <v>175</v>
      </c>
      <c r="J87" s="7"/>
      <c r="K87" s="7" t="s">
        <v>176</v>
      </c>
      <c r="L87" s="7"/>
      <c r="M87" s="106"/>
      <c r="N87" s="106"/>
      <c r="O87" s="7"/>
      <c r="P87" s="7"/>
      <c r="Q87" s="7"/>
      <c r="R87" s="7"/>
      <c r="S87" s="7"/>
      <c r="T87" s="106"/>
      <c r="U87" s="7"/>
      <c r="V87" s="106"/>
      <c r="W87" s="7" t="s">
        <v>177</v>
      </c>
      <c r="X87" s="7" t="s">
        <v>178</v>
      </c>
      <c r="Y87" s="7" t="s">
        <v>177</v>
      </c>
      <c r="Z87" s="7" t="s">
        <v>178</v>
      </c>
      <c r="AA87" s="7" t="s">
        <v>178</v>
      </c>
      <c r="AB87" s="7"/>
      <c r="AC87" s="7" t="s">
        <v>179</v>
      </c>
      <c r="AD87" s="7" t="s">
        <v>173</v>
      </c>
      <c r="AE87" s="7" t="s">
        <v>215</v>
      </c>
      <c r="AF87" s="9"/>
      <c r="AG87" s="9"/>
      <c r="AH87" s="7" t="s">
        <v>181</v>
      </c>
      <c r="AI87" s="114" t="s">
        <v>357</v>
      </c>
      <c r="AJ87" s="95" t="s">
        <v>183</v>
      </c>
      <c r="AK87" s="95" t="s">
        <v>451</v>
      </c>
      <c r="AL87" s="95" t="s">
        <v>452</v>
      </c>
      <c r="AM87" s="95">
        <v>2</v>
      </c>
      <c r="AN87" s="7"/>
      <c r="AO87" s="7" t="s">
        <v>185</v>
      </c>
      <c r="AP87" s="7" t="s">
        <v>186</v>
      </c>
      <c r="AQ87" s="7" t="s">
        <v>34</v>
      </c>
      <c r="AR87" s="7" t="s">
        <v>174</v>
      </c>
      <c r="AS87" s="7" t="s">
        <v>33</v>
      </c>
      <c r="AT87" s="7" t="s">
        <v>36</v>
      </c>
      <c r="AU87" s="7"/>
      <c r="AV87" s="7"/>
      <c r="AW87" s="7"/>
      <c r="AX87" s="7"/>
      <c r="AY87" s="7"/>
      <c r="AZ87" s="7" t="s">
        <v>36</v>
      </c>
      <c r="BA87" s="13"/>
      <c r="BB87" s="13" t="s">
        <v>187</v>
      </c>
      <c r="BC87" s="9">
        <v>200</v>
      </c>
      <c r="BD87" s="9">
        <v>1</v>
      </c>
      <c r="BE87" s="9" t="s">
        <v>188</v>
      </c>
      <c r="BF87" s="9" t="str">
        <f t="shared" si="22"/>
        <v>PhuongTT</v>
      </c>
      <c r="BG87" s="9" t="str">
        <f t="shared" si="23"/>
        <v>4D</v>
      </c>
      <c r="BH87" s="19" t="b">
        <v>0</v>
      </c>
      <c r="BI87" s="9" t="s">
        <v>189</v>
      </c>
      <c r="BJ87" s="9" t="s">
        <v>188</v>
      </c>
      <c r="BK87" s="9" t="s">
        <v>188</v>
      </c>
      <c r="BL87" s="9" t="s">
        <v>190</v>
      </c>
      <c r="BM87" s="19" t="b">
        <v>0</v>
      </c>
    </row>
    <row r="88" ht="106" customHeight="1" spans="1:65">
      <c r="A88" s="4" t="s">
        <v>457</v>
      </c>
      <c r="B88" s="10" t="s">
        <v>458</v>
      </c>
      <c r="C88" s="119" t="s">
        <v>29</v>
      </c>
      <c r="D88" s="17" t="s">
        <v>356</v>
      </c>
      <c r="E88" s="9" t="s">
        <v>173</v>
      </c>
      <c r="F88" s="4" t="s">
        <v>31</v>
      </c>
      <c r="G88" s="4" t="s">
        <v>32</v>
      </c>
      <c r="H88" s="7" t="s">
        <v>174</v>
      </c>
      <c r="I88" s="7" t="s">
        <v>175</v>
      </c>
      <c r="J88" s="7"/>
      <c r="K88" s="7" t="s">
        <v>176</v>
      </c>
      <c r="L88" s="7"/>
      <c r="M88" s="106"/>
      <c r="N88" s="106"/>
      <c r="O88" s="7"/>
      <c r="P88" s="7"/>
      <c r="Q88" s="7"/>
      <c r="R88" s="7"/>
      <c r="S88" s="7"/>
      <c r="T88" s="106"/>
      <c r="U88" s="7"/>
      <c r="V88" s="106"/>
      <c r="W88" s="7" t="s">
        <v>177</v>
      </c>
      <c r="X88" s="7" t="s">
        <v>178</v>
      </c>
      <c r="Y88" s="7" t="s">
        <v>177</v>
      </c>
      <c r="Z88" s="7" t="s">
        <v>178</v>
      </c>
      <c r="AA88" s="7" t="s">
        <v>178</v>
      </c>
      <c r="AB88" s="7"/>
      <c r="AC88" s="7" t="s">
        <v>179</v>
      </c>
      <c r="AD88" s="7" t="s">
        <v>173</v>
      </c>
      <c r="AE88" s="7" t="s">
        <v>217</v>
      </c>
      <c r="AF88" s="9"/>
      <c r="AG88" s="9"/>
      <c r="AH88" s="7" t="s">
        <v>181</v>
      </c>
      <c r="AI88" s="114" t="s">
        <v>357</v>
      </c>
      <c r="AJ88" s="95" t="s">
        <v>183</v>
      </c>
      <c r="AK88" s="95" t="s">
        <v>451</v>
      </c>
      <c r="AL88" s="95" t="s">
        <v>452</v>
      </c>
      <c r="AM88" s="95">
        <v>3</v>
      </c>
      <c r="AN88" s="7"/>
      <c r="AO88" s="7" t="s">
        <v>185</v>
      </c>
      <c r="AP88" s="7" t="s">
        <v>186</v>
      </c>
      <c r="AQ88" s="7" t="s">
        <v>34</v>
      </c>
      <c r="AR88" s="7" t="s">
        <v>174</v>
      </c>
      <c r="AS88" s="7" t="s">
        <v>33</v>
      </c>
      <c r="AT88" s="7" t="s">
        <v>36</v>
      </c>
      <c r="AU88" s="7"/>
      <c r="AV88" s="7"/>
      <c r="AW88" s="7"/>
      <c r="AX88" s="7"/>
      <c r="AY88" s="7"/>
      <c r="AZ88" s="7" t="s">
        <v>36</v>
      </c>
      <c r="BA88" s="13"/>
      <c r="BB88" s="13" t="s">
        <v>187</v>
      </c>
      <c r="BC88" s="9">
        <v>200</v>
      </c>
      <c r="BD88" s="9">
        <v>1</v>
      </c>
      <c r="BE88" s="9" t="s">
        <v>188</v>
      </c>
      <c r="BF88" s="9" t="str">
        <f t="shared" si="22"/>
        <v>PhuongTT</v>
      </c>
      <c r="BG88" s="9" t="str">
        <f t="shared" si="23"/>
        <v>4D</v>
      </c>
      <c r="BH88" s="19" t="b">
        <v>0</v>
      </c>
      <c r="BI88" s="9" t="s">
        <v>189</v>
      </c>
      <c r="BJ88" s="9" t="s">
        <v>188</v>
      </c>
      <c r="BK88" s="9" t="s">
        <v>188</v>
      </c>
      <c r="BL88" s="9" t="s">
        <v>190</v>
      </c>
      <c r="BM88" s="19" t="b">
        <v>0</v>
      </c>
    </row>
    <row r="89" ht="106" customHeight="1" spans="1:65">
      <c r="A89" s="4" t="s">
        <v>457</v>
      </c>
      <c r="B89" s="10" t="s">
        <v>459</v>
      </c>
      <c r="C89" s="119" t="s">
        <v>29</v>
      </c>
      <c r="D89" s="17" t="s">
        <v>356</v>
      </c>
      <c r="E89" s="9" t="s">
        <v>173</v>
      </c>
      <c r="F89" s="4" t="s">
        <v>31</v>
      </c>
      <c r="G89" s="4" t="s">
        <v>32</v>
      </c>
      <c r="H89" s="7" t="s">
        <v>174</v>
      </c>
      <c r="I89" s="7" t="s">
        <v>175</v>
      </c>
      <c r="J89" s="7"/>
      <c r="K89" s="7" t="s">
        <v>176</v>
      </c>
      <c r="L89" s="7"/>
      <c r="M89" s="106"/>
      <c r="N89" s="106"/>
      <c r="O89" s="7"/>
      <c r="P89" s="7"/>
      <c r="Q89" s="7"/>
      <c r="R89" s="7"/>
      <c r="S89" s="7"/>
      <c r="T89" s="106"/>
      <c r="U89" s="7"/>
      <c r="V89" s="106"/>
      <c r="W89" s="7" t="s">
        <v>177</v>
      </c>
      <c r="X89" s="7" t="s">
        <v>178</v>
      </c>
      <c r="Y89" s="7" t="s">
        <v>177</v>
      </c>
      <c r="Z89" s="7" t="s">
        <v>178</v>
      </c>
      <c r="AA89" s="7" t="s">
        <v>178</v>
      </c>
      <c r="AB89" s="7"/>
      <c r="AC89" s="7" t="s">
        <v>179</v>
      </c>
      <c r="AD89" s="7" t="s">
        <v>173</v>
      </c>
      <c r="AE89" s="7" t="s">
        <v>219</v>
      </c>
      <c r="AF89" s="9"/>
      <c r="AG89" s="9"/>
      <c r="AH89" s="7" t="s">
        <v>181</v>
      </c>
      <c r="AI89" s="114" t="s">
        <v>357</v>
      </c>
      <c r="AJ89" s="95" t="s">
        <v>183</v>
      </c>
      <c r="AK89" s="95" t="s">
        <v>460</v>
      </c>
      <c r="AL89" s="95" t="s">
        <v>461</v>
      </c>
      <c r="AM89" s="95">
        <v>0</v>
      </c>
      <c r="AN89" s="7"/>
      <c r="AO89" s="7" t="s">
        <v>185</v>
      </c>
      <c r="AP89" s="7" t="s">
        <v>186</v>
      </c>
      <c r="AQ89" s="7" t="s">
        <v>34</v>
      </c>
      <c r="AR89" s="7" t="s">
        <v>174</v>
      </c>
      <c r="AS89" s="7" t="s">
        <v>33</v>
      </c>
      <c r="AT89" s="7" t="s">
        <v>36</v>
      </c>
      <c r="AU89" s="7"/>
      <c r="AV89" s="7"/>
      <c r="AW89" s="7"/>
      <c r="AX89" s="7"/>
      <c r="AY89" s="7"/>
      <c r="AZ89" s="7" t="s">
        <v>36</v>
      </c>
      <c r="BA89" s="13"/>
      <c r="BB89" s="13" t="s">
        <v>187</v>
      </c>
      <c r="BC89" s="9">
        <v>200</v>
      </c>
      <c r="BD89" s="9">
        <v>1</v>
      </c>
      <c r="BE89" s="9" t="s">
        <v>188</v>
      </c>
      <c r="BF89" s="9" t="str">
        <f t="shared" si="22"/>
        <v>PhuongTT</v>
      </c>
      <c r="BG89" s="9" t="str">
        <f t="shared" si="23"/>
        <v>4D</v>
      </c>
      <c r="BH89" s="19" t="b">
        <v>0</v>
      </c>
      <c r="BI89" s="9" t="s">
        <v>189</v>
      </c>
      <c r="BJ89" s="9" t="s">
        <v>188</v>
      </c>
      <c r="BK89" s="9" t="s">
        <v>188</v>
      </c>
      <c r="BL89" s="9" t="s">
        <v>190</v>
      </c>
      <c r="BM89" s="19" t="b">
        <v>0</v>
      </c>
    </row>
    <row r="90" ht="106" customHeight="1" spans="1:65">
      <c r="A90" s="4" t="s">
        <v>462</v>
      </c>
      <c r="B90" s="10" t="s">
        <v>463</v>
      </c>
      <c r="C90" s="119" t="s">
        <v>29</v>
      </c>
      <c r="D90" s="17" t="s">
        <v>356</v>
      </c>
      <c r="E90" s="9" t="s">
        <v>173</v>
      </c>
      <c r="F90" s="4" t="s">
        <v>31</v>
      </c>
      <c r="G90" s="4" t="s">
        <v>32</v>
      </c>
      <c r="H90" s="7" t="s">
        <v>174</v>
      </c>
      <c r="I90" s="7" t="s">
        <v>175</v>
      </c>
      <c r="J90" s="7"/>
      <c r="K90" s="7" t="s">
        <v>176</v>
      </c>
      <c r="L90" s="7"/>
      <c r="M90" s="106"/>
      <c r="N90" s="106"/>
      <c r="O90" s="7"/>
      <c r="P90" s="7"/>
      <c r="Q90" s="7"/>
      <c r="R90" s="7"/>
      <c r="S90" s="7"/>
      <c r="T90" s="106"/>
      <c r="U90" s="7"/>
      <c r="V90" s="106"/>
      <c r="W90" s="7" t="s">
        <v>177</v>
      </c>
      <c r="X90" s="7" t="s">
        <v>178</v>
      </c>
      <c r="Y90" s="7" t="s">
        <v>177</v>
      </c>
      <c r="Z90" s="7" t="s">
        <v>178</v>
      </c>
      <c r="AA90" s="7" t="s">
        <v>178</v>
      </c>
      <c r="AB90" s="7"/>
      <c r="AC90" s="7" t="s">
        <v>179</v>
      </c>
      <c r="AD90" s="7" t="s">
        <v>173</v>
      </c>
      <c r="AE90" s="7" t="s">
        <v>221</v>
      </c>
      <c r="AF90" s="9"/>
      <c r="AG90" s="9"/>
      <c r="AH90" s="7" t="s">
        <v>181</v>
      </c>
      <c r="AI90" s="114" t="s">
        <v>357</v>
      </c>
      <c r="AJ90" s="95" t="s">
        <v>183</v>
      </c>
      <c r="AK90" s="95" t="s">
        <v>460</v>
      </c>
      <c r="AL90" s="95" t="s">
        <v>461</v>
      </c>
      <c r="AM90" s="95">
        <v>1</v>
      </c>
      <c r="AN90" s="7"/>
      <c r="AO90" s="7" t="s">
        <v>185</v>
      </c>
      <c r="AP90" s="7" t="s">
        <v>186</v>
      </c>
      <c r="AQ90" s="7" t="s">
        <v>34</v>
      </c>
      <c r="AR90" s="7" t="s">
        <v>174</v>
      </c>
      <c r="AS90" s="7" t="s">
        <v>33</v>
      </c>
      <c r="AT90" s="7" t="s">
        <v>36</v>
      </c>
      <c r="AU90" s="7"/>
      <c r="AV90" s="7"/>
      <c r="AW90" s="7"/>
      <c r="AX90" s="7"/>
      <c r="AY90" s="7"/>
      <c r="AZ90" s="7" t="s">
        <v>36</v>
      </c>
      <c r="BA90" s="13"/>
      <c r="BB90" s="13" t="s">
        <v>187</v>
      </c>
      <c r="BC90" s="9">
        <v>200</v>
      </c>
      <c r="BD90" s="9">
        <v>1</v>
      </c>
      <c r="BE90" s="9" t="s">
        <v>188</v>
      </c>
      <c r="BF90" s="9" t="str">
        <f t="shared" si="22"/>
        <v>PhuongTT</v>
      </c>
      <c r="BG90" s="9" t="str">
        <f t="shared" si="23"/>
        <v>4D</v>
      </c>
      <c r="BH90" s="19" t="b">
        <v>0</v>
      </c>
      <c r="BI90" s="9" t="s">
        <v>189</v>
      </c>
      <c r="BJ90" s="9" t="s">
        <v>188</v>
      </c>
      <c r="BK90" s="9" t="s">
        <v>188</v>
      </c>
      <c r="BL90" s="9" t="s">
        <v>190</v>
      </c>
      <c r="BM90" s="19" t="b">
        <v>0</v>
      </c>
    </row>
  </sheetData>
  <mergeCells count="14">
    <mergeCell ref="B2:D2"/>
    <mergeCell ref="B3:D3"/>
    <mergeCell ref="B9:F9"/>
    <mergeCell ref="B15:F15"/>
    <mergeCell ref="B21:F21"/>
    <mergeCell ref="B27:F27"/>
    <mergeCell ref="B33:F33"/>
    <mergeCell ref="B39:D39"/>
    <mergeCell ref="B40:D40"/>
    <mergeCell ref="B46:F46"/>
    <mergeCell ref="B52:F52"/>
    <mergeCell ref="B58:F58"/>
    <mergeCell ref="B64:F64"/>
    <mergeCell ref="B70:F70"/>
  </mergeCells>
  <hyperlinks>
    <hyperlink ref="K41" r:id="rId3" display="vnpay00@vnpay.vn"/>
    <hyperlink ref="K42" r:id="rId3" display="vnpay00@vnpay.vn"/>
    <hyperlink ref="K43" r:id="rId3" display="vnpay00@vnpay.vn"/>
    <hyperlink ref="K44" r:id="rId3" display="vnpay00@vnpay.vn"/>
    <hyperlink ref="K45" r:id="rId3" display="vnpay00@vnpay.vn"/>
    <hyperlink ref="K47" r:id="rId3" display="vnpay00@vnpay.vn"/>
    <hyperlink ref="K48" r:id="rId3" display="vnpay00@vnpay.vn"/>
    <hyperlink ref="K49" r:id="rId3" display="vnpay00@vnpay.vn"/>
    <hyperlink ref="K50" r:id="rId3" display="vnpay00@vnpay.vn"/>
    <hyperlink ref="K51" r:id="rId3" display="vnpay00@vnpay.vn"/>
    <hyperlink ref="K53" r:id="rId3" display="vnpay00@vnpay.vn"/>
    <hyperlink ref="K54" r:id="rId3" display="vnpay00@vnpay.vn"/>
    <hyperlink ref="K55" r:id="rId3" display="vnpay00@vnpay.vn"/>
    <hyperlink ref="K56" r:id="rId3" display="vnpay00@vnpay.vn"/>
    <hyperlink ref="K57" r:id="rId3" display="vnpay00@vnpay.vn"/>
    <hyperlink ref="K59" r:id="rId3" display="vnpay00@vnpay.vn"/>
    <hyperlink ref="K60" r:id="rId3" display="vnpay00@vnpay.vn"/>
    <hyperlink ref="K61" r:id="rId3" display="vnpay00@vnpay.vn"/>
    <hyperlink ref="K62" r:id="rId3" display="vnpay00@vnpay.vn"/>
    <hyperlink ref="K63" r:id="rId3" display="vnpay00@vnpay.vn"/>
    <hyperlink ref="K65" r:id="rId3" display="vnpay00@vnpay.vn"/>
    <hyperlink ref="K66" r:id="rId3" display="vnpay00@vnpay.vn"/>
    <hyperlink ref="K67" r:id="rId3" display="vnpay00@vnpay.vn"/>
    <hyperlink ref="K68" r:id="rId3" display="vnpay00@vnpay.vn"/>
    <hyperlink ref="K69" r:id="rId3" display="vnpay00@vnpay.vn"/>
    <hyperlink ref="K71" r:id="rId3" display="vnpay00@vnpay.vn"/>
    <hyperlink ref="K72" r:id="rId3" display="vnpay00@vnpay.vn"/>
    <hyperlink ref="K73" r:id="rId3" display="vnpay00@vnpay.vn"/>
    <hyperlink ref="K74" r:id="rId3" display="vnpay00@vnpay.vn"/>
    <hyperlink ref="K75" r:id="rId3" display="vnpay00@vnpay.vn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A13"/>
  <sheetViews>
    <sheetView zoomScale="85" zoomScaleNormal="85" workbookViewId="0">
      <pane ySplit="1" topLeftCell="A2" activePane="bottomLeft" state="frozen"/>
      <selection/>
      <selection pane="bottomLeft" activeCell="A2" sqref="$A2:$XFD2"/>
    </sheetView>
  </sheetViews>
  <sheetFormatPr defaultColWidth="9.14285714285714" defaultRowHeight="30" customHeight="1"/>
  <cols>
    <col min="1" max="1" width="18.152380952381" style="1" customWidth="1"/>
    <col min="2" max="2" width="31" style="1" customWidth="1"/>
    <col min="3" max="3" width="23.1904761904762" style="1" customWidth="1"/>
    <col min="4" max="4" width="43.8571428571429" style="1" customWidth="1"/>
    <col min="5" max="12" width="17.8380952380952" style="1" customWidth="1"/>
    <col min="13" max="14" width="17.8380952380952" style="23" customWidth="1"/>
    <col min="15" max="21" width="17.8380952380952" style="1" customWidth="1"/>
    <col min="22" max="22" width="17.8380952380952" style="23" customWidth="1"/>
    <col min="23" max="36" width="17.8380952380952" style="1" customWidth="1"/>
    <col min="37" max="38" width="17.8380952380952" style="102" customWidth="1"/>
    <col min="39" max="52" width="17.8380952380952" style="1" customWidth="1"/>
    <col min="53" max="60" width="17.8380952380952" style="29" customWidth="1"/>
    <col min="61" max="62" width="17.8380952380952" style="103" customWidth="1"/>
    <col min="63" max="69" width="17.8380952380952" style="29" customWidth="1"/>
    <col min="70" max="70" width="17.8380952380952" style="103" customWidth="1"/>
    <col min="71" max="100" width="17.8380952380952" style="29" customWidth="1"/>
    <col min="101" max="108" width="17.8380952380952" style="1" customWidth="1"/>
    <col min="109" max="110" width="17.8380952380952" style="23" customWidth="1"/>
    <col min="111" max="117" width="17.8380952380952" style="1" customWidth="1"/>
    <col min="118" max="118" width="17.8380952380952" style="23" customWidth="1"/>
    <col min="119" max="148" width="17.8380952380952" style="1" customWidth="1"/>
    <col min="149" max="156" width="17.8380952380952" style="29" customWidth="1"/>
    <col min="157" max="158" width="17.8380952380952" style="103" customWidth="1"/>
    <col min="159" max="165" width="17.8380952380952" style="29" customWidth="1"/>
    <col min="166" max="166" width="17.8380952380952" style="103" customWidth="1"/>
    <col min="167" max="196" width="17.8380952380952" style="29" customWidth="1"/>
    <col min="197" max="197" width="31.4285714285714" style="1" customWidth="1"/>
    <col min="198" max="202" width="18.9428571428571" style="1" customWidth="1"/>
    <col min="203" max="203" width="18.9428571428571" style="16" customWidth="1"/>
    <col min="204" max="207" width="18.9428571428571" style="1" customWidth="1"/>
    <col min="208" max="208" width="18.9428571428571" style="16" customWidth="1"/>
    <col min="209" max="211" width="18.9428571428571" style="1" customWidth="1"/>
    <col min="212" max="212" width="18.9428571428571" style="16" customWidth="1"/>
    <col min="213" max="216" width="18.9428571428571" style="1" customWidth="1"/>
    <col min="217" max="217" width="18.9428571428571" style="16" customWidth="1"/>
    <col min="218" max="220" width="18.9428571428571" style="1" customWidth="1"/>
    <col min="221" max="221" width="18.9428571428571" style="16" customWidth="1"/>
    <col min="222" max="225" width="18.9428571428571" style="1" customWidth="1"/>
    <col min="226" max="226" width="18.9428571428571" style="16" customWidth="1"/>
    <col min="227" max="229" width="18.9428571428571" style="1" customWidth="1"/>
    <col min="230" max="230" width="18.9428571428571" style="16" customWidth="1"/>
    <col min="231" max="234" width="18.9428571428571" style="1" customWidth="1"/>
    <col min="235" max="235" width="18.9428571428571" style="16" customWidth="1"/>
    <col min="236" max="16384" width="9.14285714285714" style="1"/>
  </cols>
  <sheetData>
    <row r="1" s="1" customFormat="1" ht="46" customHeight="1" spans="1:235">
      <c r="A1" s="2" t="s">
        <v>0</v>
      </c>
      <c r="B1" s="2" t="s">
        <v>1</v>
      </c>
      <c r="C1" s="2" t="s">
        <v>2</v>
      </c>
      <c r="D1" s="2" t="s">
        <v>3</v>
      </c>
      <c r="E1" s="3" t="s">
        <v>113</v>
      </c>
      <c r="F1" s="3" t="s">
        <v>114</v>
      </c>
      <c r="G1" s="3" t="s">
        <v>115</v>
      </c>
      <c r="H1" s="3" t="s">
        <v>116</v>
      </c>
      <c r="I1" s="3" t="s">
        <v>117</v>
      </c>
      <c r="J1" s="3" t="s">
        <v>118</v>
      </c>
      <c r="K1" s="3" t="s">
        <v>119</v>
      </c>
      <c r="L1" s="3" t="s">
        <v>120</v>
      </c>
      <c r="M1" s="105" t="s">
        <v>121</v>
      </c>
      <c r="N1" s="105" t="s">
        <v>122</v>
      </c>
      <c r="O1" s="3" t="s">
        <v>123</v>
      </c>
      <c r="P1" s="3" t="s">
        <v>124</v>
      </c>
      <c r="Q1" s="3" t="s">
        <v>125</v>
      </c>
      <c r="R1" s="3" t="s">
        <v>126</v>
      </c>
      <c r="S1" s="3" t="s">
        <v>127</v>
      </c>
      <c r="T1" s="105" t="s">
        <v>128</v>
      </c>
      <c r="U1" s="3" t="s">
        <v>129</v>
      </c>
      <c r="V1" s="105" t="s">
        <v>130</v>
      </c>
      <c r="W1" s="3" t="s">
        <v>131</v>
      </c>
      <c r="X1" s="3" t="s">
        <v>132</v>
      </c>
      <c r="Y1" s="3" t="s">
        <v>133</v>
      </c>
      <c r="Z1" s="3" t="s">
        <v>134</v>
      </c>
      <c r="AA1" s="3" t="s">
        <v>135</v>
      </c>
      <c r="AB1" s="3" t="s">
        <v>136</v>
      </c>
      <c r="AC1" s="3" t="s">
        <v>137</v>
      </c>
      <c r="AD1" s="3" t="s">
        <v>138</v>
      </c>
      <c r="AE1" s="3" t="s">
        <v>139</v>
      </c>
      <c r="AF1" s="3" t="s">
        <v>140</v>
      </c>
      <c r="AG1" s="3" t="s">
        <v>141</v>
      </c>
      <c r="AH1" s="3" t="s">
        <v>142</v>
      </c>
      <c r="AI1" s="3" t="s">
        <v>143</v>
      </c>
      <c r="AJ1" s="43" t="s">
        <v>144</v>
      </c>
      <c r="AK1" s="108" t="s">
        <v>145</v>
      </c>
      <c r="AL1" s="108" t="s">
        <v>146</v>
      </c>
      <c r="AM1" s="43" t="s">
        <v>147</v>
      </c>
      <c r="AN1" s="3" t="s">
        <v>148</v>
      </c>
      <c r="AO1" s="3" t="s">
        <v>149</v>
      </c>
      <c r="AP1" s="3" t="s">
        <v>150</v>
      </c>
      <c r="AQ1" s="3" t="s">
        <v>151</v>
      </c>
      <c r="AR1" s="3" t="s">
        <v>152</v>
      </c>
      <c r="AS1" s="3" t="s">
        <v>153</v>
      </c>
      <c r="AT1" s="3" t="s">
        <v>154</v>
      </c>
      <c r="AU1" s="3" t="s">
        <v>155</v>
      </c>
      <c r="AV1" s="3" t="s">
        <v>156</v>
      </c>
      <c r="AW1" s="3" t="s">
        <v>157</v>
      </c>
      <c r="AX1" s="3" t="s">
        <v>158</v>
      </c>
      <c r="AY1" s="3" t="s">
        <v>159</v>
      </c>
      <c r="AZ1" s="3" t="s">
        <v>160</v>
      </c>
      <c r="BA1" s="38" t="s">
        <v>464</v>
      </c>
      <c r="BB1" s="38" t="s">
        <v>465</v>
      </c>
      <c r="BC1" s="38" t="s">
        <v>466</v>
      </c>
      <c r="BD1" s="38" t="s">
        <v>467</v>
      </c>
      <c r="BE1" s="38" t="s">
        <v>468</v>
      </c>
      <c r="BF1" s="38" t="s">
        <v>469</v>
      </c>
      <c r="BG1" s="38" t="s">
        <v>470</v>
      </c>
      <c r="BH1" s="38" t="s">
        <v>471</v>
      </c>
      <c r="BI1" s="45" t="s">
        <v>472</v>
      </c>
      <c r="BJ1" s="45" t="s">
        <v>473</v>
      </c>
      <c r="BK1" s="38" t="s">
        <v>474</v>
      </c>
      <c r="BL1" s="38" t="s">
        <v>475</v>
      </c>
      <c r="BM1" s="38" t="s">
        <v>476</v>
      </c>
      <c r="BN1" s="38" t="s">
        <v>477</v>
      </c>
      <c r="BO1" s="38" t="s">
        <v>478</v>
      </c>
      <c r="BP1" s="45" t="s">
        <v>479</v>
      </c>
      <c r="BQ1" s="38" t="s">
        <v>480</v>
      </c>
      <c r="BR1" s="45" t="s">
        <v>481</v>
      </c>
      <c r="BS1" s="38" t="s">
        <v>482</v>
      </c>
      <c r="BT1" s="38" t="s">
        <v>483</v>
      </c>
      <c r="BU1" s="38" t="s">
        <v>484</v>
      </c>
      <c r="BV1" s="38" t="s">
        <v>485</v>
      </c>
      <c r="BW1" s="38" t="s">
        <v>486</v>
      </c>
      <c r="BX1" s="38" t="s">
        <v>487</v>
      </c>
      <c r="BY1" s="38" t="s">
        <v>488</v>
      </c>
      <c r="BZ1" s="38" t="s">
        <v>489</v>
      </c>
      <c r="CA1" s="38" t="s">
        <v>490</v>
      </c>
      <c r="CB1" s="38" t="s">
        <v>491</v>
      </c>
      <c r="CC1" s="38" t="s">
        <v>492</v>
      </c>
      <c r="CD1" s="38" t="s">
        <v>493</v>
      </c>
      <c r="CE1" s="38" t="s">
        <v>494</v>
      </c>
      <c r="CF1" s="54" t="s">
        <v>495</v>
      </c>
      <c r="CG1" s="54" t="s">
        <v>496</v>
      </c>
      <c r="CH1" s="54" t="s">
        <v>497</v>
      </c>
      <c r="CI1" s="54" t="s">
        <v>498</v>
      </c>
      <c r="CJ1" s="38" t="s">
        <v>499</v>
      </c>
      <c r="CK1" s="38" t="s">
        <v>500</v>
      </c>
      <c r="CL1" s="38" t="s">
        <v>501</v>
      </c>
      <c r="CM1" s="38" t="s">
        <v>502</v>
      </c>
      <c r="CN1" s="38" t="s">
        <v>503</v>
      </c>
      <c r="CO1" s="38" t="s">
        <v>504</v>
      </c>
      <c r="CP1" s="38" t="s">
        <v>505</v>
      </c>
      <c r="CQ1" s="38" t="s">
        <v>506</v>
      </c>
      <c r="CR1" s="38" t="s">
        <v>507</v>
      </c>
      <c r="CS1" s="38" t="s">
        <v>508</v>
      </c>
      <c r="CT1" s="38" t="s">
        <v>509</v>
      </c>
      <c r="CU1" s="38" t="s">
        <v>510</v>
      </c>
      <c r="CV1" s="38" t="s">
        <v>511</v>
      </c>
      <c r="CW1" s="3" t="s">
        <v>512</v>
      </c>
      <c r="CX1" s="3" t="s">
        <v>513</v>
      </c>
      <c r="CY1" s="3" t="s">
        <v>514</v>
      </c>
      <c r="CZ1" s="3" t="s">
        <v>515</v>
      </c>
      <c r="DA1" s="3" t="s">
        <v>516</v>
      </c>
      <c r="DB1" s="3" t="s">
        <v>517</v>
      </c>
      <c r="DC1" s="3" t="s">
        <v>518</v>
      </c>
      <c r="DD1" s="3" t="s">
        <v>519</v>
      </c>
      <c r="DE1" s="105" t="s">
        <v>520</v>
      </c>
      <c r="DF1" s="105" t="s">
        <v>521</v>
      </c>
      <c r="DG1" s="3" t="s">
        <v>522</v>
      </c>
      <c r="DH1" s="3" t="s">
        <v>523</v>
      </c>
      <c r="DI1" s="3" t="s">
        <v>524</v>
      </c>
      <c r="DJ1" s="3" t="s">
        <v>525</v>
      </c>
      <c r="DK1" s="3" t="s">
        <v>526</v>
      </c>
      <c r="DL1" s="105" t="s">
        <v>527</v>
      </c>
      <c r="DM1" s="3" t="s">
        <v>528</v>
      </c>
      <c r="DN1" s="105" t="s">
        <v>529</v>
      </c>
      <c r="DO1" s="3" t="s">
        <v>530</v>
      </c>
      <c r="DP1" s="3" t="s">
        <v>531</v>
      </c>
      <c r="DQ1" s="3" t="s">
        <v>532</v>
      </c>
      <c r="DR1" s="3" t="s">
        <v>533</v>
      </c>
      <c r="DS1" s="3" t="s">
        <v>534</v>
      </c>
      <c r="DT1" s="3" t="s">
        <v>535</v>
      </c>
      <c r="DU1" s="3" t="s">
        <v>536</v>
      </c>
      <c r="DV1" s="3" t="s">
        <v>537</v>
      </c>
      <c r="DW1" s="3" t="s">
        <v>538</v>
      </c>
      <c r="DX1" s="3" t="s">
        <v>539</v>
      </c>
      <c r="DY1" s="3" t="s">
        <v>540</v>
      </c>
      <c r="DZ1" s="3" t="s">
        <v>541</v>
      </c>
      <c r="EA1" s="3" t="s">
        <v>542</v>
      </c>
      <c r="EB1" s="43" t="s">
        <v>543</v>
      </c>
      <c r="EC1" s="43" t="s">
        <v>544</v>
      </c>
      <c r="ED1" s="43" t="s">
        <v>545</v>
      </c>
      <c r="EE1" s="43" t="s">
        <v>546</v>
      </c>
      <c r="EF1" s="3" t="s">
        <v>547</v>
      </c>
      <c r="EG1" s="3" t="s">
        <v>548</v>
      </c>
      <c r="EH1" s="3" t="s">
        <v>549</v>
      </c>
      <c r="EI1" s="3" t="s">
        <v>550</v>
      </c>
      <c r="EJ1" s="3" t="s">
        <v>551</v>
      </c>
      <c r="EK1" s="3" t="s">
        <v>552</v>
      </c>
      <c r="EL1" s="3" t="s">
        <v>553</v>
      </c>
      <c r="EM1" s="3" t="s">
        <v>554</v>
      </c>
      <c r="EN1" s="3" t="s">
        <v>555</v>
      </c>
      <c r="EO1" s="3" t="s">
        <v>556</v>
      </c>
      <c r="EP1" s="3" t="s">
        <v>557</v>
      </c>
      <c r="EQ1" s="3" t="s">
        <v>558</v>
      </c>
      <c r="ER1" s="3" t="s">
        <v>559</v>
      </c>
      <c r="ES1" s="38" t="s">
        <v>560</v>
      </c>
      <c r="ET1" s="38" t="s">
        <v>561</v>
      </c>
      <c r="EU1" s="38" t="s">
        <v>562</v>
      </c>
      <c r="EV1" s="38" t="s">
        <v>563</v>
      </c>
      <c r="EW1" s="38" t="s">
        <v>564</v>
      </c>
      <c r="EX1" s="38" t="s">
        <v>565</v>
      </c>
      <c r="EY1" s="38" t="s">
        <v>566</v>
      </c>
      <c r="EZ1" s="38" t="s">
        <v>567</v>
      </c>
      <c r="FA1" s="45" t="s">
        <v>568</v>
      </c>
      <c r="FB1" s="45" t="s">
        <v>569</v>
      </c>
      <c r="FC1" s="38" t="s">
        <v>570</v>
      </c>
      <c r="FD1" s="38" t="s">
        <v>571</v>
      </c>
      <c r="FE1" s="38" t="s">
        <v>572</v>
      </c>
      <c r="FF1" s="38" t="s">
        <v>573</v>
      </c>
      <c r="FG1" s="38" t="s">
        <v>574</v>
      </c>
      <c r="FH1" s="45" t="s">
        <v>575</v>
      </c>
      <c r="FI1" s="38" t="s">
        <v>576</v>
      </c>
      <c r="FJ1" s="45" t="s">
        <v>577</v>
      </c>
      <c r="FK1" s="38" t="s">
        <v>578</v>
      </c>
      <c r="FL1" s="38" t="s">
        <v>579</v>
      </c>
      <c r="FM1" s="38" t="s">
        <v>580</v>
      </c>
      <c r="FN1" s="38" t="s">
        <v>581</v>
      </c>
      <c r="FO1" s="38" t="s">
        <v>582</v>
      </c>
      <c r="FP1" s="38" t="s">
        <v>583</v>
      </c>
      <c r="FQ1" s="38" t="s">
        <v>584</v>
      </c>
      <c r="FR1" s="38" t="s">
        <v>585</v>
      </c>
      <c r="FS1" s="38" t="s">
        <v>586</v>
      </c>
      <c r="FT1" s="38" t="s">
        <v>587</v>
      </c>
      <c r="FU1" s="38" t="s">
        <v>588</v>
      </c>
      <c r="FV1" s="38" t="s">
        <v>589</v>
      </c>
      <c r="FW1" s="38" t="s">
        <v>590</v>
      </c>
      <c r="FX1" s="54" t="s">
        <v>591</v>
      </c>
      <c r="FY1" s="54" t="s">
        <v>592</v>
      </c>
      <c r="FZ1" s="54" t="s">
        <v>593</v>
      </c>
      <c r="GA1" s="54" t="s">
        <v>594</v>
      </c>
      <c r="GB1" s="38" t="s">
        <v>595</v>
      </c>
      <c r="GC1" s="38" t="s">
        <v>596</v>
      </c>
      <c r="GD1" s="38" t="s">
        <v>597</v>
      </c>
      <c r="GE1" s="38" t="s">
        <v>598</v>
      </c>
      <c r="GF1" s="38" t="s">
        <v>599</v>
      </c>
      <c r="GG1" s="38" t="s">
        <v>600</v>
      </c>
      <c r="GH1" s="38" t="s">
        <v>601</v>
      </c>
      <c r="GI1" s="38" t="s">
        <v>602</v>
      </c>
      <c r="GJ1" s="38" t="s">
        <v>603</v>
      </c>
      <c r="GK1" s="38" t="s">
        <v>604</v>
      </c>
      <c r="GL1" s="38" t="s">
        <v>605</v>
      </c>
      <c r="GM1" s="38" t="s">
        <v>606</v>
      </c>
      <c r="GN1" s="38" t="s">
        <v>607</v>
      </c>
      <c r="GO1" s="12" t="s">
        <v>15</v>
      </c>
      <c r="GP1" s="10" t="s">
        <v>16</v>
      </c>
      <c r="GQ1" s="10" t="s">
        <v>17</v>
      </c>
      <c r="GR1" s="10" t="s">
        <v>161</v>
      </c>
      <c r="GS1" s="10" t="s">
        <v>162</v>
      </c>
      <c r="GT1" s="10" t="s">
        <v>163</v>
      </c>
      <c r="GU1" s="18" t="s">
        <v>164</v>
      </c>
      <c r="GV1" s="10" t="s">
        <v>165</v>
      </c>
      <c r="GW1" s="10" t="s">
        <v>166</v>
      </c>
      <c r="GX1" s="10" t="s">
        <v>167</v>
      </c>
      <c r="GY1" s="10" t="s">
        <v>168</v>
      </c>
      <c r="GZ1" s="18" t="s">
        <v>169</v>
      </c>
      <c r="HA1" s="21" t="s">
        <v>608</v>
      </c>
      <c r="HB1" s="21" t="s">
        <v>609</v>
      </c>
      <c r="HC1" s="21" t="s">
        <v>610</v>
      </c>
      <c r="HD1" s="63" t="s">
        <v>611</v>
      </c>
      <c r="HE1" s="21" t="s">
        <v>612</v>
      </c>
      <c r="HF1" s="21" t="s">
        <v>613</v>
      </c>
      <c r="HG1" s="21" t="s">
        <v>614</v>
      </c>
      <c r="HH1" s="21" t="s">
        <v>615</v>
      </c>
      <c r="HI1" s="63" t="s">
        <v>616</v>
      </c>
      <c r="HJ1" s="10" t="s">
        <v>617</v>
      </c>
      <c r="HK1" s="10" t="s">
        <v>618</v>
      </c>
      <c r="HL1" s="10" t="s">
        <v>619</v>
      </c>
      <c r="HM1" s="18" t="s">
        <v>620</v>
      </c>
      <c r="HN1" s="10" t="s">
        <v>621</v>
      </c>
      <c r="HO1" s="10" t="s">
        <v>622</v>
      </c>
      <c r="HP1" s="10" t="s">
        <v>623</v>
      </c>
      <c r="HQ1" s="10" t="s">
        <v>624</v>
      </c>
      <c r="HR1" s="18" t="s">
        <v>625</v>
      </c>
      <c r="HS1" s="21" t="s">
        <v>626</v>
      </c>
      <c r="HT1" s="21" t="s">
        <v>627</v>
      </c>
      <c r="HU1" s="21" t="s">
        <v>628</v>
      </c>
      <c r="HV1" s="63" t="s">
        <v>629</v>
      </c>
      <c r="HW1" s="21" t="s">
        <v>630</v>
      </c>
      <c r="HX1" s="21" t="s">
        <v>631</v>
      </c>
      <c r="HY1" s="21" t="s">
        <v>632</v>
      </c>
      <c r="HZ1" s="21" t="s">
        <v>633</v>
      </c>
      <c r="IA1" s="63" t="s">
        <v>634</v>
      </c>
    </row>
    <row r="2" s="29" customFormat="1" ht="50" customHeight="1" spans="1:235">
      <c r="A2" s="7" t="s">
        <v>635</v>
      </c>
      <c r="B2" s="93" t="s">
        <v>636</v>
      </c>
      <c r="C2" s="94" t="s">
        <v>29</v>
      </c>
      <c r="D2" s="17" t="s">
        <v>637</v>
      </c>
      <c r="E2" s="7" t="s">
        <v>173</v>
      </c>
      <c r="F2" s="4" t="s">
        <v>31</v>
      </c>
      <c r="G2" s="4" t="s">
        <v>32</v>
      </c>
      <c r="H2" s="7" t="s">
        <v>174</v>
      </c>
      <c r="I2" s="7" t="s">
        <v>175</v>
      </c>
      <c r="J2" s="7"/>
      <c r="K2" s="7" t="s">
        <v>176</v>
      </c>
      <c r="L2" s="7"/>
      <c r="M2" s="106"/>
      <c r="N2" s="106"/>
      <c r="O2" s="7"/>
      <c r="P2" s="7"/>
      <c r="Q2" s="7"/>
      <c r="R2" s="7"/>
      <c r="S2" s="7"/>
      <c r="T2" s="106"/>
      <c r="U2" s="7"/>
      <c r="V2" s="106"/>
      <c r="W2" s="7" t="s">
        <v>177</v>
      </c>
      <c r="X2" s="7" t="s">
        <v>178</v>
      </c>
      <c r="Y2" s="7" t="s">
        <v>177</v>
      </c>
      <c r="Z2" s="7" t="s">
        <v>178</v>
      </c>
      <c r="AA2" s="7" t="s">
        <v>178</v>
      </c>
      <c r="AB2" s="7"/>
      <c r="AC2" s="7" t="s">
        <v>638</v>
      </c>
      <c r="AD2" s="7" t="s">
        <v>173</v>
      </c>
      <c r="AE2" s="7" t="s">
        <v>180</v>
      </c>
      <c r="AF2" s="7"/>
      <c r="AG2" s="7"/>
      <c r="AH2" s="7" t="s">
        <v>181</v>
      </c>
      <c r="AI2" s="7" t="s">
        <v>639</v>
      </c>
      <c r="AJ2" s="95" t="s">
        <v>183</v>
      </c>
      <c r="AK2" s="109" t="s">
        <v>35</v>
      </c>
      <c r="AL2" s="109" t="s">
        <v>184</v>
      </c>
      <c r="AM2" s="95">
        <v>0</v>
      </c>
      <c r="AN2" s="7"/>
      <c r="AO2" s="7" t="s">
        <v>185</v>
      </c>
      <c r="AP2" s="7" t="s">
        <v>186</v>
      </c>
      <c r="AQ2" s="7" t="s">
        <v>34</v>
      </c>
      <c r="AR2" s="7" t="s">
        <v>174</v>
      </c>
      <c r="AS2" s="7" t="s">
        <v>33</v>
      </c>
      <c r="AT2" s="7" t="s">
        <v>36</v>
      </c>
      <c r="AU2" s="7"/>
      <c r="AV2" s="7"/>
      <c r="AW2" s="7"/>
      <c r="AX2" s="7"/>
      <c r="AY2" s="7"/>
      <c r="AZ2" s="7" t="s">
        <v>36</v>
      </c>
      <c r="BA2" s="7" t="str">
        <f t="shared" ref="BA2:BA13" si="0">E2</f>
        <v>{{CTX:USER_NAME}}</v>
      </c>
      <c r="BB2" s="7" t="str">
        <f t="shared" ref="BB2:BB13" si="1">F2</f>
        <v>{{CTX:PARTNER_UID}}</v>
      </c>
      <c r="BC2" s="7" t="str">
        <f t="shared" ref="BC2:BC13" si="2">G2</f>
        <v>{{CTX:COURSE_UID}}</v>
      </c>
      <c r="BD2" s="7" t="str">
        <f t="shared" ref="BD2:BD13" si="3">H2</f>
        <v>18</v>
      </c>
      <c r="BE2" s="7" t="str">
        <f t="shared" ref="BE2:BE13" si="4">I2</f>
        <v>PhuongTT</v>
      </c>
      <c r="BF2" s="7"/>
      <c r="BG2" s="7" t="str">
        <f t="shared" ref="BG2:BI2" si="5">K2</f>
        <v>phuongtt@caro.vn</v>
      </c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 t="str">
        <f t="shared" ref="BS2:BS13" si="6">W2</f>
        <v>false</v>
      </c>
      <c r="BT2" s="7" t="str">
        <f t="shared" ref="BT2:BT13" si="7">X2</f>
        <v>0</v>
      </c>
      <c r="BU2" s="7" t="str">
        <f t="shared" ref="BU2:BU13" si="8">Y2</f>
        <v>false</v>
      </c>
      <c r="BV2" s="7" t="str">
        <f t="shared" ref="BV2:BV13" si="9">Z2</f>
        <v>0</v>
      </c>
      <c r="BW2" s="7" t="str">
        <f t="shared" ref="BW2:BW13" si="10">AA2</f>
        <v>0</v>
      </c>
      <c r="BX2" s="7"/>
      <c r="BY2" s="7" t="str">
        <f>AC2</f>
        <v>Trần Phương</v>
      </c>
      <c r="BZ2" s="7" t="str">
        <f>AD2</f>
        <v>{{CTX:USER_NAME}}</v>
      </c>
      <c r="CA2" s="7" t="str">
        <f>AE2</f>
        <v>VST 1</v>
      </c>
      <c r="CB2" s="7"/>
      <c r="CC2" s="7"/>
      <c r="CD2" s="7" t="s">
        <v>181</v>
      </c>
      <c r="CE2" s="7" t="s">
        <v>639</v>
      </c>
      <c r="CF2" s="7" t="str">
        <f>AJ2</f>
        <v>NIGHT</v>
      </c>
      <c r="CG2" s="109" t="s">
        <v>35</v>
      </c>
      <c r="CH2" s="109" t="s">
        <v>184</v>
      </c>
      <c r="CI2" s="95">
        <v>1</v>
      </c>
      <c r="CJ2" s="7"/>
      <c r="CK2" s="7" t="s">
        <v>185</v>
      </c>
      <c r="CL2" s="7" t="s">
        <v>186</v>
      </c>
      <c r="CM2" s="7" t="s">
        <v>34</v>
      </c>
      <c r="CN2" s="7" t="s">
        <v>174</v>
      </c>
      <c r="CO2" s="7" t="s">
        <v>33</v>
      </c>
      <c r="CP2" s="7" t="s">
        <v>36</v>
      </c>
      <c r="CQ2" s="7"/>
      <c r="CR2" s="7"/>
      <c r="CS2" s="7"/>
      <c r="CT2" s="7"/>
      <c r="CU2" s="7"/>
      <c r="CV2" s="7" t="s">
        <v>36</v>
      </c>
      <c r="CW2" s="7" t="s">
        <v>173</v>
      </c>
      <c r="CX2" s="7" t="s">
        <v>640</v>
      </c>
      <c r="CY2" s="7" t="s">
        <v>641</v>
      </c>
      <c r="CZ2" s="7" t="s">
        <v>174</v>
      </c>
      <c r="DA2" s="7" t="s">
        <v>175</v>
      </c>
      <c r="DB2" s="7"/>
      <c r="DC2" s="7" t="s">
        <v>176</v>
      </c>
      <c r="DD2" s="7"/>
      <c r="DE2" s="106"/>
      <c r="DF2" s="106"/>
      <c r="DG2" s="7"/>
      <c r="DH2" s="7"/>
      <c r="DI2" s="7"/>
      <c r="DJ2" s="7"/>
      <c r="DK2" s="7"/>
      <c r="DL2" s="106"/>
      <c r="DM2" s="7"/>
      <c r="DN2" s="106"/>
      <c r="DO2" s="7" t="s">
        <v>177</v>
      </c>
      <c r="DP2" s="7" t="s">
        <v>178</v>
      </c>
      <c r="DQ2" s="7" t="s">
        <v>177</v>
      </c>
      <c r="DR2" s="7" t="s">
        <v>178</v>
      </c>
      <c r="DS2" s="7" t="s">
        <v>178</v>
      </c>
      <c r="DT2" s="7"/>
      <c r="DU2" s="7" t="s">
        <v>638</v>
      </c>
      <c r="DV2" s="7" t="s">
        <v>173</v>
      </c>
      <c r="DW2" s="7" t="s">
        <v>180</v>
      </c>
      <c r="DX2" s="7"/>
      <c r="DY2" s="7"/>
      <c r="DZ2" s="7" t="s">
        <v>181</v>
      </c>
      <c r="EA2" s="7" t="s">
        <v>639</v>
      </c>
      <c r="EB2" s="95" t="s">
        <v>183</v>
      </c>
      <c r="EC2" s="109" t="s">
        <v>35</v>
      </c>
      <c r="ED2" s="109" t="s">
        <v>184</v>
      </c>
      <c r="EE2" s="95">
        <v>2</v>
      </c>
      <c r="EF2" s="7"/>
      <c r="EG2" s="7" t="s">
        <v>185</v>
      </c>
      <c r="EH2" s="7" t="s">
        <v>186</v>
      </c>
      <c r="EI2" s="7" t="s">
        <v>34</v>
      </c>
      <c r="EJ2" s="7" t="s">
        <v>174</v>
      </c>
      <c r="EK2" s="7" t="s">
        <v>33</v>
      </c>
      <c r="EL2" s="7" t="s">
        <v>36</v>
      </c>
      <c r="EM2" s="7"/>
      <c r="EN2" s="7"/>
      <c r="EO2" s="7"/>
      <c r="EP2" s="7"/>
      <c r="EQ2" s="7"/>
      <c r="ER2" s="7" t="s">
        <v>36</v>
      </c>
      <c r="ES2" s="7" t="s">
        <v>173</v>
      </c>
      <c r="ET2" s="7" t="s">
        <v>640</v>
      </c>
      <c r="EU2" s="7" t="s">
        <v>641</v>
      </c>
      <c r="EV2" s="7" t="s">
        <v>174</v>
      </c>
      <c r="EW2" s="7" t="s">
        <v>175</v>
      </c>
      <c r="EX2" s="7"/>
      <c r="EY2" s="7" t="s">
        <v>176</v>
      </c>
      <c r="EZ2" s="7"/>
      <c r="FA2" s="106"/>
      <c r="FB2" s="106"/>
      <c r="FC2" s="7"/>
      <c r="FD2" s="7"/>
      <c r="FE2" s="7"/>
      <c r="FF2" s="7"/>
      <c r="FG2" s="7"/>
      <c r="FH2" s="106"/>
      <c r="FI2" s="7"/>
      <c r="FJ2" s="106"/>
      <c r="FK2" s="7" t="s">
        <v>177</v>
      </c>
      <c r="FL2" s="7" t="s">
        <v>178</v>
      </c>
      <c r="FM2" s="7" t="s">
        <v>177</v>
      </c>
      <c r="FN2" s="7" t="s">
        <v>178</v>
      </c>
      <c r="FO2" s="7" t="s">
        <v>178</v>
      </c>
      <c r="FP2" s="7"/>
      <c r="FQ2" s="7" t="s">
        <v>638</v>
      </c>
      <c r="FR2" s="7" t="s">
        <v>173</v>
      </c>
      <c r="FS2" s="7" t="s">
        <v>180</v>
      </c>
      <c r="FT2" s="7"/>
      <c r="FU2" s="7"/>
      <c r="FV2" s="7" t="s">
        <v>181</v>
      </c>
      <c r="FW2" s="7" t="s">
        <v>639</v>
      </c>
      <c r="FX2" s="95" t="s">
        <v>183</v>
      </c>
      <c r="FY2" s="109" t="s">
        <v>35</v>
      </c>
      <c r="FZ2" s="109" t="s">
        <v>184</v>
      </c>
      <c r="GA2" s="95">
        <v>3</v>
      </c>
      <c r="GB2" s="7"/>
      <c r="GC2" s="7" t="s">
        <v>185</v>
      </c>
      <c r="GD2" s="7" t="s">
        <v>186</v>
      </c>
      <c r="GE2" s="7" t="s">
        <v>34</v>
      </c>
      <c r="GF2" s="7" t="s">
        <v>174</v>
      </c>
      <c r="GG2" s="7" t="s">
        <v>33</v>
      </c>
      <c r="GH2" s="7" t="s">
        <v>36</v>
      </c>
      <c r="GI2" s="7"/>
      <c r="GJ2" s="7"/>
      <c r="GK2" s="7"/>
      <c r="GL2" s="7"/>
      <c r="GM2" s="7"/>
      <c r="GN2" s="7" t="s">
        <v>36</v>
      </c>
      <c r="GO2" s="101" t="s">
        <v>642</v>
      </c>
      <c r="GP2" s="21">
        <v>200</v>
      </c>
      <c r="GQ2" s="21">
        <v>4</v>
      </c>
      <c r="GR2" s="21" t="s">
        <v>188</v>
      </c>
      <c r="GS2" s="21" t="str">
        <f t="shared" ref="GS2:GS13" si="11">I2</f>
        <v>PhuongTT</v>
      </c>
      <c r="GT2" s="21" t="str">
        <f t="shared" ref="GT2:GT13" si="12">AQ2</f>
        <v>4D</v>
      </c>
      <c r="GU2" s="63" t="b">
        <v>0</v>
      </c>
      <c r="GV2" s="21" t="s">
        <v>189</v>
      </c>
      <c r="GW2" s="21" t="s">
        <v>188</v>
      </c>
      <c r="GX2" s="21" t="s">
        <v>188</v>
      </c>
      <c r="GY2" s="21" t="s">
        <v>190</v>
      </c>
      <c r="GZ2" s="63" t="b">
        <v>0</v>
      </c>
      <c r="HA2" s="21" t="s">
        <v>188</v>
      </c>
      <c r="HB2" s="21" t="str">
        <f t="shared" ref="HB2:HB13" si="13">I2</f>
        <v>PhuongTT</v>
      </c>
      <c r="HC2" s="21" t="str">
        <f t="shared" ref="HC2:HC13" si="14">AQ2</f>
        <v>4D</v>
      </c>
      <c r="HD2" s="63" t="b">
        <v>0</v>
      </c>
      <c r="HE2" s="21" t="s">
        <v>189</v>
      </c>
      <c r="HF2" s="21" t="s">
        <v>188</v>
      </c>
      <c r="HG2" s="21" t="s">
        <v>188</v>
      </c>
      <c r="HH2" s="21" t="s">
        <v>190</v>
      </c>
      <c r="HI2" s="63" t="b">
        <v>0</v>
      </c>
      <c r="HJ2" s="21" t="s">
        <v>188</v>
      </c>
      <c r="HK2" s="21" t="str">
        <f t="shared" ref="HK2:HK13" si="15">I2</f>
        <v>PhuongTT</v>
      </c>
      <c r="HL2" s="21" t="str">
        <f t="shared" ref="HL2:HL13" si="16">AQ2</f>
        <v>4D</v>
      </c>
      <c r="HM2" s="63" t="b">
        <v>0</v>
      </c>
      <c r="HN2" s="21" t="s">
        <v>189</v>
      </c>
      <c r="HO2" s="21" t="s">
        <v>188</v>
      </c>
      <c r="HP2" s="21" t="s">
        <v>188</v>
      </c>
      <c r="HQ2" s="21" t="s">
        <v>190</v>
      </c>
      <c r="HR2" s="63" t="b">
        <v>0</v>
      </c>
      <c r="HS2" s="21" t="s">
        <v>188</v>
      </c>
      <c r="HT2" s="21" t="str">
        <f t="shared" ref="HT2:HT13" si="17">I2</f>
        <v>PhuongTT</v>
      </c>
      <c r="HU2" s="21" t="str">
        <f t="shared" ref="HU2:HU13" si="18">AQ2</f>
        <v>4D</v>
      </c>
      <c r="HV2" s="63" t="b">
        <v>0</v>
      </c>
      <c r="HW2" s="21" t="s">
        <v>189</v>
      </c>
      <c r="HX2" s="21" t="s">
        <v>188</v>
      </c>
      <c r="HY2" s="21" t="s">
        <v>188</v>
      </c>
      <c r="HZ2" s="21" t="s">
        <v>190</v>
      </c>
      <c r="IA2" s="63" t="b">
        <v>0</v>
      </c>
    </row>
    <row r="3" s="29" customFormat="1" ht="69" customHeight="1" spans="1:235">
      <c r="A3" s="7" t="s">
        <v>643</v>
      </c>
      <c r="B3" s="93" t="s">
        <v>644</v>
      </c>
      <c r="C3" s="94" t="s">
        <v>29</v>
      </c>
      <c r="D3" s="17" t="s">
        <v>637</v>
      </c>
      <c r="E3" s="7" t="s">
        <v>173</v>
      </c>
      <c r="F3" s="4" t="s">
        <v>31</v>
      </c>
      <c r="G3" s="4" t="s">
        <v>32</v>
      </c>
      <c r="H3" s="7" t="s">
        <v>174</v>
      </c>
      <c r="I3" s="7" t="s">
        <v>319</v>
      </c>
      <c r="J3" s="7"/>
      <c r="K3" s="7" t="s">
        <v>176</v>
      </c>
      <c r="L3" s="7"/>
      <c r="M3" s="106"/>
      <c r="N3" s="106"/>
      <c r="O3" s="7"/>
      <c r="P3" s="7"/>
      <c r="Q3" s="7"/>
      <c r="R3" s="7"/>
      <c r="S3" s="7"/>
      <c r="T3" s="106"/>
      <c r="U3" s="7"/>
      <c r="V3" s="106"/>
      <c r="W3" s="7" t="s">
        <v>177</v>
      </c>
      <c r="X3" s="7" t="s">
        <v>178</v>
      </c>
      <c r="Y3" s="7" t="s">
        <v>177</v>
      </c>
      <c r="Z3" s="7" t="s">
        <v>178</v>
      </c>
      <c r="AA3" s="7" t="s">
        <v>178</v>
      </c>
      <c r="AB3" s="7"/>
      <c r="AC3" s="7" t="s">
        <v>638</v>
      </c>
      <c r="AD3" s="7" t="s">
        <v>173</v>
      </c>
      <c r="AE3" s="7" t="s">
        <v>319</v>
      </c>
      <c r="AF3" s="7"/>
      <c r="AG3" s="7"/>
      <c r="AH3" s="7" t="s">
        <v>181</v>
      </c>
      <c r="AI3" s="7" t="s">
        <v>639</v>
      </c>
      <c r="AJ3" s="95" t="s">
        <v>183</v>
      </c>
      <c r="AK3" s="110">
        <f>AK2+TIME(0,8,0)</f>
        <v>0.755555555555556</v>
      </c>
      <c r="AL3" s="109">
        <f>AL2+TIME(0,8,0)</f>
        <v>0.855555555555556</v>
      </c>
      <c r="AM3" s="95">
        <v>0</v>
      </c>
      <c r="AN3" s="7"/>
      <c r="AO3" s="7" t="s">
        <v>185</v>
      </c>
      <c r="AP3" s="7" t="s">
        <v>186</v>
      </c>
      <c r="AQ3" s="7">
        <v>1</v>
      </c>
      <c r="AR3" s="7">
        <v>18</v>
      </c>
      <c r="AS3" s="7" t="s">
        <v>33</v>
      </c>
      <c r="AT3" s="7" t="s">
        <v>36</v>
      </c>
      <c r="AU3" s="7">
        <v>3088327983</v>
      </c>
      <c r="AV3" s="7" t="s">
        <v>320</v>
      </c>
      <c r="AW3" s="7" t="s">
        <v>321</v>
      </c>
      <c r="AX3" s="7" t="s">
        <v>320</v>
      </c>
      <c r="AY3" s="7" t="s">
        <v>320</v>
      </c>
      <c r="AZ3" s="7" t="s">
        <v>36</v>
      </c>
      <c r="BA3" s="7" t="str">
        <f t="shared" si="0"/>
        <v>{{CTX:USER_NAME}}</v>
      </c>
      <c r="BB3" s="7" t="str">
        <f t="shared" si="1"/>
        <v>{{CTX:PARTNER_UID}}</v>
      </c>
      <c r="BC3" s="7" t="str">
        <f t="shared" si="2"/>
        <v>{{CTX:COURSE_UID}}</v>
      </c>
      <c r="BD3" s="7" t="str">
        <f t="shared" si="3"/>
        <v>18</v>
      </c>
      <c r="BE3" s="7" t="str">
        <f t="shared" si="4"/>
        <v>Trần Phương MB</v>
      </c>
      <c r="BF3" s="7"/>
      <c r="BG3" s="7" t="str">
        <f t="shared" ref="BG2:BG13" si="19">K3</f>
        <v>phuongtt@caro.vn</v>
      </c>
      <c r="BH3" s="7"/>
      <c r="BI3" s="7"/>
      <c r="BJ3" s="106"/>
      <c r="BK3" s="7"/>
      <c r="BL3" s="7"/>
      <c r="BM3" s="7"/>
      <c r="BN3" s="7"/>
      <c r="BO3" s="7"/>
      <c r="BP3" s="106"/>
      <c r="BQ3" s="7"/>
      <c r="BR3" s="106"/>
      <c r="BS3" s="7" t="str">
        <f t="shared" si="6"/>
        <v>false</v>
      </c>
      <c r="BT3" s="7" t="str">
        <f t="shared" si="7"/>
        <v>0</v>
      </c>
      <c r="BU3" s="7" t="str">
        <f t="shared" si="8"/>
        <v>false</v>
      </c>
      <c r="BV3" s="7" t="str">
        <f t="shared" si="9"/>
        <v>0</v>
      </c>
      <c r="BW3" s="7" t="str">
        <f t="shared" si="10"/>
        <v>0</v>
      </c>
      <c r="BX3" s="7"/>
      <c r="BY3" s="7" t="s">
        <v>638</v>
      </c>
      <c r="BZ3" s="7" t="s">
        <v>173</v>
      </c>
      <c r="CA3" s="7" t="s">
        <v>319</v>
      </c>
      <c r="CB3" s="7"/>
      <c r="CC3" s="7"/>
      <c r="CD3" s="7" t="s">
        <v>181</v>
      </c>
      <c r="CE3" s="7" t="s">
        <v>639</v>
      </c>
      <c r="CF3" s="95" t="s">
        <v>183</v>
      </c>
      <c r="CG3" s="110">
        <f t="shared" ref="CG3:CG13" si="20">CG2+TIME(0,8,0)</f>
        <v>0.755555555555556</v>
      </c>
      <c r="CH3" s="109">
        <f t="shared" ref="CH3:CH13" si="21">CH2+TIME(0,8,0)</f>
        <v>0.855555555555556</v>
      </c>
      <c r="CI3" s="95">
        <v>1</v>
      </c>
      <c r="CJ3" s="7"/>
      <c r="CK3" s="7" t="s">
        <v>185</v>
      </c>
      <c r="CL3" s="7" t="s">
        <v>186</v>
      </c>
      <c r="CM3" s="7">
        <v>1</v>
      </c>
      <c r="CN3" s="7">
        <v>18</v>
      </c>
      <c r="CO3" s="7" t="s">
        <v>33</v>
      </c>
      <c r="CP3" s="7" t="s">
        <v>36</v>
      </c>
      <c r="CQ3" s="7">
        <v>3088327983</v>
      </c>
      <c r="CR3" s="7" t="s">
        <v>320</v>
      </c>
      <c r="CS3" s="7" t="s">
        <v>321</v>
      </c>
      <c r="CT3" s="7" t="s">
        <v>320</v>
      </c>
      <c r="CU3" s="7" t="s">
        <v>320</v>
      </c>
      <c r="CV3" s="7" t="s">
        <v>36</v>
      </c>
      <c r="CW3" s="7" t="s">
        <v>173</v>
      </c>
      <c r="CX3" s="7" t="s">
        <v>640</v>
      </c>
      <c r="CY3" s="7" t="s">
        <v>641</v>
      </c>
      <c r="CZ3" s="7" t="s">
        <v>174</v>
      </c>
      <c r="DA3" s="7" t="s">
        <v>319</v>
      </c>
      <c r="DB3" s="7"/>
      <c r="DC3" s="7" t="s">
        <v>176</v>
      </c>
      <c r="DD3" s="7"/>
      <c r="DE3" s="106"/>
      <c r="DF3" s="106"/>
      <c r="DG3" s="7"/>
      <c r="DH3" s="7"/>
      <c r="DI3" s="7"/>
      <c r="DJ3" s="7"/>
      <c r="DK3" s="7"/>
      <c r="DL3" s="106"/>
      <c r="DM3" s="7"/>
      <c r="DN3" s="106"/>
      <c r="DO3" s="7" t="s">
        <v>177</v>
      </c>
      <c r="DP3" s="7" t="s">
        <v>178</v>
      </c>
      <c r="DQ3" s="7" t="s">
        <v>177</v>
      </c>
      <c r="DR3" s="7" t="s">
        <v>178</v>
      </c>
      <c r="DS3" s="7" t="s">
        <v>178</v>
      </c>
      <c r="DT3" s="7"/>
      <c r="DU3" s="7" t="s">
        <v>638</v>
      </c>
      <c r="DV3" s="7" t="s">
        <v>173</v>
      </c>
      <c r="DW3" s="7" t="s">
        <v>319</v>
      </c>
      <c r="DX3" s="7"/>
      <c r="DY3" s="7"/>
      <c r="DZ3" s="7" t="s">
        <v>181</v>
      </c>
      <c r="EA3" s="7" t="s">
        <v>639</v>
      </c>
      <c r="EB3" s="95" t="s">
        <v>183</v>
      </c>
      <c r="EC3" s="110">
        <f t="shared" ref="EC3:EC13" si="22">EC2+TIME(0,8,0)</f>
        <v>0.755555555555556</v>
      </c>
      <c r="ED3" s="109">
        <f t="shared" ref="ED3:ED13" si="23">ED2+TIME(0,8,0)</f>
        <v>0.855555555555556</v>
      </c>
      <c r="EE3" s="95">
        <v>2</v>
      </c>
      <c r="EF3" s="7"/>
      <c r="EG3" s="7" t="s">
        <v>185</v>
      </c>
      <c r="EH3" s="7" t="s">
        <v>186</v>
      </c>
      <c r="EI3" s="7">
        <v>1</v>
      </c>
      <c r="EJ3" s="7">
        <v>18</v>
      </c>
      <c r="EK3" s="7" t="s">
        <v>33</v>
      </c>
      <c r="EL3" s="7" t="s">
        <v>36</v>
      </c>
      <c r="EM3" s="7">
        <v>3088327983</v>
      </c>
      <c r="EN3" s="7" t="s">
        <v>320</v>
      </c>
      <c r="EO3" s="7" t="s">
        <v>321</v>
      </c>
      <c r="EP3" s="7" t="s">
        <v>320</v>
      </c>
      <c r="EQ3" s="7" t="s">
        <v>320</v>
      </c>
      <c r="ER3" s="7" t="s">
        <v>36</v>
      </c>
      <c r="ES3" s="7" t="s">
        <v>173</v>
      </c>
      <c r="ET3" s="7" t="s">
        <v>640</v>
      </c>
      <c r="EU3" s="7" t="s">
        <v>641</v>
      </c>
      <c r="EV3" s="7" t="s">
        <v>174</v>
      </c>
      <c r="EW3" s="7" t="s">
        <v>319</v>
      </c>
      <c r="EX3" s="7"/>
      <c r="EY3" s="7" t="s">
        <v>176</v>
      </c>
      <c r="EZ3" s="7"/>
      <c r="FA3" s="106"/>
      <c r="FB3" s="106"/>
      <c r="FC3" s="7"/>
      <c r="FD3" s="7"/>
      <c r="FE3" s="7"/>
      <c r="FF3" s="7"/>
      <c r="FG3" s="7"/>
      <c r="FH3" s="106"/>
      <c r="FI3" s="7"/>
      <c r="FJ3" s="106"/>
      <c r="FK3" s="7" t="s">
        <v>177</v>
      </c>
      <c r="FL3" s="7" t="s">
        <v>178</v>
      </c>
      <c r="FM3" s="7" t="s">
        <v>177</v>
      </c>
      <c r="FN3" s="7" t="s">
        <v>178</v>
      </c>
      <c r="FO3" s="7" t="s">
        <v>178</v>
      </c>
      <c r="FP3" s="7"/>
      <c r="FQ3" s="7" t="s">
        <v>638</v>
      </c>
      <c r="FR3" s="7" t="s">
        <v>173</v>
      </c>
      <c r="FS3" s="7" t="s">
        <v>319</v>
      </c>
      <c r="FT3" s="7"/>
      <c r="FU3" s="7"/>
      <c r="FV3" s="7" t="s">
        <v>181</v>
      </c>
      <c r="FW3" s="7" t="s">
        <v>639</v>
      </c>
      <c r="FX3" s="95" t="s">
        <v>183</v>
      </c>
      <c r="FY3" s="110">
        <f t="shared" ref="FY3:FY13" si="24">FY2+TIME(0,8,0)</f>
        <v>0.755555555555556</v>
      </c>
      <c r="FZ3" s="109">
        <f t="shared" ref="FZ3:FZ13" si="25">FZ2+TIME(0,8,0)</f>
        <v>0.855555555555556</v>
      </c>
      <c r="GA3" s="95">
        <v>3</v>
      </c>
      <c r="GB3" s="7"/>
      <c r="GC3" s="7" t="s">
        <v>185</v>
      </c>
      <c r="GD3" s="7" t="s">
        <v>186</v>
      </c>
      <c r="GE3" s="7">
        <v>1</v>
      </c>
      <c r="GF3" s="7">
        <v>18</v>
      </c>
      <c r="GG3" s="7" t="s">
        <v>33</v>
      </c>
      <c r="GH3" s="7" t="s">
        <v>36</v>
      </c>
      <c r="GI3" s="7">
        <v>3088327983</v>
      </c>
      <c r="GJ3" s="7" t="s">
        <v>320</v>
      </c>
      <c r="GK3" s="7" t="s">
        <v>321</v>
      </c>
      <c r="GL3" s="7" t="s">
        <v>320</v>
      </c>
      <c r="GM3" s="7" t="s">
        <v>320</v>
      </c>
      <c r="GN3" s="7" t="s">
        <v>36</v>
      </c>
      <c r="GO3" s="101" t="s">
        <v>642</v>
      </c>
      <c r="GP3" s="21">
        <v>200</v>
      </c>
      <c r="GQ3" s="21">
        <v>4</v>
      </c>
      <c r="GR3" s="21" t="s">
        <v>188</v>
      </c>
      <c r="GS3" s="21" t="str">
        <f t="shared" si="11"/>
        <v>Trần Phương MB</v>
      </c>
      <c r="GT3" s="21">
        <f t="shared" si="12"/>
        <v>1</v>
      </c>
      <c r="GU3" s="63" t="b">
        <v>0</v>
      </c>
      <c r="GV3" s="21" t="s">
        <v>189</v>
      </c>
      <c r="GW3" s="21" t="s">
        <v>188</v>
      </c>
      <c r="GX3" s="21" t="s">
        <v>188</v>
      </c>
      <c r="GY3" s="21" t="s">
        <v>322</v>
      </c>
      <c r="GZ3" s="63" t="b">
        <v>0</v>
      </c>
      <c r="HA3" s="21" t="s">
        <v>188</v>
      </c>
      <c r="HB3" s="21" t="str">
        <f t="shared" si="13"/>
        <v>Trần Phương MB</v>
      </c>
      <c r="HC3" s="21">
        <f t="shared" si="14"/>
        <v>1</v>
      </c>
      <c r="HD3" s="63" t="b">
        <v>0</v>
      </c>
      <c r="HE3" s="21" t="s">
        <v>189</v>
      </c>
      <c r="HF3" s="21" t="s">
        <v>188</v>
      </c>
      <c r="HG3" s="21" t="s">
        <v>188</v>
      </c>
      <c r="HH3" s="21" t="s">
        <v>322</v>
      </c>
      <c r="HI3" s="63" t="b">
        <v>0</v>
      </c>
      <c r="HJ3" s="21" t="s">
        <v>188</v>
      </c>
      <c r="HK3" s="21" t="str">
        <f t="shared" si="15"/>
        <v>Trần Phương MB</v>
      </c>
      <c r="HL3" s="21">
        <f t="shared" si="16"/>
        <v>1</v>
      </c>
      <c r="HM3" s="63" t="b">
        <v>0</v>
      </c>
      <c r="HN3" s="21" t="s">
        <v>189</v>
      </c>
      <c r="HO3" s="21" t="s">
        <v>188</v>
      </c>
      <c r="HP3" s="21" t="s">
        <v>188</v>
      </c>
      <c r="HQ3" s="21" t="s">
        <v>322</v>
      </c>
      <c r="HR3" s="63" t="b">
        <v>0</v>
      </c>
      <c r="HS3" s="21" t="s">
        <v>188</v>
      </c>
      <c r="HT3" s="21" t="str">
        <f t="shared" si="17"/>
        <v>Trần Phương MB</v>
      </c>
      <c r="HU3" s="21">
        <f t="shared" si="18"/>
        <v>1</v>
      </c>
      <c r="HV3" s="63" t="b">
        <v>0</v>
      </c>
      <c r="HW3" s="21" t="s">
        <v>189</v>
      </c>
      <c r="HX3" s="21" t="s">
        <v>188</v>
      </c>
      <c r="HY3" s="21" t="s">
        <v>188</v>
      </c>
      <c r="HZ3" s="21" t="s">
        <v>322</v>
      </c>
      <c r="IA3" s="63" t="b">
        <v>0</v>
      </c>
    </row>
    <row r="4" s="29" customFormat="1" ht="69" customHeight="1" spans="1:235">
      <c r="A4" s="7" t="s">
        <v>645</v>
      </c>
      <c r="B4" s="93" t="s">
        <v>646</v>
      </c>
      <c r="C4" s="94" t="s">
        <v>29</v>
      </c>
      <c r="D4" s="17" t="s">
        <v>637</v>
      </c>
      <c r="E4" s="7" t="s">
        <v>173</v>
      </c>
      <c r="F4" s="4" t="s">
        <v>31</v>
      </c>
      <c r="G4" s="4" t="s">
        <v>32</v>
      </c>
      <c r="H4" s="7" t="s">
        <v>174</v>
      </c>
      <c r="I4" s="7" t="s">
        <v>319</v>
      </c>
      <c r="J4" s="7"/>
      <c r="K4" s="7" t="s">
        <v>176</v>
      </c>
      <c r="L4" s="7"/>
      <c r="M4" s="106"/>
      <c r="N4" s="106"/>
      <c r="O4" s="7"/>
      <c r="P4" s="7"/>
      <c r="Q4" s="7"/>
      <c r="R4" s="7"/>
      <c r="S4" s="7"/>
      <c r="T4" s="7"/>
      <c r="U4" s="7"/>
      <c r="V4" s="7"/>
      <c r="W4" s="7" t="s">
        <v>177</v>
      </c>
      <c r="X4" s="7" t="s">
        <v>178</v>
      </c>
      <c r="Y4" s="7" t="s">
        <v>177</v>
      </c>
      <c r="Z4" s="7" t="s">
        <v>178</v>
      </c>
      <c r="AA4" s="7" t="s">
        <v>178</v>
      </c>
      <c r="AB4" s="7"/>
      <c r="AC4" s="7" t="s">
        <v>638</v>
      </c>
      <c r="AD4" s="7" t="s">
        <v>173</v>
      </c>
      <c r="AE4" s="7" t="s">
        <v>325</v>
      </c>
      <c r="AF4" s="7"/>
      <c r="AG4" s="7"/>
      <c r="AH4" s="7" t="s">
        <v>181</v>
      </c>
      <c r="AI4" s="7" t="s">
        <v>639</v>
      </c>
      <c r="AJ4" s="95" t="s">
        <v>183</v>
      </c>
      <c r="AK4" s="110">
        <f t="shared" ref="AK4:AK13" si="26">AK3+TIME(0,8,0)</f>
        <v>0.761111111111111</v>
      </c>
      <c r="AL4" s="109">
        <f t="shared" ref="AL4:AL13" si="27">AL3+TIME(0,8,0)</f>
        <v>0.861111111111111</v>
      </c>
      <c r="AM4" s="95">
        <v>0</v>
      </c>
      <c r="AN4" s="7"/>
      <c r="AO4" s="7" t="s">
        <v>185</v>
      </c>
      <c r="AP4" s="7" t="s">
        <v>186</v>
      </c>
      <c r="AQ4" s="7">
        <v>2</v>
      </c>
      <c r="AR4" s="7">
        <v>18</v>
      </c>
      <c r="AS4" s="7" t="s">
        <v>33</v>
      </c>
      <c r="AT4" s="7" t="s">
        <v>36</v>
      </c>
      <c r="AU4" s="7">
        <v>3088327983</v>
      </c>
      <c r="AV4" s="7" t="s">
        <v>320</v>
      </c>
      <c r="AW4" s="7" t="s">
        <v>321</v>
      </c>
      <c r="AX4" s="7" t="s">
        <v>320</v>
      </c>
      <c r="AY4" s="7"/>
      <c r="AZ4" s="7" t="s">
        <v>36</v>
      </c>
      <c r="BA4" s="7" t="str">
        <f t="shared" si="0"/>
        <v>{{CTX:USER_NAME}}</v>
      </c>
      <c r="BB4" s="7" t="str">
        <f t="shared" si="1"/>
        <v>{{CTX:PARTNER_UID}}</v>
      </c>
      <c r="BC4" s="7" t="str">
        <f t="shared" si="2"/>
        <v>{{CTX:COURSE_UID}}</v>
      </c>
      <c r="BD4" s="7" t="str">
        <f t="shared" si="3"/>
        <v>18</v>
      </c>
      <c r="BE4" s="7" t="str">
        <f t="shared" si="4"/>
        <v>Trần Phương MB</v>
      </c>
      <c r="BF4" s="7"/>
      <c r="BG4" s="7" t="str">
        <f t="shared" si="19"/>
        <v>phuongtt@caro.vn</v>
      </c>
      <c r="BH4" s="7"/>
      <c r="BI4" s="7"/>
      <c r="BJ4" s="106"/>
      <c r="BK4" s="7"/>
      <c r="BL4" s="7"/>
      <c r="BM4" s="7"/>
      <c r="BN4" s="7"/>
      <c r="BO4" s="7"/>
      <c r="BP4" s="7"/>
      <c r="BQ4" s="7"/>
      <c r="BR4" s="7"/>
      <c r="BS4" s="7" t="str">
        <f t="shared" si="6"/>
        <v>false</v>
      </c>
      <c r="BT4" s="7" t="str">
        <f t="shared" si="7"/>
        <v>0</v>
      </c>
      <c r="BU4" s="7" t="str">
        <f t="shared" si="8"/>
        <v>false</v>
      </c>
      <c r="BV4" s="7" t="str">
        <f t="shared" si="9"/>
        <v>0</v>
      </c>
      <c r="BW4" s="7" t="str">
        <f t="shared" si="10"/>
        <v>0</v>
      </c>
      <c r="BX4" s="7"/>
      <c r="BY4" s="7" t="s">
        <v>638</v>
      </c>
      <c r="BZ4" s="7" t="s">
        <v>173</v>
      </c>
      <c r="CA4" s="7" t="s">
        <v>325</v>
      </c>
      <c r="CB4" s="7"/>
      <c r="CC4" s="7"/>
      <c r="CD4" s="7" t="s">
        <v>181</v>
      </c>
      <c r="CE4" s="7" t="s">
        <v>639</v>
      </c>
      <c r="CF4" s="95" t="s">
        <v>183</v>
      </c>
      <c r="CG4" s="110">
        <f t="shared" si="20"/>
        <v>0.761111111111111</v>
      </c>
      <c r="CH4" s="109">
        <f t="shared" si="21"/>
        <v>0.861111111111111</v>
      </c>
      <c r="CI4" s="95">
        <v>1</v>
      </c>
      <c r="CJ4" s="7"/>
      <c r="CK4" s="7" t="s">
        <v>185</v>
      </c>
      <c r="CL4" s="7" t="s">
        <v>186</v>
      </c>
      <c r="CM4" s="7">
        <v>2</v>
      </c>
      <c r="CN4" s="7">
        <v>18</v>
      </c>
      <c r="CO4" s="7" t="s">
        <v>33</v>
      </c>
      <c r="CP4" s="7" t="s">
        <v>36</v>
      </c>
      <c r="CQ4" s="7">
        <v>3088327983</v>
      </c>
      <c r="CR4" s="7" t="s">
        <v>320</v>
      </c>
      <c r="CS4" s="7" t="s">
        <v>321</v>
      </c>
      <c r="CT4" s="7" t="s">
        <v>320</v>
      </c>
      <c r="CU4" s="7"/>
      <c r="CV4" s="7" t="s">
        <v>36</v>
      </c>
      <c r="CW4" s="7" t="s">
        <v>173</v>
      </c>
      <c r="CX4" s="7" t="s">
        <v>640</v>
      </c>
      <c r="CY4" s="7" t="s">
        <v>641</v>
      </c>
      <c r="CZ4" s="7" t="s">
        <v>174</v>
      </c>
      <c r="DA4" s="7" t="s">
        <v>319</v>
      </c>
      <c r="DB4" s="7"/>
      <c r="DC4" s="7" t="s">
        <v>176</v>
      </c>
      <c r="DD4" s="7"/>
      <c r="DE4" s="106"/>
      <c r="DF4" s="106"/>
      <c r="DG4" s="7"/>
      <c r="DH4" s="7"/>
      <c r="DI4" s="7"/>
      <c r="DJ4" s="7"/>
      <c r="DK4" s="7"/>
      <c r="DL4" s="7"/>
      <c r="DM4" s="7"/>
      <c r="DN4" s="7"/>
      <c r="DO4" s="7" t="s">
        <v>177</v>
      </c>
      <c r="DP4" s="7" t="s">
        <v>178</v>
      </c>
      <c r="DQ4" s="7" t="s">
        <v>177</v>
      </c>
      <c r="DR4" s="7" t="s">
        <v>178</v>
      </c>
      <c r="DS4" s="7" t="s">
        <v>178</v>
      </c>
      <c r="DT4" s="7"/>
      <c r="DU4" s="7" t="s">
        <v>638</v>
      </c>
      <c r="DV4" s="7" t="s">
        <v>173</v>
      </c>
      <c r="DW4" s="7" t="s">
        <v>325</v>
      </c>
      <c r="DX4" s="7"/>
      <c r="DY4" s="7"/>
      <c r="DZ4" s="7" t="s">
        <v>181</v>
      </c>
      <c r="EA4" s="7" t="s">
        <v>639</v>
      </c>
      <c r="EB4" s="95" t="s">
        <v>183</v>
      </c>
      <c r="EC4" s="110">
        <f t="shared" si="22"/>
        <v>0.761111111111111</v>
      </c>
      <c r="ED4" s="109">
        <f t="shared" si="23"/>
        <v>0.861111111111111</v>
      </c>
      <c r="EE4" s="95">
        <v>2</v>
      </c>
      <c r="EF4" s="7"/>
      <c r="EG4" s="7" t="s">
        <v>185</v>
      </c>
      <c r="EH4" s="7" t="s">
        <v>186</v>
      </c>
      <c r="EI4" s="7">
        <v>2</v>
      </c>
      <c r="EJ4" s="7">
        <v>18</v>
      </c>
      <c r="EK4" s="7" t="s">
        <v>33</v>
      </c>
      <c r="EL4" s="7" t="s">
        <v>36</v>
      </c>
      <c r="EM4" s="7">
        <v>3088327983</v>
      </c>
      <c r="EN4" s="7" t="s">
        <v>320</v>
      </c>
      <c r="EO4" s="7" t="s">
        <v>321</v>
      </c>
      <c r="EP4" s="7" t="s">
        <v>320</v>
      </c>
      <c r="EQ4" s="7"/>
      <c r="ER4" s="7" t="s">
        <v>36</v>
      </c>
      <c r="ES4" s="7" t="s">
        <v>173</v>
      </c>
      <c r="ET4" s="7" t="s">
        <v>640</v>
      </c>
      <c r="EU4" s="7" t="s">
        <v>641</v>
      </c>
      <c r="EV4" s="7" t="s">
        <v>174</v>
      </c>
      <c r="EW4" s="7" t="s">
        <v>319</v>
      </c>
      <c r="EX4" s="7"/>
      <c r="EY4" s="7" t="s">
        <v>176</v>
      </c>
      <c r="EZ4" s="7"/>
      <c r="FA4" s="106"/>
      <c r="FB4" s="106"/>
      <c r="FC4" s="7"/>
      <c r="FD4" s="7"/>
      <c r="FE4" s="7"/>
      <c r="FF4" s="7"/>
      <c r="FG4" s="7"/>
      <c r="FH4" s="7"/>
      <c r="FI4" s="7"/>
      <c r="FJ4" s="7"/>
      <c r="FK4" s="7" t="s">
        <v>177</v>
      </c>
      <c r="FL4" s="7" t="s">
        <v>178</v>
      </c>
      <c r="FM4" s="7" t="s">
        <v>177</v>
      </c>
      <c r="FN4" s="7" t="s">
        <v>178</v>
      </c>
      <c r="FO4" s="7" t="s">
        <v>178</v>
      </c>
      <c r="FP4" s="7"/>
      <c r="FQ4" s="7" t="s">
        <v>638</v>
      </c>
      <c r="FR4" s="7" t="s">
        <v>173</v>
      </c>
      <c r="FS4" s="7" t="s">
        <v>325</v>
      </c>
      <c r="FT4" s="7"/>
      <c r="FU4" s="7"/>
      <c r="FV4" s="7" t="s">
        <v>181</v>
      </c>
      <c r="FW4" s="7" t="s">
        <v>639</v>
      </c>
      <c r="FX4" s="95" t="s">
        <v>183</v>
      </c>
      <c r="FY4" s="110">
        <f t="shared" si="24"/>
        <v>0.761111111111111</v>
      </c>
      <c r="FZ4" s="109">
        <f t="shared" si="25"/>
        <v>0.861111111111111</v>
      </c>
      <c r="GA4" s="95">
        <v>3</v>
      </c>
      <c r="GB4" s="7"/>
      <c r="GC4" s="7" t="s">
        <v>185</v>
      </c>
      <c r="GD4" s="7" t="s">
        <v>186</v>
      </c>
      <c r="GE4" s="7">
        <v>2</v>
      </c>
      <c r="GF4" s="7">
        <v>18</v>
      </c>
      <c r="GG4" s="7" t="s">
        <v>33</v>
      </c>
      <c r="GH4" s="7" t="s">
        <v>36</v>
      </c>
      <c r="GI4" s="7">
        <v>3088327983</v>
      </c>
      <c r="GJ4" s="7" t="s">
        <v>320</v>
      </c>
      <c r="GK4" s="7" t="s">
        <v>321</v>
      </c>
      <c r="GL4" s="7" t="s">
        <v>320</v>
      </c>
      <c r="GM4" s="7"/>
      <c r="GN4" s="7" t="s">
        <v>36</v>
      </c>
      <c r="GO4" s="101" t="s">
        <v>642</v>
      </c>
      <c r="GP4" s="21">
        <v>200</v>
      </c>
      <c r="GQ4" s="21">
        <v>4</v>
      </c>
      <c r="GR4" s="21" t="s">
        <v>188</v>
      </c>
      <c r="GS4" s="21" t="str">
        <f t="shared" si="11"/>
        <v>Trần Phương MB</v>
      </c>
      <c r="GT4" s="21">
        <f t="shared" si="12"/>
        <v>2</v>
      </c>
      <c r="GU4" s="63" t="b">
        <v>0</v>
      </c>
      <c r="GV4" s="21" t="s">
        <v>189</v>
      </c>
      <c r="GW4" s="21" t="s">
        <v>188</v>
      </c>
      <c r="GX4" s="21" t="s">
        <v>188</v>
      </c>
      <c r="GY4" s="21" t="s">
        <v>326</v>
      </c>
      <c r="GZ4" s="63" t="b">
        <v>0</v>
      </c>
      <c r="HA4" s="21" t="s">
        <v>188</v>
      </c>
      <c r="HB4" s="21" t="str">
        <f t="shared" si="13"/>
        <v>Trần Phương MB</v>
      </c>
      <c r="HC4" s="21">
        <f t="shared" si="14"/>
        <v>2</v>
      </c>
      <c r="HD4" s="63" t="b">
        <v>0</v>
      </c>
      <c r="HE4" s="21" t="s">
        <v>189</v>
      </c>
      <c r="HF4" s="21" t="s">
        <v>188</v>
      </c>
      <c r="HG4" s="21" t="s">
        <v>188</v>
      </c>
      <c r="HH4" s="21" t="s">
        <v>326</v>
      </c>
      <c r="HI4" s="63" t="b">
        <v>0</v>
      </c>
      <c r="HJ4" s="21" t="s">
        <v>188</v>
      </c>
      <c r="HK4" s="21" t="str">
        <f t="shared" si="15"/>
        <v>Trần Phương MB</v>
      </c>
      <c r="HL4" s="21">
        <f t="shared" si="16"/>
        <v>2</v>
      </c>
      <c r="HM4" s="63" t="b">
        <v>0</v>
      </c>
      <c r="HN4" s="21" t="s">
        <v>189</v>
      </c>
      <c r="HO4" s="21" t="s">
        <v>188</v>
      </c>
      <c r="HP4" s="21" t="s">
        <v>188</v>
      </c>
      <c r="HQ4" s="21" t="s">
        <v>326</v>
      </c>
      <c r="HR4" s="63" t="b">
        <v>0</v>
      </c>
      <c r="HS4" s="21" t="s">
        <v>188</v>
      </c>
      <c r="HT4" s="21" t="str">
        <f t="shared" si="17"/>
        <v>Trần Phương MB</v>
      </c>
      <c r="HU4" s="21">
        <f t="shared" si="18"/>
        <v>2</v>
      </c>
      <c r="HV4" s="63" t="b">
        <v>0</v>
      </c>
      <c r="HW4" s="21" t="s">
        <v>189</v>
      </c>
      <c r="HX4" s="21" t="s">
        <v>188</v>
      </c>
      <c r="HY4" s="21" t="s">
        <v>188</v>
      </c>
      <c r="HZ4" s="21" t="s">
        <v>326</v>
      </c>
      <c r="IA4" s="63" t="b">
        <v>0</v>
      </c>
    </row>
    <row r="5" s="29" customFormat="1" ht="70" customHeight="1" spans="1:235">
      <c r="A5" s="7" t="s">
        <v>647</v>
      </c>
      <c r="B5" s="104" t="s">
        <v>648</v>
      </c>
      <c r="C5" s="94" t="s">
        <v>29</v>
      </c>
      <c r="D5" s="17" t="s">
        <v>637</v>
      </c>
      <c r="E5" s="7" t="s">
        <v>173</v>
      </c>
      <c r="F5" s="4" t="s">
        <v>31</v>
      </c>
      <c r="G5" s="4" t="s">
        <v>32</v>
      </c>
      <c r="H5" s="7" t="s">
        <v>174</v>
      </c>
      <c r="I5" s="7" t="s">
        <v>329</v>
      </c>
      <c r="J5" s="7"/>
      <c r="K5" s="7" t="s">
        <v>176</v>
      </c>
      <c r="L5" s="7"/>
      <c r="M5" s="106"/>
      <c r="N5" s="106"/>
      <c r="O5" s="7"/>
      <c r="P5" s="7"/>
      <c r="Q5" s="7"/>
      <c r="R5" s="7"/>
      <c r="S5" s="7"/>
      <c r="T5" s="7"/>
      <c r="U5" s="7"/>
      <c r="V5" s="7"/>
      <c r="W5" s="7" t="s">
        <v>177</v>
      </c>
      <c r="X5" s="7" t="s">
        <v>178</v>
      </c>
      <c r="Y5" s="7" t="s">
        <v>177</v>
      </c>
      <c r="Z5" s="7" t="s">
        <v>178</v>
      </c>
      <c r="AA5" s="7" t="s">
        <v>178</v>
      </c>
      <c r="AB5" s="7"/>
      <c r="AC5" s="7" t="s">
        <v>638</v>
      </c>
      <c r="AD5" s="7" t="s">
        <v>173</v>
      </c>
      <c r="AE5" s="7" t="s">
        <v>330</v>
      </c>
      <c r="AF5" s="7"/>
      <c r="AG5" s="7"/>
      <c r="AH5" s="7" t="s">
        <v>181</v>
      </c>
      <c r="AI5" s="7" t="s">
        <v>639</v>
      </c>
      <c r="AJ5" s="95" t="s">
        <v>183</v>
      </c>
      <c r="AK5" s="110">
        <f t="shared" si="26"/>
        <v>0.766666666666667</v>
      </c>
      <c r="AL5" s="109">
        <f t="shared" si="27"/>
        <v>0.866666666666667</v>
      </c>
      <c r="AM5" s="95">
        <v>0</v>
      </c>
      <c r="AN5" s="7"/>
      <c r="AO5" s="7" t="s">
        <v>185</v>
      </c>
      <c r="AP5" s="7" t="s">
        <v>186</v>
      </c>
      <c r="AQ5" s="7">
        <v>7</v>
      </c>
      <c r="AR5" s="7">
        <v>18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 t="s">
        <v>36</v>
      </c>
      <c r="BA5" s="7" t="str">
        <f t="shared" si="0"/>
        <v>{{CTX:USER_NAME}}</v>
      </c>
      <c r="BB5" s="7" t="str">
        <f t="shared" si="1"/>
        <v>{{CTX:PARTNER_UID}}</v>
      </c>
      <c r="BC5" s="7" t="str">
        <f t="shared" si="2"/>
        <v>{{CTX:COURSE_UID}}</v>
      </c>
      <c r="BD5" s="7" t="str">
        <f t="shared" si="3"/>
        <v>18</v>
      </c>
      <c r="BE5" s="7" t="str">
        <f t="shared" si="4"/>
        <v>Khách None Golf</v>
      </c>
      <c r="BF5" s="7"/>
      <c r="BG5" s="7" t="str">
        <f t="shared" si="19"/>
        <v>phuongtt@caro.vn</v>
      </c>
      <c r="BH5" s="7"/>
      <c r="BI5" s="7"/>
      <c r="BJ5" s="106"/>
      <c r="BK5" s="7"/>
      <c r="BL5" s="7"/>
      <c r="BM5" s="7"/>
      <c r="BN5" s="7"/>
      <c r="BO5" s="7"/>
      <c r="BP5" s="7"/>
      <c r="BQ5" s="7"/>
      <c r="BR5" s="7"/>
      <c r="BS5" s="7" t="str">
        <f t="shared" si="6"/>
        <v>false</v>
      </c>
      <c r="BT5" s="7" t="str">
        <f t="shared" si="7"/>
        <v>0</v>
      </c>
      <c r="BU5" s="7" t="str">
        <f t="shared" si="8"/>
        <v>false</v>
      </c>
      <c r="BV5" s="7" t="str">
        <f t="shared" si="9"/>
        <v>0</v>
      </c>
      <c r="BW5" s="7" t="str">
        <f t="shared" si="10"/>
        <v>0</v>
      </c>
      <c r="BX5" s="7"/>
      <c r="BY5" s="7" t="s">
        <v>638</v>
      </c>
      <c r="BZ5" s="7" t="s">
        <v>173</v>
      </c>
      <c r="CA5" s="7" t="s">
        <v>330</v>
      </c>
      <c r="CB5" s="7"/>
      <c r="CC5" s="7"/>
      <c r="CD5" s="7" t="s">
        <v>181</v>
      </c>
      <c r="CE5" s="7" t="s">
        <v>639</v>
      </c>
      <c r="CF5" s="95" t="s">
        <v>183</v>
      </c>
      <c r="CG5" s="110">
        <f t="shared" si="20"/>
        <v>0.766666666666667</v>
      </c>
      <c r="CH5" s="109">
        <f t="shared" si="21"/>
        <v>0.866666666666667</v>
      </c>
      <c r="CI5" s="95">
        <v>1</v>
      </c>
      <c r="CJ5" s="7"/>
      <c r="CK5" s="7" t="s">
        <v>185</v>
      </c>
      <c r="CL5" s="7" t="s">
        <v>186</v>
      </c>
      <c r="CM5" s="7">
        <v>7</v>
      </c>
      <c r="CN5" s="7">
        <v>18</v>
      </c>
      <c r="CO5" s="7" t="s">
        <v>33</v>
      </c>
      <c r="CP5" s="7" t="s">
        <v>36</v>
      </c>
      <c r="CQ5" s="7"/>
      <c r="CR5" s="7"/>
      <c r="CS5" s="7"/>
      <c r="CT5" s="7"/>
      <c r="CU5" s="7"/>
      <c r="CV5" s="7" t="s">
        <v>36</v>
      </c>
      <c r="CW5" s="7" t="s">
        <v>173</v>
      </c>
      <c r="CX5" s="7" t="s">
        <v>640</v>
      </c>
      <c r="CY5" s="7" t="s">
        <v>641</v>
      </c>
      <c r="CZ5" s="7" t="s">
        <v>174</v>
      </c>
      <c r="DA5" s="7" t="s">
        <v>329</v>
      </c>
      <c r="DB5" s="7"/>
      <c r="DC5" s="7" t="s">
        <v>176</v>
      </c>
      <c r="DD5" s="7"/>
      <c r="DE5" s="106"/>
      <c r="DF5" s="106"/>
      <c r="DG5" s="7"/>
      <c r="DH5" s="7"/>
      <c r="DI5" s="7"/>
      <c r="DJ5" s="7"/>
      <c r="DK5" s="7"/>
      <c r="DL5" s="7"/>
      <c r="DM5" s="7"/>
      <c r="DN5" s="7"/>
      <c r="DO5" s="7" t="s">
        <v>177</v>
      </c>
      <c r="DP5" s="7" t="s">
        <v>178</v>
      </c>
      <c r="DQ5" s="7" t="s">
        <v>177</v>
      </c>
      <c r="DR5" s="7" t="s">
        <v>178</v>
      </c>
      <c r="DS5" s="7" t="s">
        <v>178</v>
      </c>
      <c r="DT5" s="7"/>
      <c r="DU5" s="7" t="s">
        <v>638</v>
      </c>
      <c r="DV5" s="7" t="s">
        <v>173</v>
      </c>
      <c r="DW5" s="7" t="s">
        <v>330</v>
      </c>
      <c r="DX5" s="7"/>
      <c r="DY5" s="7"/>
      <c r="DZ5" s="7" t="s">
        <v>181</v>
      </c>
      <c r="EA5" s="7" t="s">
        <v>639</v>
      </c>
      <c r="EB5" s="95" t="s">
        <v>183</v>
      </c>
      <c r="EC5" s="110">
        <f t="shared" si="22"/>
        <v>0.766666666666667</v>
      </c>
      <c r="ED5" s="109">
        <f t="shared" si="23"/>
        <v>0.866666666666667</v>
      </c>
      <c r="EE5" s="95">
        <v>2</v>
      </c>
      <c r="EF5" s="7"/>
      <c r="EG5" s="7" t="s">
        <v>185</v>
      </c>
      <c r="EH5" s="7" t="s">
        <v>186</v>
      </c>
      <c r="EI5" s="7">
        <v>7</v>
      </c>
      <c r="EJ5" s="7">
        <v>18</v>
      </c>
      <c r="EK5" s="7" t="s">
        <v>33</v>
      </c>
      <c r="EL5" s="7" t="s">
        <v>36</v>
      </c>
      <c r="EM5" s="7"/>
      <c r="EN5" s="7"/>
      <c r="EO5" s="7"/>
      <c r="EP5" s="7"/>
      <c r="EQ5" s="7"/>
      <c r="ER5" s="7" t="s">
        <v>36</v>
      </c>
      <c r="ES5" s="7" t="s">
        <v>173</v>
      </c>
      <c r="ET5" s="7" t="s">
        <v>640</v>
      </c>
      <c r="EU5" s="7" t="s">
        <v>641</v>
      </c>
      <c r="EV5" s="7" t="s">
        <v>174</v>
      </c>
      <c r="EW5" s="7" t="s">
        <v>329</v>
      </c>
      <c r="EX5" s="7"/>
      <c r="EY5" s="7" t="s">
        <v>176</v>
      </c>
      <c r="EZ5" s="7"/>
      <c r="FA5" s="106"/>
      <c r="FB5" s="106"/>
      <c r="FC5" s="7"/>
      <c r="FD5" s="7"/>
      <c r="FE5" s="7"/>
      <c r="FF5" s="7"/>
      <c r="FG5" s="7"/>
      <c r="FH5" s="7"/>
      <c r="FI5" s="7"/>
      <c r="FJ5" s="7"/>
      <c r="FK5" s="7" t="s">
        <v>177</v>
      </c>
      <c r="FL5" s="7" t="s">
        <v>178</v>
      </c>
      <c r="FM5" s="7" t="s">
        <v>177</v>
      </c>
      <c r="FN5" s="7" t="s">
        <v>178</v>
      </c>
      <c r="FO5" s="7" t="s">
        <v>178</v>
      </c>
      <c r="FP5" s="7"/>
      <c r="FQ5" s="7" t="s">
        <v>638</v>
      </c>
      <c r="FR5" s="7" t="s">
        <v>173</v>
      </c>
      <c r="FS5" s="7" t="s">
        <v>330</v>
      </c>
      <c r="FT5" s="7"/>
      <c r="FU5" s="7"/>
      <c r="FV5" s="7" t="s">
        <v>181</v>
      </c>
      <c r="FW5" s="7" t="s">
        <v>639</v>
      </c>
      <c r="FX5" s="95" t="s">
        <v>183</v>
      </c>
      <c r="FY5" s="110">
        <f t="shared" si="24"/>
        <v>0.766666666666667</v>
      </c>
      <c r="FZ5" s="109">
        <f t="shared" si="25"/>
        <v>0.866666666666667</v>
      </c>
      <c r="GA5" s="95">
        <v>3</v>
      </c>
      <c r="GB5" s="7"/>
      <c r="GC5" s="7" t="s">
        <v>185</v>
      </c>
      <c r="GD5" s="7" t="s">
        <v>186</v>
      </c>
      <c r="GE5" s="7">
        <v>7</v>
      </c>
      <c r="GF5" s="7">
        <v>18</v>
      </c>
      <c r="GG5" s="7" t="s">
        <v>33</v>
      </c>
      <c r="GH5" s="7" t="s">
        <v>36</v>
      </c>
      <c r="GI5" s="7"/>
      <c r="GJ5" s="7"/>
      <c r="GK5" s="7"/>
      <c r="GL5" s="7"/>
      <c r="GM5" s="7"/>
      <c r="GN5" s="7" t="s">
        <v>36</v>
      </c>
      <c r="GO5" s="101" t="s">
        <v>642</v>
      </c>
      <c r="GP5" s="21">
        <v>200</v>
      </c>
      <c r="GQ5" s="21">
        <v>4</v>
      </c>
      <c r="GR5" s="21" t="s">
        <v>188</v>
      </c>
      <c r="GS5" s="21" t="str">
        <f t="shared" si="11"/>
        <v>Khách None Golf</v>
      </c>
      <c r="GT5" s="21">
        <f t="shared" si="12"/>
        <v>7</v>
      </c>
      <c r="GU5" s="63" t="b">
        <v>0</v>
      </c>
      <c r="GV5" s="21" t="s">
        <v>189</v>
      </c>
      <c r="GW5" s="21" t="s">
        <v>188</v>
      </c>
      <c r="GX5" s="21" t="s">
        <v>188</v>
      </c>
      <c r="GY5" s="21" t="s">
        <v>331</v>
      </c>
      <c r="GZ5" s="63" t="b">
        <v>0</v>
      </c>
      <c r="HA5" s="21" t="s">
        <v>188</v>
      </c>
      <c r="HB5" s="21" t="str">
        <f t="shared" si="13"/>
        <v>Khách None Golf</v>
      </c>
      <c r="HC5" s="21">
        <f t="shared" si="14"/>
        <v>7</v>
      </c>
      <c r="HD5" s="63" t="b">
        <v>0</v>
      </c>
      <c r="HE5" s="21" t="s">
        <v>189</v>
      </c>
      <c r="HF5" s="21" t="s">
        <v>188</v>
      </c>
      <c r="HG5" s="21" t="s">
        <v>188</v>
      </c>
      <c r="HH5" s="21" t="s">
        <v>331</v>
      </c>
      <c r="HI5" s="63" t="b">
        <v>0</v>
      </c>
      <c r="HJ5" s="21" t="s">
        <v>188</v>
      </c>
      <c r="HK5" s="21" t="str">
        <f t="shared" si="15"/>
        <v>Khách None Golf</v>
      </c>
      <c r="HL5" s="21">
        <f t="shared" si="16"/>
        <v>7</v>
      </c>
      <c r="HM5" s="63" t="b">
        <v>0</v>
      </c>
      <c r="HN5" s="21" t="s">
        <v>189</v>
      </c>
      <c r="HO5" s="21" t="s">
        <v>188</v>
      </c>
      <c r="HP5" s="21" t="s">
        <v>188</v>
      </c>
      <c r="HQ5" s="21" t="s">
        <v>331</v>
      </c>
      <c r="HR5" s="63" t="b">
        <v>0</v>
      </c>
      <c r="HS5" s="21" t="s">
        <v>188</v>
      </c>
      <c r="HT5" s="21" t="str">
        <f t="shared" si="17"/>
        <v>Khách None Golf</v>
      </c>
      <c r="HU5" s="21">
        <f t="shared" si="18"/>
        <v>7</v>
      </c>
      <c r="HV5" s="63" t="b">
        <v>0</v>
      </c>
      <c r="HW5" s="21" t="s">
        <v>189</v>
      </c>
      <c r="HX5" s="21" t="s">
        <v>188</v>
      </c>
      <c r="HY5" s="21" t="s">
        <v>188</v>
      </c>
      <c r="HZ5" s="21" t="s">
        <v>331</v>
      </c>
      <c r="IA5" s="63" t="b">
        <v>0</v>
      </c>
    </row>
    <row r="6" s="29" customFormat="1" ht="70" customHeight="1" spans="1:235">
      <c r="A6" s="7" t="s">
        <v>649</v>
      </c>
      <c r="B6" s="93" t="s">
        <v>650</v>
      </c>
      <c r="C6" s="94" t="s">
        <v>29</v>
      </c>
      <c r="D6" s="17" t="s">
        <v>651</v>
      </c>
      <c r="E6" s="7" t="s">
        <v>173</v>
      </c>
      <c r="F6" s="4" t="s">
        <v>31</v>
      </c>
      <c r="G6" s="4" t="s">
        <v>32</v>
      </c>
      <c r="H6" s="7" t="s">
        <v>174</v>
      </c>
      <c r="I6" s="7" t="s">
        <v>253</v>
      </c>
      <c r="J6" s="125" t="s">
        <v>254</v>
      </c>
      <c r="K6" s="107" t="s">
        <v>255</v>
      </c>
      <c r="L6" s="7">
        <v>378</v>
      </c>
      <c r="M6" s="106" t="s">
        <v>177</v>
      </c>
      <c r="N6" s="106" t="s">
        <v>177</v>
      </c>
      <c r="O6" s="7">
        <v>1600000</v>
      </c>
      <c r="P6" s="7">
        <v>400000</v>
      </c>
      <c r="Q6" s="7" t="s">
        <v>185</v>
      </c>
      <c r="R6" s="7" t="s">
        <v>185</v>
      </c>
      <c r="S6" s="7" t="s">
        <v>185</v>
      </c>
      <c r="T6" s="106" t="s">
        <v>256</v>
      </c>
      <c r="U6" s="7" t="s">
        <v>185</v>
      </c>
      <c r="V6" s="7" t="s">
        <v>185</v>
      </c>
      <c r="W6" s="7" t="s">
        <v>177</v>
      </c>
      <c r="X6" s="7" t="s">
        <v>178</v>
      </c>
      <c r="Y6" s="7" t="s">
        <v>177</v>
      </c>
      <c r="Z6" s="7" t="s">
        <v>178</v>
      </c>
      <c r="AA6" s="7" t="s">
        <v>178</v>
      </c>
      <c r="AB6" s="7"/>
      <c r="AC6" s="7" t="s">
        <v>638</v>
      </c>
      <c r="AD6" s="7" t="s">
        <v>173</v>
      </c>
      <c r="AE6" s="7" t="s">
        <v>334</v>
      </c>
      <c r="AF6" s="7"/>
      <c r="AG6" s="7"/>
      <c r="AH6" s="7" t="s">
        <v>181</v>
      </c>
      <c r="AI6" s="7" t="s">
        <v>639</v>
      </c>
      <c r="AJ6" s="95" t="s">
        <v>183</v>
      </c>
      <c r="AK6" s="110">
        <f t="shared" si="26"/>
        <v>0.772222222222222</v>
      </c>
      <c r="AL6" s="109">
        <f t="shared" si="27"/>
        <v>0.872222222222222</v>
      </c>
      <c r="AM6" s="95">
        <v>0</v>
      </c>
      <c r="AN6" s="7"/>
      <c r="AO6" s="7" t="s">
        <v>185</v>
      </c>
      <c r="AP6" s="7" t="s">
        <v>186</v>
      </c>
      <c r="AQ6" s="7" t="s">
        <v>48</v>
      </c>
      <c r="AR6" s="7">
        <v>18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 t="s">
        <v>36</v>
      </c>
      <c r="BA6" s="7" t="str">
        <f t="shared" si="0"/>
        <v>{{CTX:USER_NAME}}</v>
      </c>
      <c r="BB6" s="7" t="str">
        <f t="shared" si="1"/>
        <v>{{CTX:PARTNER_UID}}</v>
      </c>
      <c r="BC6" s="7" t="str">
        <f t="shared" si="2"/>
        <v>{{CTX:COURSE_UID}}</v>
      </c>
      <c r="BD6" s="7" t="str">
        <f t="shared" si="3"/>
        <v>18</v>
      </c>
      <c r="BE6" s="7" t="str">
        <f t="shared" si="4"/>
        <v>VNPAY</v>
      </c>
      <c r="BF6" s="125" t="str">
        <f>J6</f>
        <v>0355653300</v>
      </c>
      <c r="BG6" s="7" t="str">
        <f t="shared" si="19"/>
        <v>vnpay00@vnpay.vn</v>
      </c>
      <c r="BH6" s="7">
        <f t="shared" ref="BH3:BH13" si="28">L6</f>
        <v>378</v>
      </c>
      <c r="BI6" s="7" t="str">
        <f t="shared" ref="BI3:BI13" si="29">M6</f>
        <v>false</v>
      </c>
      <c r="BJ6" s="106" t="s">
        <v>177</v>
      </c>
      <c r="BK6" s="7">
        <v>1600000</v>
      </c>
      <c r="BL6" s="7">
        <v>400000</v>
      </c>
      <c r="BM6" s="7" t="s">
        <v>185</v>
      </c>
      <c r="BN6" s="7" t="s">
        <v>185</v>
      </c>
      <c r="BO6" s="7" t="s">
        <v>185</v>
      </c>
      <c r="BP6" s="106" t="s">
        <v>256</v>
      </c>
      <c r="BQ6" s="7" t="s">
        <v>185</v>
      </c>
      <c r="BR6" s="7" t="s">
        <v>185</v>
      </c>
      <c r="BS6" s="7" t="str">
        <f t="shared" si="6"/>
        <v>false</v>
      </c>
      <c r="BT6" s="7" t="str">
        <f t="shared" si="7"/>
        <v>0</v>
      </c>
      <c r="BU6" s="7" t="str">
        <f t="shared" si="8"/>
        <v>false</v>
      </c>
      <c r="BV6" s="7" t="str">
        <f t="shared" si="9"/>
        <v>0</v>
      </c>
      <c r="BW6" s="7" t="str">
        <f t="shared" si="10"/>
        <v>0</v>
      </c>
      <c r="BX6" s="7"/>
      <c r="BY6" s="7" t="s">
        <v>638</v>
      </c>
      <c r="BZ6" s="7" t="s">
        <v>173</v>
      </c>
      <c r="CA6" s="7" t="s">
        <v>334</v>
      </c>
      <c r="CB6" s="7"/>
      <c r="CC6" s="7"/>
      <c r="CD6" s="7" t="s">
        <v>181</v>
      </c>
      <c r="CE6" s="7" t="s">
        <v>639</v>
      </c>
      <c r="CF6" s="95" t="s">
        <v>183</v>
      </c>
      <c r="CG6" s="110">
        <f t="shared" si="20"/>
        <v>0.772222222222222</v>
      </c>
      <c r="CH6" s="109">
        <f t="shared" si="21"/>
        <v>0.872222222222222</v>
      </c>
      <c r="CI6" s="95">
        <v>1</v>
      </c>
      <c r="CJ6" s="7"/>
      <c r="CK6" s="7" t="s">
        <v>185</v>
      </c>
      <c r="CL6" s="7" t="s">
        <v>186</v>
      </c>
      <c r="CM6" s="7" t="s">
        <v>48</v>
      </c>
      <c r="CN6" s="7">
        <v>18</v>
      </c>
      <c r="CO6" s="7" t="s">
        <v>33</v>
      </c>
      <c r="CP6" s="7" t="s">
        <v>36</v>
      </c>
      <c r="CQ6" s="7"/>
      <c r="CR6" s="7"/>
      <c r="CS6" s="7"/>
      <c r="CT6" s="7"/>
      <c r="CU6" s="7"/>
      <c r="CV6" s="7" t="s">
        <v>36</v>
      </c>
      <c r="CW6" s="7" t="s">
        <v>173</v>
      </c>
      <c r="CX6" s="7" t="s">
        <v>640</v>
      </c>
      <c r="CY6" s="7" t="s">
        <v>641</v>
      </c>
      <c r="CZ6" s="7" t="s">
        <v>174</v>
      </c>
      <c r="DA6" s="7" t="s">
        <v>253</v>
      </c>
      <c r="DB6" s="125" t="s">
        <v>254</v>
      </c>
      <c r="DC6" s="107" t="s">
        <v>255</v>
      </c>
      <c r="DD6" s="7">
        <v>378</v>
      </c>
      <c r="DE6" s="106" t="s">
        <v>177</v>
      </c>
      <c r="DF6" s="106" t="s">
        <v>177</v>
      </c>
      <c r="DG6" s="7">
        <v>1600000</v>
      </c>
      <c r="DH6" s="7">
        <v>400000</v>
      </c>
      <c r="DI6" s="7" t="s">
        <v>185</v>
      </c>
      <c r="DJ6" s="7" t="s">
        <v>185</v>
      </c>
      <c r="DK6" s="7" t="s">
        <v>185</v>
      </c>
      <c r="DL6" s="106" t="s">
        <v>256</v>
      </c>
      <c r="DM6" s="7" t="s">
        <v>185</v>
      </c>
      <c r="DN6" s="7" t="s">
        <v>185</v>
      </c>
      <c r="DO6" s="7" t="s">
        <v>177</v>
      </c>
      <c r="DP6" s="7" t="s">
        <v>178</v>
      </c>
      <c r="DQ6" s="7" t="s">
        <v>177</v>
      </c>
      <c r="DR6" s="7" t="s">
        <v>178</v>
      </c>
      <c r="DS6" s="7" t="s">
        <v>178</v>
      </c>
      <c r="DT6" s="7"/>
      <c r="DU6" s="7" t="s">
        <v>638</v>
      </c>
      <c r="DV6" s="7" t="s">
        <v>173</v>
      </c>
      <c r="DW6" s="7" t="s">
        <v>334</v>
      </c>
      <c r="DX6" s="7"/>
      <c r="DY6" s="7"/>
      <c r="DZ6" s="7" t="s">
        <v>181</v>
      </c>
      <c r="EA6" s="7" t="s">
        <v>639</v>
      </c>
      <c r="EB6" s="95" t="s">
        <v>183</v>
      </c>
      <c r="EC6" s="110">
        <f t="shared" si="22"/>
        <v>0.772222222222222</v>
      </c>
      <c r="ED6" s="109">
        <f t="shared" si="23"/>
        <v>0.872222222222222</v>
      </c>
      <c r="EE6" s="95">
        <v>2</v>
      </c>
      <c r="EF6" s="7"/>
      <c r="EG6" s="7" t="s">
        <v>185</v>
      </c>
      <c r="EH6" s="7" t="s">
        <v>186</v>
      </c>
      <c r="EI6" s="7" t="s">
        <v>48</v>
      </c>
      <c r="EJ6" s="7">
        <v>18</v>
      </c>
      <c r="EK6" s="7" t="s">
        <v>33</v>
      </c>
      <c r="EL6" s="7" t="s">
        <v>36</v>
      </c>
      <c r="EM6" s="7"/>
      <c r="EN6" s="7"/>
      <c r="EO6" s="7"/>
      <c r="EP6" s="7"/>
      <c r="EQ6" s="7"/>
      <c r="ER6" s="7" t="s">
        <v>36</v>
      </c>
      <c r="ES6" s="7" t="s">
        <v>173</v>
      </c>
      <c r="ET6" s="7" t="s">
        <v>640</v>
      </c>
      <c r="EU6" s="7" t="s">
        <v>641</v>
      </c>
      <c r="EV6" s="7" t="s">
        <v>174</v>
      </c>
      <c r="EW6" s="7" t="s">
        <v>253</v>
      </c>
      <c r="EX6" s="125" t="s">
        <v>254</v>
      </c>
      <c r="EY6" s="107" t="s">
        <v>255</v>
      </c>
      <c r="EZ6" s="7">
        <v>378</v>
      </c>
      <c r="FA6" s="106" t="s">
        <v>177</v>
      </c>
      <c r="FB6" s="106" t="s">
        <v>177</v>
      </c>
      <c r="FC6" s="7">
        <v>1600000</v>
      </c>
      <c r="FD6" s="7">
        <v>400000</v>
      </c>
      <c r="FE6" s="7" t="s">
        <v>185</v>
      </c>
      <c r="FF6" s="7" t="s">
        <v>185</v>
      </c>
      <c r="FG6" s="7" t="s">
        <v>185</v>
      </c>
      <c r="FH6" s="106" t="s">
        <v>256</v>
      </c>
      <c r="FI6" s="7" t="s">
        <v>185</v>
      </c>
      <c r="FJ6" s="7" t="s">
        <v>185</v>
      </c>
      <c r="FK6" s="7" t="s">
        <v>177</v>
      </c>
      <c r="FL6" s="7" t="s">
        <v>178</v>
      </c>
      <c r="FM6" s="7" t="s">
        <v>177</v>
      </c>
      <c r="FN6" s="7" t="s">
        <v>178</v>
      </c>
      <c r="FO6" s="7" t="s">
        <v>178</v>
      </c>
      <c r="FP6" s="7"/>
      <c r="FQ6" s="7" t="s">
        <v>638</v>
      </c>
      <c r="FR6" s="7" t="s">
        <v>173</v>
      </c>
      <c r="FS6" s="7" t="s">
        <v>334</v>
      </c>
      <c r="FT6" s="7"/>
      <c r="FU6" s="7"/>
      <c r="FV6" s="7" t="s">
        <v>181</v>
      </c>
      <c r="FW6" s="7" t="s">
        <v>639</v>
      </c>
      <c r="FX6" s="95" t="s">
        <v>183</v>
      </c>
      <c r="FY6" s="110">
        <f t="shared" si="24"/>
        <v>0.772222222222222</v>
      </c>
      <c r="FZ6" s="109">
        <f t="shared" si="25"/>
        <v>0.872222222222222</v>
      </c>
      <c r="GA6" s="95">
        <v>3</v>
      </c>
      <c r="GB6" s="7"/>
      <c r="GC6" s="7" t="s">
        <v>185</v>
      </c>
      <c r="GD6" s="7" t="s">
        <v>186</v>
      </c>
      <c r="GE6" s="7" t="s">
        <v>48</v>
      </c>
      <c r="GF6" s="7">
        <v>18</v>
      </c>
      <c r="GG6" s="7" t="s">
        <v>33</v>
      </c>
      <c r="GH6" s="7" t="s">
        <v>36</v>
      </c>
      <c r="GI6" s="7"/>
      <c r="GJ6" s="7"/>
      <c r="GK6" s="7"/>
      <c r="GL6" s="7"/>
      <c r="GM6" s="7"/>
      <c r="GN6" s="7" t="s">
        <v>36</v>
      </c>
      <c r="GO6" s="101" t="s">
        <v>642</v>
      </c>
      <c r="GP6" s="21">
        <v>200</v>
      </c>
      <c r="GQ6" s="21">
        <v>4</v>
      </c>
      <c r="GR6" s="21" t="s">
        <v>188</v>
      </c>
      <c r="GS6" s="21" t="str">
        <f t="shared" si="11"/>
        <v>VNPAY</v>
      </c>
      <c r="GT6" s="21" t="str">
        <f t="shared" si="12"/>
        <v>5D</v>
      </c>
      <c r="GU6" s="63" t="b">
        <v>0</v>
      </c>
      <c r="GV6" s="21" t="s">
        <v>189</v>
      </c>
      <c r="GW6" s="21" t="s">
        <v>188</v>
      </c>
      <c r="GX6" s="21" t="s">
        <v>188</v>
      </c>
      <c r="GY6" s="21" t="s">
        <v>258</v>
      </c>
      <c r="GZ6" s="63" t="b">
        <v>0</v>
      </c>
      <c r="HA6" s="21" t="s">
        <v>188</v>
      </c>
      <c r="HB6" s="21" t="str">
        <f t="shared" si="13"/>
        <v>VNPAY</v>
      </c>
      <c r="HC6" s="21" t="str">
        <f t="shared" si="14"/>
        <v>5D</v>
      </c>
      <c r="HD6" s="63" t="b">
        <v>0</v>
      </c>
      <c r="HE6" s="21" t="s">
        <v>189</v>
      </c>
      <c r="HF6" s="21" t="s">
        <v>188</v>
      </c>
      <c r="HG6" s="21" t="s">
        <v>188</v>
      </c>
      <c r="HH6" s="21" t="s">
        <v>258</v>
      </c>
      <c r="HI6" s="63" t="b">
        <v>0</v>
      </c>
      <c r="HJ6" s="21" t="s">
        <v>188</v>
      </c>
      <c r="HK6" s="21" t="str">
        <f t="shared" si="15"/>
        <v>VNPAY</v>
      </c>
      <c r="HL6" s="21" t="str">
        <f t="shared" si="16"/>
        <v>5D</v>
      </c>
      <c r="HM6" s="63" t="b">
        <v>0</v>
      </c>
      <c r="HN6" s="21" t="s">
        <v>189</v>
      </c>
      <c r="HO6" s="21" t="s">
        <v>188</v>
      </c>
      <c r="HP6" s="21" t="s">
        <v>188</v>
      </c>
      <c r="HQ6" s="21" t="s">
        <v>258</v>
      </c>
      <c r="HR6" s="63" t="b">
        <v>0</v>
      </c>
      <c r="HS6" s="21" t="s">
        <v>188</v>
      </c>
      <c r="HT6" s="21" t="str">
        <f t="shared" si="17"/>
        <v>VNPAY</v>
      </c>
      <c r="HU6" s="21" t="str">
        <f t="shared" si="18"/>
        <v>5D</v>
      </c>
      <c r="HV6" s="63" t="b">
        <v>0</v>
      </c>
      <c r="HW6" s="21" t="s">
        <v>189</v>
      </c>
      <c r="HX6" s="21" t="s">
        <v>188</v>
      </c>
      <c r="HY6" s="21" t="s">
        <v>188</v>
      </c>
      <c r="HZ6" s="21" t="s">
        <v>258</v>
      </c>
      <c r="IA6" s="63" t="b">
        <v>0</v>
      </c>
    </row>
    <row r="7" s="29" customFormat="1" ht="69" customHeight="1" spans="1:235">
      <c r="A7" s="7" t="s">
        <v>652</v>
      </c>
      <c r="B7" s="7" t="s">
        <v>653</v>
      </c>
      <c r="C7" s="94" t="s">
        <v>29</v>
      </c>
      <c r="D7" s="17" t="s">
        <v>637</v>
      </c>
      <c r="E7" s="7" t="s">
        <v>173</v>
      </c>
      <c r="F7" s="4" t="s">
        <v>31</v>
      </c>
      <c r="G7" s="4" t="s">
        <v>32</v>
      </c>
      <c r="H7" s="7" t="s">
        <v>174</v>
      </c>
      <c r="I7" s="7" t="s">
        <v>175</v>
      </c>
      <c r="J7" s="7"/>
      <c r="K7" s="7" t="s">
        <v>176</v>
      </c>
      <c r="L7" s="7"/>
      <c r="M7" s="106"/>
      <c r="N7" s="106"/>
      <c r="O7" s="7"/>
      <c r="P7" s="7"/>
      <c r="Q7" s="7"/>
      <c r="R7" s="7"/>
      <c r="S7" s="7"/>
      <c r="T7" s="106"/>
      <c r="U7" s="7"/>
      <c r="V7" s="106"/>
      <c r="W7" s="7" t="s">
        <v>177</v>
      </c>
      <c r="X7" s="7" t="s">
        <v>178</v>
      </c>
      <c r="Y7" s="7" t="s">
        <v>177</v>
      </c>
      <c r="Z7" s="7" t="s">
        <v>178</v>
      </c>
      <c r="AA7" s="7" t="s">
        <v>178</v>
      </c>
      <c r="AB7" s="7"/>
      <c r="AC7" s="7" t="s">
        <v>638</v>
      </c>
      <c r="AD7" s="7" t="s">
        <v>173</v>
      </c>
      <c r="AE7" s="7" t="s">
        <v>192</v>
      </c>
      <c r="AF7" s="125" t="s">
        <v>51</v>
      </c>
      <c r="AG7" s="125" t="s">
        <v>51</v>
      </c>
      <c r="AH7" s="7" t="s">
        <v>181</v>
      </c>
      <c r="AI7" s="7" t="s">
        <v>639</v>
      </c>
      <c r="AJ7" s="95" t="s">
        <v>183</v>
      </c>
      <c r="AK7" s="110">
        <f t="shared" si="26"/>
        <v>0.777777777777778</v>
      </c>
      <c r="AL7" s="109">
        <f t="shared" si="27"/>
        <v>0.877777777777778</v>
      </c>
      <c r="AM7" s="95">
        <v>0</v>
      </c>
      <c r="AN7" s="7"/>
      <c r="AO7" s="7" t="s">
        <v>185</v>
      </c>
      <c r="AP7" s="7" t="s">
        <v>186</v>
      </c>
      <c r="AQ7" s="7" t="s">
        <v>34</v>
      </c>
      <c r="AR7" s="7" t="s">
        <v>174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 t="s">
        <v>36</v>
      </c>
      <c r="BA7" s="7" t="str">
        <f t="shared" si="0"/>
        <v>{{CTX:USER_NAME}}</v>
      </c>
      <c r="BB7" s="7" t="str">
        <f t="shared" si="1"/>
        <v>{{CTX:PARTNER_UID}}</v>
      </c>
      <c r="BC7" s="7" t="str">
        <f t="shared" si="2"/>
        <v>{{CTX:COURSE_UID}}</v>
      </c>
      <c r="BD7" s="7" t="str">
        <f t="shared" si="3"/>
        <v>18</v>
      </c>
      <c r="BE7" s="7" t="str">
        <f t="shared" si="4"/>
        <v>PhuongTT</v>
      </c>
      <c r="BF7" s="7"/>
      <c r="BG7" s="7" t="str">
        <f t="shared" si="19"/>
        <v>phuongtt@caro.vn</v>
      </c>
      <c r="BH7" s="7"/>
      <c r="BI7" s="7"/>
      <c r="BJ7" s="106"/>
      <c r="BK7" s="7"/>
      <c r="BL7" s="7"/>
      <c r="BM7" s="7"/>
      <c r="BN7" s="7"/>
      <c r="BO7" s="7"/>
      <c r="BP7" s="106"/>
      <c r="BQ7" s="7"/>
      <c r="BR7" s="106"/>
      <c r="BS7" s="7" t="str">
        <f t="shared" si="6"/>
        <v>false</v>
      </c>
      <c r="BT7" s="7" t="str">
        <f t="shared" si="7"/>
        <v>0</v>
      </c>
      <c r="BU7" s="7" t="str">
        <f t="shared" si="8"/>
        <v>false</v>
      </c>
      <c r="BV7" s="7" t="str">
        <f t="shared" si="9"/>
        <v>0</v>
      </c>
      <c r="BW7" s="7" t="str">
        <f t="shared" si="10"/>
        <v>0</v>
      </c>
      <c r="BX7" s="7"/>
      <c r="BY7" s="7" t="s">
        <v>638</v>
      </c>
      <c r="BZ7" s="7" t="s">
        <v>173</v>
      </c>
      <c r="CA7" s="7" t="s">
        <v>192</v>
      </c>
      <c r="CB7" s="7"/>
      <c r="CC7" s="7"/>
      <c r="CD7" s="7" t="s">
        <v>181</v>
      </c>
      <c r="CE7" s="7" t="s">
        <v>639</v>
      </c>
      <c r="CF7" s="95" t="s">
        <v>183</v>
      </c>
      <c r="CG7" s="110">
        <f t="shared" si="20"/>
        <v>0.777777777777778</v>
      </c>
      <c r="CH7" s="109">
        <f t="shared" si="21"/>
        <v>0.877777777777778</v>
      </c>
      <c r="CI7" s="95">
        <v>1</v>
      </c>
      <c r="CJ7" s="7"/>
      <c r="CK7" s="7" t="s">
        <v>185</v>
      </c>
      <c r="CL7" s="7" t="s">
        <v>186</v>
      </c>
      <c r="CM7" s="7" t="s">
        <v>34</v>
      </c>
      <c r="CN7" s="7" t="s">
        <v>174</v>
      </c>
      <c r="CO7" s="7" t="s">
        <v>33</v>
      </c>
      <c r="CP7" s="7" t="s">
        <v>36</v>
      </c>
      <c r="CQ7" s="7"/>
      <c r="CR7" s="7"/>
      <c r="CS7" s="7"/>
      <c r="CT7" s="7"/>
      <c r="CU7" s="7"/>
      <c r="CV7" s="7" t="s">
        <v>36</v>
      </c>
      <c r="CW7" s="7" t="s">
        <v>173</v>
      </c>
      <c r="CX7" s="7" t="s">
        <v>640</v>
      </c>
      <c r="CY7" s="7" t="s">
        <v>641</v>
      </c>
      <c r="CZ7" s="7" t="s">
        <v>174</v>
      </c>
      <c r="DA7" s="7" t="s">
        <v>175</v>
      </c>
      <c r="DB7" s="7"/>
      <c r="DC7" s="7" t="s">
        <v>176</v>
      </c>
      <c r="DD7" s="7"/>
      <c r="DE7" s="106"/>
      <c r="DF7" s="106"/>
      <c r="DG7" s="7"/>
      <c r="DH7" s="7"/>
      <c r="DI7" s="7"/>
      <c r="DJ7" s="7"/>
      <c r="DK7" s="7"/>
      <c r="DL7" s="106"/>
      <c r="DM7" s="7"/>
      <c r="DN7" s="106"/>
      <c r="DO7" s="7" t="s">
        <v>177</v>
      </c>
      <c r="DP7" s="7" t="s">
        <v>178</v>
      </c>
      <c r="DQ7" s="7" t="s">
        <v>177</v>
      </c>
      <c r="DR7" s="7" t="s">
        <v>178</v>
      </c>
      <c r="DS7" s="7" t="s">
        <v>178</v>
      </c>
      <c r="DT7" s="7"/>
      <c r="DU7" s="7" t="s">
        <v>638</v>
      </c>
      <c r="DV7" s="7" t="s">
        <v>173</v>
      </c>
      <c r="DW7" s="7" t="s">
        <v>192</v>
      </c>
      <c r="DX7" s="7"/>
      <c r="DY7" s="7"/>
      <c r="DZ7" s="7" t="s">
        <v>181</v>
      </c>
      <c r="EA7" s="7" t="s">
        <v>639</v>
      </c>
      <c r="EB7" s="95" t="s">
        <v>183</v>
      </c>
      <c r="EC7" s="110">
        <f t="shared" si="22"/>
        <v>0.777777777777778</v>
      </c>
      <c r="ED7" s="109">
        <f t="shared" si="23"/>
        <v>0.877777777777778</v>
      </c>
      <c r="EE7" s="95">
        <v>2</v>
      </c>
      <c r="EF7" s="7"/>
      <c r="EG7" s="7" t="s">
        <v>185</v>
      </c>
      <c r="EH7" s="7" t="s">
        <v>186</v>
      </c>
      <c r="EI7" s="7" t="s">
        <v>34</v>
      </c>
      <c r="EJ7" s="7" t="s">
        <v>174</v>
      </c>
      <c r="EK7" s="7" t="s">
        <v>33</v>
      </c>
      <c r="EL7" s="7" t="s">
        <v>36</v>
      </c>
      <c r="EM7" s="7"/>
      <c r="EN7" s="7"/>
      <c r="EO7" s="7"/>
      <c r="EP7" s="7"/>
      <c r="EQ7" s="7"/>
      <c r="ER7" s="7" t="s">
        <v>36</v>
      </c>
      <c r="ES7" s="7" t="s">
        <v>173</v>
      </c>
      <c r="ET7" s="7" t="s">
        <v>640</v>
      </c>
      <c r="EU7" s="7" t="s">
        <v>641</v>
      </c>
      <c r="EV7" s="7" t="s">
        <v>174</v>
      </c>
      <c r="EW7" s="7" t="s">
        <v>175</v>
      </c>
      <c r="EX7" s="7"/>
      <c r="EY7" s="7" t="s">
        <v>176</v>
      </c>
      <c r="EZ7" s="7"/>
      <c r="FA7" s="106"/>
      <c r="FB7" s="106"/>
      <c r="FC7" s="7"/>
      <c r="FD7" s="7"/>
      <c r="FE7" s="7"/>
      <c r="FF7" s="7"/>
      <c r="FG7" s="7"/>
      <c r="FH7" s="106"/>
      <c r="FI7" s="7"/>
      <c r="FJ7" s="106"/>
      <c r="FK7" s="7" t="s">
        <v>177</v>
      </c>
      <c r="FL7" s="7" t="s">
        <v>178</v>
      </c>
      <c r="FM7" s="7" t="s">
        <v>177</v>
      </c>
      <c r="FN7" s="7" t="s">
        <v>178</v>
      </c>
      <c r="FO7" s="7" t="s">
        <v>178</v>
      </c>
      <c r="FP7" s="7"/>
      <c r="FQ7" s="7" t="s">
        <v>638</v>
      </c>
      <c r="FR7" s="7" t="s">
        <v>173</v>
      </c>
      <c r="FS7" s="7" t="s">
        <v>192</v>
      </c>
      <c r="FT7" s="7"/>
      <c r="FU7" s="7"/>
      <c r="FV7" s="7" t="s">
        <v>181</v>
      </c>
      <c r="FW7" s="7" t="s">
        <v>639</v>
      </c>
      <c r="FX7" s="95" t="s">
        <v>183</v>
      </c>
      <c r="FY7" s="110">
        <f t="shared" si="24"/>
        <v>0.777777777777778</v>
      </c>
      <c r="FZ7" s="109">
        <f t="shared" si="25"/>
        <v>0.877777777777778</v>
      </c>
      <c r="GA7" s="95">
        <v>3</v>
      </c>
      <c r="GB7" s="7"/>
      <c r="GC7" s="7" t="s">
        <v>185</v>
      </c>
      <c r="GD7" s="7" t="s">
        <v>186</v>
      </c>
      <c r="GE7" s="7" t="s">
        <v>34</v>
      </c>
      <c r="GF7" s="7" t="s">
        <v>174</v>
      </c>
      <c r="GG7" s="7" t="s">
        <v>33</v>
      </c>
      <c r="GH7" s="7" t="s">
        <v>36</v>
      </c>
      <c r="GI7" s="7"/>
      <c r="GJ7" s="7"/>
      <c r="GK7" s="7"/>
      <c r="GL7" s="7"/>
      <c r="GM7" s="7"/>
      <c r="GN7" s="7" t="s">
        <v>36</v>
      </c>
      <c r="GO7" s="101" t="s">
        <v>642</v>
      </c>
      <c r="GP7" s="21">
        <v>200</v>
      </c>
      <c r="GQ7" s="21">
        <v>4</v>
      </c>
      <c r="GR7" s="21" t="s">
        <v>188</v>
      </c>
      <c r="GS7" s="21" t="str">
        <f t="shared" si="11"/>
        <v>PhuongTT</v>
      </c>
      <c r="GT7" s="21" t="str">
        <f t="shared" si="12"/>
        <v>4D</v>
      </c>
      <c r="GU7" s="63" t="b">
        <v>0</v>
      </c>
      <c r="GV7" s="21" t="s">
        <v>189</v>
      </c>
      <c r="GW7" s="21" t="s">
        <v>188</v>
      </c>
      <c r="GX7" s="21" t="s">
        <v>188</v>
      </c>
      <c r="GY7" s="21" t="s">
        <v>190</v>
      </c>
      <c r="GZ7" s="63" t="b">
        <v>1</v>
      </c>
      <c r="HA7" s="21" t="s">
        <v>188</v>
      </c>
      <c r="HB7" s="21" t="str">
        <f t="shared" si="13"/>
        <v>PhuongTT</v>
      </c>
      <c r="HC7" s="21" t="str">
        <f t="shared" si="14"/>
        <v>4D</v>
      </c>
      <c r="HD7" s="63" t="b">
        <v>0</v>
      </c>
      <c r="HE7" s="21" t="s">
        <v>189</v>
      </c>
      <c r="HF7" s="21" t="s">
        <v>188</v>
      </c>
      <c r="HG7" s="21" t="s">
        <v>188</v>
      </c>
      <c r="HH7" s="21" t="s">
        <v>190</v>
      </c>
      <c r="HI7" s="63" t="b">
        <v>0</v>
      </c>
      <c r="HJ7" s="21" t="s">
        <v>188</v>
      </c>
      <c r="HK7" s="21" t="str">
        <f t="shared" si="15"/>
        <v>PhuongTT</v>
      </c>
      <c r="HL7" s="21" t="str">
        <f t="shared" si="16"/>
        <v>4D</v>
      </c>
      <c r="HM7" s="63" t="b">
        <v>0</v>
      </c>
      <c r="HN7" s="21" t="s">
        <v>189</v>
      </c>
      <c r="HO7" s="21" t="s">
        <v>188</v>
      </c>
      <c r="HP7" s="21" t="s">
        <v>188</v>
      </c>
      <c r="HQ7" s="21" t="s">
        <v>190</v>
      </c>
      <c r="HR7" s="63" t="b">
        <v>0</v>
      </c>
      <c r="HS7" s="21" t="s">
        <v>188</v>
      </c>
      <c r="HT7" s="21" t="str">
        <f t="shared" si="17"/>
        <v>PhuongTT</v>
      </c>
      <c r="HU7" s="21" t="str">
        <f t="shared" si="18"/>
        <v>4D</v>
      </c>
      <c r="HV7" s="63" t="b">
        <v>0</v>
      </c>
      <c r="HW7" s="21" t="s">
        <v>189</v>
      </c>
      <c r="HX7" s="21" t="s">
        <v>188</v>
      </c>
      <c r="HY7" s="21" t="s">
        <v>188</v>
      </c>
      <c r="HZ7" s="21" t="s">
        <v>190</v>
      </c>
      <c r="IA7" s="63" t="b">
        <v>0</v>
      </c>
    </row>
    <row r="8" s="29" customFormat="1" ht="69" customHeight="1" spans="1:235">
      <c r="A8" s="7" t="s">
        <v>654</v>
      </c>
      <c r="B8" s="7" t="s">
        <v>655</v>
      </c>
      <c r="C8" s="94" t="s">
        <v>29</v>
      </c>
      <c r="D8" s="17" t="s">
        <v>637</v>
      </c>
      <c r="E8" s="7" t="s">
        <v>173</v>
      </c>
      <c r="F8" s="4" t="s">
        <v>31</v>
      </c>
      <c r="G8" s="4" t="s">
        <v>32</v>
      </c>
      <c r="H8" s="7" t="s">
        <v>174</v>
      </c>
      <c r="I8" s="7" t="s">
        <v>319</v>
      </c>
      <c r="J8" s="7"/>
      <c r="K8" s="7" t="s">
        <v>176</v>
      </c>
      <c r="L8" s="7"/>
      <c r="M8" s="106"/>
      <c r="N8" s="106"/>
      <c r="O8" s="7"/>
      <c r="P8" s="7"/>
      <c r="Q8" s="7"/>
      <c r="R8" s="7"/>
      <c r="S8" s="7"/>
      <c r="T8" s="106"/>
      <c r="U8" s="7"/>
      <c r="V8" s="106"/>
      <c r="W8" s="7" t="s">
        <v>177</v>
      </c>
      <c r="X8" s="7" t="s">
        <v>178</v>
      </c>
      <c r="Y8" s="7" t="s">
        <v>177</v>
      </c>
      <c r="Z8" s="7" t="s">
        <v>178</v>
      </c>
      <c r="AA8" s="7" t="s">
        <v>178</v>
      </c>
      <c r="AB8" s="7"/>
      <c r="AC8" s="7" t="s">
        <v>638</v>
      </c>
      <c r="AD8" s="7" t="s">
        <v>173</v>
      </c>
      <c r="AE8" s="7" t="s">
        <v>319</v>
      </c>
      <c r="AF8" s="125" t="s">
        <v>54</v>
      </c>
      <c r="AG8" s="125" t="s">
        <v>54</v>
      </c>
      <c r="AH8" s="7" t="s">
        <v>181</v>
      </c>
      <c r="AI8" s="7" t="s">
        <v>639</v>
      </c>
      <c r="AJ8" s="95" t="s">
        <v>183</v>
      </c>
      <c r="AK8" s="110">
        <f t="shared" si="26"/>
        <v>0.783333333333333</v>
      </c>
      <c r="AL8" s="109">
        <f t="shared" si="27"/>
        <v>0.883333333333333</v>
      </c>
      <c r="AM8" s="95">
        <v>0</v>
      </c>
      <c r="AN8" s="7"/>
      <c r="AO8" s="7" t="s">
        <v>185</v>
      </c>
      <c r="AP8" s="7" t="s">
        <v>186</v>
      </c>
      <c r="AQ8" s="7">
        <v>1</v>
      </c>
      <c r="AR8" s="7">
        <v>18</v>
      </c>
      <c r="AS8" s="7" t="s">
        <v>33</v>
      </c>
      <c r="AT8" s="7" t="s">
        <v>36</v>
      </c>
      <c r="AU8" s="7">
        <v>3088327983</v>
      </c>
      <c r="AV8" s="7" t="s">
        <v>320</v>
      </c>
      <c r="AW8" s="7" t="s">
        <v>321</v>
      </c>
      <c r="AX8" s="7" t="s">
        <v>320</v>
      </c>
      <c r="AY8" s="7" t="s">
        <v>320</v>
      </c>
      <c r="AZ8" s="7" t="s">
        <v>36</v>
      </c>
      <c r="BA8" s="7" t="str">
        <f t="shared" si="0"/>
        <v>{{CTX:USER_NAME}}</v>
      </c>
      <c r="BB8" s="7" t="str">
        <f t="shared" si="1"/>
        <v>{{CTX:PARTNER_UID}}</v>
      </c>
      <c r="BC8" s="7" t="str">
        <f t="shared" si="2"/>
        <v>{{CTX:COURSE_UID}}</v>
      </c>
      <c r="BD8" s="7" t="str">
        <f t="shared" si="3"/>
        <v>18</v>
      </c>
      <c r="BE8" s="7" t="str">
        <f t="shared" si="4"/>
        <v>Trần Phương MB</v>
      </c>
      <c r="BF8" s="7"/>
      <c r="BG8" s="7" t="str">
        <f t="shared" si="19"/>
        <v>phuongtt@caro.vn</v>
      </c>
      <c r="BH8" s="7"/>
      <c r="BI8" s="7"/>
      <c r="BJ8" s="106"/>
      <c r="BK8" s="7"/>
      <c r="BL8" s="7"/>
      <c r="BM8" s="7"/>
      <c r="BN8" s="7"/>
      <c r="BO8" s="7"/>
      <c r="BP8" s="106"/>
      <c r="BQ8" s="7"/>
      <c r="BR8" s="106"/>
      <c r="BS8" s="7" t="str">
        <f t="shared" si="6"/>
        <v>false</v>
      </c>
      <c r="BT8" s="7" t="str">
        <f t="shared" si="7"/>
        <v>0</v>
      </c>
      <c r="BU8" s="7" t="str">
        <f t="shared" si="8"/>
        <v>false</v>
      </c>
      <c r="BV8" s="7" t="str">
        <f t="shared" si="9"/>
        <v>0</v>
      </c>
      <c r="BW8" s="7" t="str">
        <f t="shared" si="10"/>
        <v>0</v>
      </c>
      <c r="BX8" s="7"/>
      <c r="BY8" s="7" t="s">
        <v>638</v>
      </c>
      <c r="BZ8" s="7" t="s">
        <v>173</v>
      </c>
      <c r="CA8" s="7" t="s">
        <v>319</v>
      </c>
      <c r="CB8" s="7"/>
      <c r="CC8" s="7"/>
      <c r="CD8" s="7" t="s">
        <v>181</v>
      </c>
      <c r="CE8" s="7" t="s">
        <v>639</v>
      </c>
      <c r="CF8" s="95" t="s">
        <v>183</v>
      </c>
      <c r="CG8" s="110">
        <f t="shared" si="20"/>
        <v>0.783333333333333</v>
      </c>
      <c r="CH8" s="109">
        <f t="shared" si="21"/>
        <v>0.883333333333333</v>
      </c>
      <c r="CI8" s="95">
        <v>1</v>
      </c>
      <c r="CJ8" s="7"/>
      <c r="CK8" s="7" t="s">
        <v>185</v>
      </c>
      <c r="CL8" s="7" t="s">
        <v>186</v>
      </c>
      <c r="CM8" s="7">
        <v>1</v>
      </c>
      <c r="CN8" s="7">
        <v>18</v>
      </c>
      <c r="CO8" s="7" t="s">
        <v>33</v>
      </c>
      <c r="CP8" s="7" t="s">
        <v>36</v>
      </c>
      <c r="CQ8" s="7">
        <v>3088327983</v>
      </c>
      <c r="CR8" s="7" t="s">
        <v>320</v>
      </c>
      <c r="CS8" s="7" t="s">
        <v>321</v>
      </c>
      <c r="CT8" s="7" t="s">
        <v>320</v>
      </c>
      <c r="CU8" s="7" t="s">
        <v>320</v>
      </c>
      <c r="CV8" s="7" t="s">
        <v>36</v>
      </c>
      <c r="CW8" s="7" t="s">
        <v>173</v>
      </c>
      <c r="CX8" s="7" t="s">
        <v>640</v>
      </c>
      <c r="CY8" s="7" t="s">
        <v>641</v>
      </c>
      <c r="CZ8" s="7" t="s">
        <v>174</v>
      </c>
      <c r="DA8" s="7" t="s">
        <v>319</v>
      </c>
      <c r="DB8" s="7"/>
      <c r="DC8" s="7" t="s">
        <v>176</v>
      </c>
      <c r="DD8" s="7"/>
      <c r="DE8" s="106"/>
      <c r="DF8" s="106"/>
      <c r="DG8" s="7"/>
      <c r="DH8" s="7"/>
      <c r="DI8" s="7"/>
      <c r="DJ8" s="7"/>
      <c r="DK8" s="7"/>
      <c r="DL8" s="106"/>
      <c r="DM8" s="7"/>
      <c r="DN8" s="106"/>
      <c r="DO8" s="7" t="s">
        <v>177</v>
      </c>
      <c r="DP8" s="7" t="s">
        <v>178</v>
      </c>
      <c r="DQ8" s="7" t="s">
        <v>177</v>
      </c>
      <c r="DR8" s="7" t="s">
        <v>178</v>
      </c>
      <c r="DS8" s="7" t="s">
        <v>178</v>
      </c>
      <c r="DT8" s="7"/>
      <c r="DU8" s="7" t="s">
        <v>638</v>
      </c>
      <c r="DV8" s="7" t="s">
        <v>173</v>
      </c>
      <c r="DW8" s="7" t="s">
        <v>319</v>
      </c>
      <c r="DX8" s="7"/>
      <c r="DY8" s="7"/>
      <c r="DZ8" s="7" t="s">
        <v>181</v>
      </c>
      <c r="EA8" s="7" t="s">
        <v>639</v>
      </c>
      <c r="EB8" s="95" t="s">
        <v>183</v>
      </c>
      <c r="EC8" s="110">
        <f t="shared" si="22"/>
        <v>0.783333333333333</v>
      </c>
      <c r="ED8" s="109">
        <f t="shared" si="23"/>
        <v>0.883333333333333</v>
      </c>
      <c r="EE8" s="95">
        <v>2</v>
      </c>
      <c r="EF8" s="7"/>
      <c r="EG8" s="7" t="s">
        <v>185</v>
      </c>
      <c r="EH8" s="7" t="s">
        <v>186</v>
      </c>
      <c r="EI8" s="7">
        <v>1</v>
      </c>
      <c r="EJ8" s="7">
        <v>18</v>
      </c>
      <c r="EK8" s="7" t="s">
        <v>33</v>
      </c>
      <c r="EL8" s="7" t="s">
        <v>36</v>
      </c>
      <c r="EM8" s="7">
        <v>3088327983</v>
      </c>
      <c r="EN8" s="7" t="s">
        <v>320</v>
      </c>
      <c r="EO8" s="7" t="s">
        <v>321</v>
      </c>
      <c r="EP8" s="7" t="s">
        <v>320</v>
      </c>
      <c r="EQ8" s="7" t="s">
        <v>320</v>
      </c>
      <c r="ER8" s="7" t="s">
        <v>36</v>
      </c>
      <c r="ES8" s="7" t="s">
        <v>173</v>
      </c>
      <c r="ET8" s="7" t="s">
        <v>640</v>
      </c>
      <c r="EU8" s="7" t="s">
        <v>641</v>
      </c>
      <c r="EV8" s="7" t="s">
        <v>174</v>
      </c>
      <c r="EW8" s="7" t="s">
        <v>319</v>
      </c>
      <c r="EX8" s="7"/>
      <c r="EY8" s="7" t="s">
        <v>176</v>
      </c>
      <c r="EZ8" s="7"/>
      <c r="FA8" s="106"/>
      <c r="FB8" s="106"/>
      <c r="FC8" s="7"/>
      <c r="FD8" s="7"/>
      <c r="FE8" s="7"/>
      <c r="FF8" s="7"/>
      <c r="FG8" s="7"/>
      <c r="FH8" s="106"/>
      <c r="FI8" s="7"/>
      <c r="FJ8" s="106"/>
      <c r="FK8" s="7" t="s">
        <v>177</v>
      </c>
      <c r="FL8" s="7" t="s">
        <v>178</v>
      </c>
      <c r="FM8" s="7" t="s">
        <v>177</v>
      </c>
      <c r="FN8" s="7" t="s">
        <v>178</v>
      </c>
      <c r="FO8" s="7" t="s">
        <v>178</v>
      </c>
      <c r="FP8" s="7"/>
      <c r="FQ8" s="7" t="s">
        <v>638</v>
      </c>
      <c r="FR8" s="7" t="s">
        <v>173</v>
      </c>
      <c r="FS8" s="7" t="s">
        <v>319</v>
      </c>
      <c r="FT8" s="7"/>
      <c r="FU8" s="7"/>
      <c r="FV8" s="7" t="s">
        <v>181</v>
      </c>
      <c r="FW8" s="7" t="s">
        <v>639</v>
      </c>
      <c r="FX8" s="95" t="s">
        <v>183</v>
      </c>
      <c r="FY8" s="110">
        <f t="shared" si="24"/>
        <v>0.783333333333333</v>
      </c>
      <c r="FZ8" s="109">
        <f t="shared" si="25"/>
        <v>0.883333333333333</v>
      </c>
      <c r="GA8" s="95">
        <v>3</v>
      </c>
      <c r="GB8" s="7"/>
      <c r="GC8" s="7" t="s">
        <v>185</v>
      </c>
      <c r="GD8" s="7" t="s">
        <v>186</v>
      </c>
      <c r="GE8" s="7">
        <v>1</v>
      </c>
      <c r="GF8" s="7">
        <v>18</v>
      </c>
      <c r="GG8" s="7" t="s">
        <v>33</v>
      </c>
      <c r="GH8" s="7" t="s">
        <v>36</v>
      </c>
      <c r="GI8" s="7">
        <v>3088327983</v>
      </c>
      <c r="GJ8" s="7" t="s">
        <v>320</v>
      </c>
      <c r="GK8" s="7" t="s">
        <v>321</v>
      </c>
      <c r="GL8" s="7" t="s">
        <v>320</v>
      </c>
      <c r="GM8" s="7" t="s">
        <v>320</v>
      </c>
      <c r="GN8" s="7" t="s">
        <v>36</v>
      </c>
      <c r="GO8" s="101" t="s">
        <v>642</v>
      </c>
      <c r="GP8" s="21">
        <v>200</v>
      </c>
      <c r="GQ8" s="21">
        <v>4</v>
      </c>
      <c r="GR8" s="21" t="s">
        <v>188</v>
      </c>
      <c r="GS8" s="21" t="str">
        <f t="shared" si="11"/>
        <v>Trần Phương MB</v>
      </c>
      <c r="GT8" s="21">
        <f t="shared" si="12"/>
        <v>1</v>
      </c>
      <c r="GU8" s="63" t="b">
        <v>0</v>
      </c>
      <c r="GV8" s="21" t="s">
        <v>189</v>
      </c>
      <c r="GW8" s="21" t="s">
        <v>188</v>
      </c>
      <c r="GX8" s="21" t="s">
        <v>188</v>
      </c>
      <c r="GY8" s="21" t="s">
        <v>322</v>
      </c>
      <c r="GZ8" s="63" t="b">
        <v>1</v>
      </c>
      <c r="HA8" s="21" t="s">
        <v>188</v>
      </c>
      <c r="HB8" s="21" t="str">
        <f t="shared" si="13"/>
        <v>Trần Phương MB</v>
      </c>
      <c r="HC8" s="21">
        <f t="shared" si="14"/>
        <v>1</v>
      </c>
      <c r="HD8" s="63" t="b">
        <v>0</v>
      </c>
      <c r="HE8" s="21" t="s">
        <v>189</v>
      </c>
      <c r="HF8" s="21" t="s">
        <v>188</v>
      </c>
      <c r="HG8" s="21" t="s">
        <v>188</v>
      </c>
      <c r="HH8" s="21" t="s">
        <v>322</v>
      </c>
      <c r="HI8" s="63" t="b">
        <v>0</v>
      </c>
      <c r="HJ8" s="21" t="s">
        <v>188</v>
      </c>
      <c r="HK8" s="21" t="str">
        <f t="shared" si="15"/>
        <v>Trần Phương MB</v>
      </c>
      <c r="HL8" s="21">
        <f t="shared" si="16"/>
        <v>1</v>
      </c>
      <c r="HM8" s="63" t="b">
        <v>0</v>
      </c>
      <c r="HN8" s="21" t="s">
        <v>189</v>
      </c>
      <c r="HO8" s="21" t="s">
        <v>188</v>
      </c>
      <c r="HP8" s="21" t="s">
        <v>188</v>
      </c>
      <c r="HQ8" s="21" t="s">
        <v>322</v>
      </c>
      <c r="HR8" s="63" t="b">
        <v>0</v>
      </c>
      <c r="HS8" s="21" t="s">
        <v>188</v>
      </c>
      <c r="HT8" s="21" t="str">
        <f t="shared" si="17"/>
        <v>Trần Phương MB</v>
      </c>
      <c r="HU8" s="21">
        <f t="shared" si="18"/>
        <v>1</v>
      </c>
      <c r="HV8" s="63" t="b">
        <v>0</v>
      </c>
      <c r="HW8" s="21" t="s">
        <v>189</v>
      </c>
      <c r="HX8" s="21" t="s">
        <v>188</v>
      </c>
      <c r="HY8" s="21" t="s">
        <v>188</v>
      </c>
      <c r="HZ8" s="21" t="s">
        <v>322</v>
      </c>
      <c r="IA8" s="63" t="b">
        <v>0</v>
      </c>
    </row>
    <row r="9" s="29" customFormat="1" ht="69" customHeight="1" spans="1:235">
      <c r="A9" s="7" t="s">
        <v>656</v>
      </c>
      <c r="B9" s="7" t="s">
        <v>657</v>
      </c>
      <c r="C9" s="94" t="s">
        <v>29</v>
      </c>
      <c r="D9" s="17" t="s">
        <v>637</v>
      </c>
      <c r="E9" s="7" t="s">
        <v>173</v>
      </c>
      <c r="F9" s="4" t="s">
        <v>31</v>
      </c>
      <c r="G9" s="4" t="s">
        <v>32</v>
      </c>
      <c r="H9" s="7" t="s">
        <v>174</v>
      </c>
      <c r="I9" s="7" t="s">
        <v>319</v>
      </c>
      <c r="J9" s="7"/>
      <c r="K9" s="7" t="s">
        <v>176</v>
      </c>
      <c r="L9" s="7"/>
      <c r="M9" s="106"/>
      <c r="N9" s="106"/>
      <c r="O9" s="7"/>
      <c r="P9" s="7"/>
      <c r="Q9" s="7"/>
      <c r="R9" s="7"/>
      <c r="S9" s="7"/>
      <c r="T9" s="7"/>
      <c r="U9" s="7"/>
      <c r="V9" s="7"/>
      <c r="W9" s="7" t="s">
        <v>177</v>
      </c>
      <c r="X9" s="7" t="s">
        <v>178</v>
      </c>
      <c r="Y9" s="7" t="s">
        <v>177</v>
      </c>
      <c r="Z9" s="7" t="s">
        <v>178</v>
      </c>
      <c r="AA9" s="7" t="s">
        <v>178</v>
      </c>
      <c r="AB9" s="7"/>
      <c r="AC9" s="7" t="s">
        <v>638</v>
      </c>
      <c r="AD9" s="7" t="s">
        <v>173</v>
      </c>
      <c r="AE9" s="7" t="s">
        <v>341</v>
      </c>
      <c r="AF9" s="125" t="s">
        <v>57</v>
      </c>
      <c r="AG9" s="125" t="s">
        <v>57</v>
      </c>
      <c r="AH9" s="7" t="s">
        <v>181</v>
      </c>
      <c r="AI9" s="7" t="s">
        <v>639</v>
      </c>
      <c r="AJ9" s="95" t="s">
        <v>183</v>
      </c>
      <c r="AK9" s="110">
        <f t="shared" si="26"/>
        <v>0.788888888888889</v>
      </c>
      <c r="AL9" s="109">
        <f t="shared" si="27"/>
        <v>0.888888888888889</v>
      </c>
      <c r="AM9" s="95">
        <v>0</v>
      </c>
      <c r="AN9" s="7"/>
      <c r="AO9" s="7" t="s">
        <v>185</v>
      </c>
      <c r="AP9" s="7" t="s">
        <v>186</v>
      </c>
      <c r="AQ9" s="7">
        <v>2</v>
      </c>
      <c r="AR9" s="7">
        <v>18</v>
      </c>
      <c r="AS9" s="7" t="s">
        <v>33</v>
      </c>
      <c r="AT9" s="7" t="s">
        <v>36</v>
      </c>
      <c r="AU9" s="7">
        <v>3088327983</v>
      </c>
      <c r="AV9" s="7" t="s">
        <v>320</v>
      </c>
      <c r="AW9" s="7" t="s">
        <v>321</v>
      </c>
      <c r="AX9" s="7" t="s">
        <v>320</v>
      </c>
      <c r="AY9" s="7"/>
      <c r="AZ9" s="7" t="s">
        <v>36</v>
      </c>
      <c r="BA9" s="7" t="str">
        <f t="shared" si="0"/>
        <v>{{CTX:USER_NAME}}</v>
      </c>
      <c r="BB9" s="7" t="str">
        <f t="shared" si="1"/>
        <v>{{CTX:PARTNER_UID}}</v>
      </c>
      <c r="BC9" s="7" t="str">
        <f t="shared" si="2"/>
        <v>{{CTX:COURSE_UID}}</v>
      </c>
      <c r="BD9" s="7" t="str">
        <f t="shared" si="3"/>
        <v>18</v>
      </c>
      <c r="BE9" s="7" t="str">
        <f t="shared" si="4"/>
        <v>Trần Phương MB</v>
      </c>
      <c r="BF9" s="7"/>
      <c r="BG9" s="7" t="str">
        <f t="shared" si="19"/>
        <v>phuongtt@caro.vn</v>
      </c>
      <c r="BH9" s="7"/>
      <c r="BI9" s="7"/>
      <c r="BJ9" s="106"/>
      <c r="BK9" s="7"/>
      <c r="BL9" s="7"/>
      <c r="BM9" s="7"/>
      <c r="BN9" s="7"/>
      <c r="BO9" s="7"/>
      <c r="BP9" s="7"/>
      <c r="BQ9" s="7"/>
      <c r="BR9" s="7"/>
      <c r="BS9" s="7" t="str">
        <f t="shared" si="6"/>
        <v>false</v>
      </c>
      <c r="BT9" s="7" t="str">
        <f t="shared" si="7"/>
        <v>0</v>
      </c>
      <c r="BU9" s="7" t="str">
        <f t="shared" si="8"/>
        <v>false</v>
      </c>
      <c r="BV9" s="7" t="str">
        <f t="shared" si="9"/>
        <v>0</v>
      </c>
      <c r="BW9" s="7" t="str">
        <f t="shared" si="10"/>
        <v>0</v>
      </c>
      <c r="BX9" s="7"/>
      <c r="BY9" s="7" t="s">
        <v>638</v>
      </c>
      <c r="BZ9" s="7" t="s">
        <v>173</v>
      </c>
      <c r="CA9" s="7" t="s">
        <v>341</v>
      </c>
      <c r="CB9" s="7"/>
      <c r="CC9" s="7"/>
      <c r="CD9" s="7" t="s">
        <v>181</v>
      </c>
      <c r="CE9" s="7" t="s">
        <v>639</v>
      </c>
      <c r="CF9" s="95" t="s">
        <v>183</v>
      </c>
      <c r="CG9" s="110">
        <f t="shared" si="20"/>
        <v>0.788888888888889</v>
      </c>
      <c r="CH9" s="109">
        <f t="shared" si="21"/>
        <v>0.888888888888889</v>
      </c>
      <c r="CI9" s="95">
        <v>1</v>
      </c>
      <c r="CJ9" s="7"/>
      <c r="CK9" s="7" t="s">
        <v>185</v>
      </c>
      <c r="CL9" s="7" t="s">
        <v>186</v>
      </c>
      <c r="CM9" s="7">
        <v>2</v>
      </c>
      <c r="CN9" s="7">
        <v>18</v>
      </c>
      <c r="CO9" s="7" t="s">
        <v>33</v>
      </c>
      <c r="CP9" s="7" t="s">
        <v>36</v>
      </c>
      <c r="CQ9" s="7">
        <v>3088327983</v>
      </c>
      <c r="CR9" s="7" t="s">
        <v>320</v>
      </c>
      <c r="CS9" s="7" t="s">
        <v>321</v>
      </c>
      <c r="CT9" s="7" t="s">
        <v>320</v>
      </c>
      <c r="CU9" s="7"/>
      <c r="CV9" s="7" t="s">
        <v>36</v>
      </c>
      <c r="CW9" s="7" t="s">
        <v>173</v>
      </c>
      <c r="CX9" s="7" t="s">
        <v>640</v>
      </c>
      <c r="CY9" s="7" t="s">
        <v>641</v>
      </c>
      <c r="CZ9" s="7" t="s">
        <v>174</v>
      </c>
      <c r="DA9" s="7" t="s">
        <v>319</v>
      </c>
      <c r="DB9" s="7"/>
      <c r="DC9" s="7" t="s">
        <v>176</v>
      </c>
      <c r="DD9" s="7"/>
      <c r="DE9" s="106"/>
      <c r="DF9" s="106"/>
      <c r="DG9" s="7"/>
      <c r="DH9" s="7"/>
      <c r="DI9" s="7"/>
      <c r="DJ9" s="7"/>
      <c r="DK9" s="7"/>
      <c r="DL9" s="7"/>
      <c r="DM9" s="7"/>
      <c r="DN9" s="7"/>
      <c r="DO9" s="7" t="s">
        <v>177</v>
      </c>
      <c r="DP9" s="7" t="s">
        <v>178</v>
      </c>
      <c r="DQ9" s="7" t="s">
        <v>177</v>
      </c>
      <c r="DR9" s="7" t="s">
        <v>178</v>
      </c>
      <c r="DS9" s="7" t="s">
        <v>178</v>
      </c>
      <c r="DT9" s="7"/>
      <c r="DU9" s="7" t="s">
        <v>638</v>
      </c>
      <c r="DV9" s="7" t="s">
        <v>173</v>
      </c>
      <c r="DW9" s="7" t="s">
        <v>341</v>
      </c>
      <c r="DX9" s="7"/>
      <c r="DY9" s="7"/>
      <c r="DZ9" s="7" t="s">
        <v>181</v>
      </c>
      <c r="EA9" s="7" t="s">
        <v>639</v>
      </c>
      <c r="EB9" s="95" t="s">
        <v>183</v>
      </c>
      <c r="EC9" s="110">
        <f t="shared" si="22"/>
        <v>0.788888888888889</v>
      </c>
      <c r="ED9" s="109">
        <f t="shared" si="23"/>
        <v>0.888888888888889</v>
      </c>
      <c r="EE9" s="95">
        <v>2</v>
      </c>
      <c r="EF9" s="7"/>
      <c r="EG9" s="7" t="s">
        <v>185</v>
      </c>
      <c r="EH9" s="7" t="s">
        <v>186</v>
      </c>
      <c r="EI9" s="7">
        <v>2</v>
      </c>
      <c r="EJ9" s="7">
        <v>18</v>
      </c>
      <c r="EK9" s="7" t="s">
        <v>33</v>
      </c>
      <c r="EL9" s="7" t="s">
        <v>36</v>
      </c>
      <c r="EM9" s="7">
        <v>3088327983</v>
      </c>
      <c r="EN9" s="7" t="s">
        <v>320</v>
      </c>
      <c r="EO9" s="7" t="s">
        <v>321</v>
      </c>
      <c r="EP9" s="7" t="s">
        <v>320</v>
      </c>
      <c r="EQ9" s="7"/>
      <c r="ER9" s="7" t="s">
        <v>36</v>
      </c>
      <c r="ES9" s="7" t="s">
        <v>173</v>
      </c>
      <c r="ET9" s="7" t="s">
        <v>640</v>
      </c>
      <c r="EU9" s="7" t="s">
        <v>641</v>
      </c>
      <c r="EV9" s="7" t="s">
        <v>174</v>
      </c>
      <c r="EW9" s="7" t="s">
        <v>319</v>
      </c>
      <c r="EX9" s="7"/>
      <c r="EY9" s="7" t="s">
        <v>176</v>
      </c>
      <c r="EZ9" s="7"/>
      <c r="FA9" s="106"/>
      <c r="FB9" s="106"/>
      <c r="FC9" s="7"/>
      <c r="FD9" s="7"/>
      <c r="FE9" s="7"/>
      <c r="FF9" s="7"/>
      <c r="FG9" s="7"/>
      <c r="FH9" s="7"/>
      <c r="FI9" s="7"/>
      <c r="FJ9" s="7"/>
      <c r="FK9" s="7" t="s">
        <v>177</v>
      </c>
      <c r="FL9" s="7" t="s">
        <v>178</v>
      </c>
      <c r="FM9" s="7" t="s">
        <v>177</v>
      </c>
      <c r="FN9" s="7" t="s">
        <v>178</v>
      </c>
      <c r="FO9" s="7" t="s">
        <v>178</v>
      </c>
      <c r="FP9" s="7"/>
      <c r="FQ9" s="7" t="s">
        <v>638</v>
      </c>
      <c r="FR9" s="7" t="s">
        <v>173</v>
      </c>
      <c r="FS9" s="7" t="s">
        <v>341</v>
      </c>
      <c r="FT9" s="7"/>
      <c r="FU9" s="7"/>
      <c r="FV9" s="7" t="s">
        <v>181</v>
      </c>
      <c r="FW9" s="7" t="s">
        <v>639</v>
      </c>
      <c r="FX9" s="95" t="s">
        <v>183</v>
      </c>
      <c r="FY9" s="110">
        <f t="shared" si="24"/>
        <v>0.788888888888889</v>
      </c>
      <c r="FZ9" s="109">
        <f t="shared" si="25"/>
        <v>0.888888888888889</v>
      </c>
      <c r="GA9" s="95">
        <v>3</v>
      </c>
      <c r="GB9" s="7"/>
      <c r="GC9" s="7" t="s">
        <v>185</v>
      </c>
      <c r="GD9" s="7" t="s">
        <v>186</v>
      </c>
      <c r="GE9" s="7">
        <v>2</v>
      </c>
      <c r="GF9" s="7">
        <v>18</v>
      </c>
      <c r="GG9" s="7" t="s">
        <v>33</v>
      </c>
      <c r="GH9" s="7" t="s">
        <v>36</v>
      </c>
      <c r="GI9" s="7">
        <v>3088327983</v>
      </c>
      <c r="GJ9" s="7" t="s">
        <v>320</v>
      </c>
      <c r="GK9" s="7" t="s">
        <v>321</v>
      </c>
      <c r="GL9" s="7" t="s">
        <v>320</v>
      </c>
      <c r="GM9" s="7"/>
      <c r="GN9" s="7" t="s">
        <v>36</v>
      </c>
      <c r="GO9" s="101" t="s">
        <v>642</v>
      </c>
      <c r="GP9" s="21">
        <v>200</v>
      </c>
      <c r="GQ9" s="21">
        <v>4</v>
      </c>
      <c r="GR9" s="21" t="s">
        <v>188</v>
      </c>
      <c r="GS9" s="21" t="str">
        <f t="shared" si="11"/>
        <v>Trần Phương MB</v>
      </c>
      <c r="GT9" s="21">
        <f t="shared" si="12"/>
        <v>2</v>
      </c>
      <c r="GU9" s="63" t="b">
        <v>0</v>
      </c>
      <c r="GV9" s="21" t="s">
        <v>189</v>
      </c>
      <c r="GW9" s="21" t="s">
        <v>188</v>
      </c>
      <c r="GX9" s="21" t="s">
        <v>188</v>
      </c>
      <c r="GY9" s="21" t="s">
        <v>326</v>
      </c>
      <c r="GZ9" s="63" t="b">
        <v>1</v>
      </c>
      <c r="HA9" s="21" t="s">
        <v>188</v>
      </c>
      <c r="HB9" s="21" t="str">
        <f t="shared" si="13"/>
        <v>Trần Phương MB</v>
      </c>
      <c r="HC9" s="21">
        <f t="shared" si="14"/>
        <v>2</v>
      </c>
      <c r="HD9" s="63" t="b">
        <v>0</v>
      </c>
      <c r="HE9" s="21" t="s">
        <v>189</v>
      </c>
      <c r="HF9" s="21" t="s">
        <v>188</v>
      </c>
      <c r="HG9" s="21" t="s">
        <v>188</v>
      </c>
      <c r="HH9" s="21" t="s">
        <v>326</v>
      </c>
      <c r="HI9" s="63" t="b">
        <v>0</v>
      </c>
      <c r="HJ9" s="21" t="s">
        <v>188</v>
      </c>
      <c r="HK9" s="21" t="str">
        <f t="shared" si="15"/>
        <v>Trần Phương MB</v>
      </c>
      <c r="HL9" s="21">
        <f t="shared" si="16"/>
        <v>2</v>
      </c>
      <c r="HM9" s="63" t="b">
        <v>0</v>
      </c>
      <c r="HN9" s="21" t="s">
        <v>189</v>
      </c>
      <c r="HO9" s="21" t="s">
        <v>188</v>
      </c>
      <c r="HP9" s="21" t="s">
        <v>188</v>
      </c>
      <c r="HQ9" s="21" t="s">
        <v>326</v>
      </c>
      <c r="HR9" s="63" t="b">
        <v>0</v>
      </c>
      <c r="HS9" s="21" t="s">
        <v>188</v>
      </c>
      <c r="HT9" s="21" t="str">
        <f t="shared" si="17"/>
        <v>Trần Phương MB</v>
      </c>
      <c r="HU9" s="21">
        <f t="shared" si="18"/>
        <v>2</v>
      </c>
      <c r="HV9" s="63" t="b">
        <v>0</v>
      </c>
      <c r="HW9" s="21" t="s">
        <v>189</v>
      </c>
      <c r="HX9" s="21" t="s">
        <v>188</v>
      </c>
      <c r="HY9" s="21" t="s">
        <v>188</v>
      </c>
      <c r="HZ9" s="21" t="s">
        <v>326</v>
      </c>
      <c r="IA9" s="63" t="b">
        <v>0</v>
      </c>
    </row>
    <row r="10" s="29" customFormat="1" ht="69" customHeight="1" spans="1:235">
      <c r="A10" s="7" t="s">
        <v>658</v>
      </c>
      <c r="B10" s="7" t="s">
        <v>659</v>
      </c>
      <c r="C10" s="94" t="s">
        <v>29</v>
      </c>
      <c r="D10" s="17" t="s">
        <v>651</v>
      </c>
      <c r="E10" s="7" t="s">
        <v>173</v>
      </c>
      <c r="F10" s="4" t="s">
        <v>31</v>
      </c>
      <c r="G10" s="4" t="s">
        <v>32</v>
      </c>
      <c r="H10" s="7" t="s">
        <v>174</v>
      </c>
      <c r="I10" s="7" t="s">
        <v>253</v>
      </c>
      <c r="J10" s="125" t="s">
        <v>254</v>
      </c>
      <c r="K10" s="107" t="s">
        <v>255</v>
      </c>
      <c r="L10" s="7">
        <v>378</v>
      </c>
      <c r="M10" s="106" t="s">
        <v>177</v>
      </c>
      <c r="N10" s="106" t="s">
        <v>177</v>
      </c>
      <c r="O10" s="7">
        <v>1600000</v>
      </c>
      <c r="P10" s="7">
        <v>400000</v>
      </c>
      <c r="Q10" s="7" t="s">
        <v>185</v>
      </c>
      <c r="R10" s="7" t="s">
        <v>185</v>
      </c>
      <c r="S10" s="7" t="s">
        <v>185</v>
      </c>
      <c r="T10" s="106" t="s">
        <v>256</v>
      </c>
      <c r="U10" s="7" t="s">
        <v>185</v>
      </c>
      <c r="V10" s="7" t="s">
        <v>185</v>
      </c>
      <c r="W10" s="7" t="s">
        <v>177</v>
      </c>
      <c r="X10" s="7" t="s">
        <v>178</v>
      </c>
      <c r="Y10" s="7" t="s">
        <v>177</v>
      </c>
      <c r="Z10" s="7" t="s">
        <v>178</v>
      </c>
      <c r="AA10" s="7" t="s">
        <v>178</v>
      </c>
      <c r="AB10" s="7"/>
      <c r="AC10" s="7" t="s">
        <v>638</v>
      </c>
      <c r="AD10" s="7" t="s">
        <v>173</v>
      </c>
      <c r="AE10" s="7" t="s">
        <v>344</v>
      </c>
      <c r="AF10" s="125" t="s">
        <v>60</v>
      </c>
      <c r="AG10" s="125" t="s">
        <v>60</v>
      </c>
      <c r="AH10" s="7" t="s">
        <v>181</v>
      </c>
      <c r="AI10" s="7" t="s">
        <v>639</v>
      </c>
      <c r="AJ10" s="95" t="s">
        <v>183</v>
      </c>
      <c r="AK10" s="110">
        <f t="shared" si="26"/>
        <v>0.794444444444444</v>
      </c>
      <c r="AL10" s="109">
        <f t="shared" si="27"/>
        <v>0.894444444444444</v>
      </c>
      <c r="AM10" s="95">
        <v>0</v>
      </c>
      <c r="AN10" s="7"/>
      <c r="AO10" s="7" t="s">
        <v>185</v>
      </c>
      <c r="AP10" s="7" t="s">
        <v>186</v>
      </c>
      <c r="AQ10" s="7" t="s">
        <v>48</v>
      </c>
      <c r="AR10" s="7">
        <v>18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7" t="s">
        <v>36</v>
      </c>
      <c r="BA10" s="7" t="str">
        <f t="shared" si="0"/>
        <v>{{CTX:USER_NAME}}</v>
      </c>
      <c r="BB10" s="7" t="str">
        <f t="shared" si="1"/>
        <v>{{CTX:PARTNER_UID}}</v>
      </c>
      <c r="BC10" s="7" t="str">
        <f t="shared" si="2"/>
        <v>{{CTX:COURSE_UID}}</v>
      </c>
      <c r="BD10" s="7" t="str">
        <f t="shared" si="3"/>
        <v>18</v>
      </c>
      <c r="BE10" s="7" t="str">
        <f t="shared" si="4"/>
        <v>VNPAY</v>
      </c>
      <c r="BF10" s="125" t="str">
        <f>J10</f>
        <v>0355653300</v>
      </c>
      <c r="BG10" s="7" t="str">
        <f t="shared" si="19"/>
        <v>vnpay00@vnpay.vn</v>
      </c>
      <c r="BH10" s="7">
        <f t="shared" si="28"/>
        <v>378</v>
      </c>
      <c r="BI10" s="7" t="str">
        <f t="shared" si="29"/>
        <v>false</v>
      </c>
      <c r="BJ10" s="106" t="s">
        <v>177</v>
      </c>
      <c r="BK10" s="7">
        <v>1600000</v>
      </c>
      <c r="BL10" s="7">
        <v>400000</v>
      </c>
      <c r="BM10" s="7" t="s">
        <v>185</v>
      </c>
      <c r="BN10" s="7" t="s">
        <v>185</v>
      </c>
      <c r="BO10" s="7" t="s">
        <v>185</v>
      </c>
      <c r="BP10" s="106" t="s">
        <v>256</v>
      </c>
      <c r="BQ10" s="7" t="s">
        <v>185</v>
      </c>
      <c r="BR10" s="7" t="s">
        <v>185</v>
      </c>
      <c r="BS10" s="7" t="str">
        <f t="shared" si="6"/>
        <v>false</v>
      </c>
      <c r="BT10" s="7" t="str">
        <f t="shared" si="7"/>
        <v>0</v>
      </c>
      <c r="BU10" s="7" t="str">
        <f t="shared" si="8"/>
        <v>false</v>
      </c>
      <c r="BV10" s="7" t="str">
        <f t="shared" si="9"/>
        <v>0</v>
      </c>
      <c r="BW10" s="7" t="str">
        <f t="shared" si="10"/>
        <v>0</v>
      </c>
      <c r="BX10" s="7"/>
      <c r="BY10" s="7" t="s">
        <v>638</v>
      </c>
      <c r="BZ10" s="7" t="s">
        <v>173</v>
      </c>
      <c r="CA10" s="7" t="s">
        <v>344</v>
      </c>
      <c r="CB10" s="7"/>
      <c r="CC10" s="7"/>
      <c r="CD10" s="7" t="s">
        <v>181</v>
      </c>
      <c r="CE10" s="7" t="s">
        <v>639</v>
      </c>
      <c r="CF10" s="95" t="s">
        <v>183</v>
      </c>
      <c r="CG10" s="110">
        <f t="shared" si="20"/>
        <v>0.794444444444444</v>
      </c>
      <c r="CH10" s="109">
        <f t="shared" si="21"/>
        <v>0.894444444444444</v>
      </c>
      <c r="CI10" s="95">
        <v>1</v>
      </c>
      <c r="CJ10" s="7"/>
      <c r="CK10" s="7" t="s">
        <v>185</v>
      </c>
      <c r="CL10" s="7" t="s">
        <v>186</v>
      </c>
      <c r="CM10" s="7" t="s">
        <v>48</v>
      </c>
      <c r="CN10" s="7">
        <v>18</v>
      </c>
      <c r="CO10" s="7" t="s">
        <v>33</v>
      </c>
      <c r="CP10" s="7" t="s">
        <v>36</v>
      </c>
      <c r="CQ10" s="7"/>
      <c r="CR10" s="7"/>
      <c r="CS10" s="7"/>
      <c r="CT10" s="7"/>
      <c r="CU10" s="7"/>
      <c r="CV10" s="7" t="s">
        <v>36</v>
      </c>
      <c r="CW10" s="7" t="s">
        <v>173</v>
      </c>
      <c r="CX10" s="7" t="s">
        <v>640</v>
      </c>
      <c r="CY10" s="7" t="s">
        <v>641</v>
      </c>
      <c r="CZ10" s="7" t="s">
        <v>174</v>
      </c>
      <c r="DA10" s="7" t="s">
        <v>253</v>
      </c>
      <c r="DB10" s="125" t="s">
        <v>254</v>
      </c>
      <c r="DC10" s="107" t="s">
        <v>255</v>
      </c>
      <c r="DD10" s="7">
        <v>378</v>
      </c>
      <c r="DE10" s="106" t="s">
        <v>177</v>
      </c>
      <c r="DF10" s="106" t="s">
        <v>177</v>
      </c>
      <c r="DG10" s="7">
        <v>1600000</v>
      </c>
      <c r="DH10" s="7">
        <v>400000</v>
      </c>
      <c r="DI10" s="7" t="s">
        <v>185</v>
      </c>
      <c r="DJ10" s="7" t="s">
        <v>185</v>
      </c>
      <c r="DK10" s="7" t="s">
        <v>185</v>
      </c>
      <c r="DL10" s="106" t="s">
        <v>256</v>
      </c>
      <c r="DM10" s="7" t="s">
        <v>185</v>
      </c>
      <c r="DN10" s="7" t="s">
        <v>185</v>
      </c>
      <c r="DO10" s="7" t="s">
        <v>177</v>
      </c>
      <c r="DP10" s="7" t="s">
        <v>178</v>
      </c>
      <c r="DQ10" s="7" t="s">
        <v>177</v>
      </c>
      <c r="DR10" s="7" t="s">
        <v>178</v>
      </c>
      <c r="DS10" s="7" t="s">
        <v>178</v>
      </c>
      <c r="DT10" s="7"/>
      <c r="DU10" s="7" t="s">
        <v>638</v>
      </c>
      <c r="DV10" s="7" t="s">
        <v>173</v>
      </c>
      <c r="DW10" s="7" t="s">
        <v>344</v>
      </c>
      <c r="DX10" s="7"/>
      <c r="DY10" s="7"/>
      <c r="DZ10" s="7" t="s">
        <v>181</v>
      </c>
      <c r="EA10" s="7" t="s">
        <v>639</v>
      </c>
      <c r="EB10" s="95" t="s">
        <v>183</v>
      </c>
      <c r="EC10" s="110">
        <f t="shared" si="22"/>
        <v>0.794444444444444</v>
      </c>
      <c r="ED10" s="109">
        <f t="shared" si="23"/>
        <v>0.894444444444444</v>
      </c>
      <c r="EE10" s="95">
        <v>2</v>
      </c>
      <c r="EF10" s="7"/>
      <c r="EG10" s="7" t="s">
        <v>185</v>
      </c>
      <c r="EH10" s="7" t="s">
        <v>186</v>
      </c>
      <c r="EI10" s="7" t="s">
        <v>48</v>
      </c>
      <c r="EJ10" s="7">
        <v>18</v>
      </c>
      <c r="EK10" s="7" t="s">
        <v>33</v>
      </c>
      <c r="EL10" s="7" t="s">
        <v>36</v>
      </c>
      <c r="EM10" s="7"/>
      <c r="EN10" s="7"/>
      <c r="EO10" s="7"/>
      <c r="EP10" s="7"/>
      <c r="EQ10" s="7"/>
      <c r="ER10" s="7" t="s">
        <v>36</v>
      </c>
      <c r="ES10" s="7" t="s">
        <v>173</v>
      </c>
      <c r="ET10" s="7" t="s">
        <v>640</v>
      </c>
      <c r="EU10" s="7" t="s">
        <v>641</v>
      </c>
      <c r="EV10" s="7" t="s">
        <v>174</v>
      </c>
      <c r="EW10" s="7" t="s">
        <v>253</v>
      </c>
      <c r="EX10" s="125" t="s">
        <v>254</v>
      </c>
      <c r="EY10" s="107" t="s">
        <v>255</v>
      </c>
      <c r="EZ10" s="7">
        <v>378</v>
      </c>
      <c r="FA10" s="106" t="s">
        <v>177</v>
      </c>
      <c r="FB10" s="106" t="s">
        <v>177</v>
      </c>
      <c r="FC10" s="7">
        <v>1600000</v>
      </c>
      <c r="FD10" s="7">
        <v>400000</v>
      </c>
      <c r="FE10" s="7" t="s">
        <v>185</v>
      </c>
      <c r="FF10" s="7" t="s">
        <v>185</v>
      </c>
      <c r="FG10" s="7" t="s">
        <v>185</v>
      </c>
      <c r="FH10" s="106" t="s">
        <v>256</v>
      </c>
      <c r="FI10" s="7" t="s">
        <v>185</v>
      </c>
      <c r="FJ10" s="7" t="s">
        <v>185</v>
      </c>
      <c r="FK10" s="7" t="s">
        <v>177</v>
      </c>
      <c r="FL10" s="7" t="s">
        <v>178</v>
      </c>
      <c r="FM10" s="7" t="s">
        <v>177</v>
      </c>
      <c r="FN10" s="7" t="s">
        <v>178</v>
      </c>
      <c r="FO10" s="7" t="s">
        <v>178</v>
      </c>
      <c r="FP10" s="7"/>
      <c r="FQ10" s="7" t="s">
        <v>638</v>
      </c>
      <c r="FR10" s="7" t="s">
        <v>173</v>
      </c>
      <c r="FS10" s="7" t="s">
        <v>344</v>
      </c>
      <c r="FT10" s="7"/>
      <c r="FU10" s="7"/>
      <c r="FV10" s="7" t="s">
        <v>181</v>
      </c>
      <c r="FW10" s="7" t="s">
        <v>639</v>
      </c>
      <c r="FX10" s="95" t="s">
        <v>183</v>
      </c>
      <c r="FY10" s="110">
        <f t="shared" si="24"/>
        <v>0.794444444444444</v>
      </c>
      <c r="FZ10" s="109">
        <f t="shared" si="25"/>
        <v>0.894444444444444</v>
      </c>
      <c r="GA10" s="95">
        <v>3</v>
      </c>
      <c r="GB10" s="7"/>
      <c r="GC10" s="7" t="s">
        <v>185</v>
      </c>
      <c r="GD10" s="7" t="s">
        <v>186</v>
      </c>
      <c r="GE10" s="7" t="s">
        <v>48</v>
      </c>
      <c r="GF10" s="7">
        <v>18</v>
      </c>
      <c r="GG10" s="7" t="s">
        <v>33</v>
      </c>
      <c r="GH10" s="7" t="s">
        <v>36</v>
      </c>
      <c r="GI10" s="7"/>
      <c r="GJ10" s="7"/>
      <c r="GK10" s="7"/>
      <c r="GL10" s="7"/>
      <c r="GM10" s="7"/>
      <c r="GN10" s="7" t="s">
        <v>36</v>
      </c>
      <c r="GO10" s="101" t="s">
        <v>642</v>
      </c>
      <c r="GP10" s="21">
        <v>200</v>
      </c>
      <c r="GQ10" s="21">
        <v>4</v>
      </c>
      <c r="GR10" s="21" t="s">
        <v>188</v>
      </c>
      <c r="GS10" s="21" t="str">
        <f t="shared" si="11"/>
        <v>VNPAY</v>
      </c>
      <c r="GT10" s="21" t="str">
        <f t="shared" si="12"/>
        <v>5D</v>
      </c>
      <c r="GU10" s="63" t="b">
        <v>0</v>
      </c>
      <c r="GV10" s="21" t="s">
        <v>189</v>
      </c>
      <c r="GW10" s="21" t="s">
        <v>188</v>
      </c>
      <c r="GX10" s="21" t="s">
        <v>188</v>
      </c>
      <c r="GY10" s="21" t="s">
        <v>258</v>
      </c>
      <c r="GZ10" s="63" t="b">
        <v>1</v>
      </c>
      <c r="HA10" s="21" t="s">
        <v>188</v>
      </c>
      <c r="HB10" s="21" t="str">
        <f t="shared" si="13"/>
        <v>VNPAY</v>
      </c>
      <c r="HC10" s="21" t="str">
        <f t="shared" si="14"/>
        <v>5D</v>
      </c>
      <c r="HD10" s="63" t="b">
        <v>0</v>
      </c>
      <c r="HE10" s="21" t="s">
        <v>189</v>
      </c>
      <c r="HF10" s="21" t="s">
        <v>188</v>
      </c>
      <c r="HG10" s="21" t="s">
        <v>188</v>
      </c>
      <c r="HH10" s="21" t="s">
        <v>258</v>
      </c>
      <c r="HI10" s="63" t="b">
        <v>0</v>
      </c>
      <c r="HJ10" s="21" t="s">
        <v>188</v>
      </c>
      <c r="HK10" s="21" t="str">
        <f t="shared" si="15"/>
        <v>VNPAY</v>
      </c>
      <c r="HL10" s="21" t="str">
        <f t="shared" si="16"/>
        <v>5D</v>
      </c>
      <c r="HM10" s="63" t="b">
        <v>0</v>
      </c>
      <c r="HN10" s="21" t="s">
        <v>189</v>
      </c>
      <c r="HO10" s="21" t="s">
        <v>188</v>
      </c>
      <c r="HP10" s="21" t="s">
        <v>188</v>
      </c>
      <c r="HQ10" s="21" t="s">
        <v>258</v>
      </c>
      <c r="HR10" s="63" t="b">
        <v>0</v>
      </c>
      <c r="HS10" s="21" t="s">
        <v>188</v>
      </c>
      <c r="HT10" s="21" t="str">
        <f t="shared" si="17"/>
        <v>VNPAY</v>
      </c>
      <c r="HU10" s="21" t="str">
        <f t="shared" si="18"/>
        <v>5D</v>
      </c>
      <c r="HV10" s="63" t="b">
        <v>0</v>
      </c>
      <c r="HW10" s="21" t="s">
        <v>189</v>
      </c>
      <c r="HX10" s="21" t="s">
        <v>188</v>
      </c>
      <c r="HY10" s="21" t="s">
        <v>188</v>
      </c>
      <c r="HZ10" s="21" t="s">
        <v>258</v>
      </c>
      <c r="IA10" s="63" t="b">
        <v>0</v>
      </c>
    </row>
    <row r="11" s="29" customFormat="1" ht="69" customHeight="1" spans="1:235">
      <c r="A11" s="7" t="s">
        <v>660</v>
      </c>
      <c r="B11" s="7" t="s">
        <v>661</v>
      </c>
      <c r="C11" s="94" t="s">
        <v>29</v>
      </c>
      <c r="D11" s="17" t="s">
        <v>651</v>
      </c>
      <c r="E11" s="7" t="s">
        <v>173</v>
      </c>
      <c r="F11" s="4" t="s">
        <v>31</v>
      </c>
      <c r="G11" s="4" t="s">
        <v>32</v>
      </c>
      <c r="H11" s="7" t="s">
        <v>174</v>
      </c>
      <c r="I11" s="7" t="s">
        <v>253</v>
      </c>
      <c r="J11" s="125" t="s">
        <v>254</v>
      </c>
      <c r="K11" s="107" t="s">
        <v>255</v>
      </c>
      <c r="L11" s="7">
        <v>378</v>
      </c>
      <c r="M11" s="106" t="s">
        <v>177</v>
      </c>
      <c r="N11" s="106" t="s">
        <v>177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106" t="s">
        <v>256</v>
      </c>
      <c r="U11" s="7">
        <v>0</v>
      </c>
      <c r="V11" s="7">
        <v>0</v>
      </c>
      <c r="W11" s="7" t="s">
        <v>177</v>
      </c>
      <c r="X11" s="7" t="s">
        <v>178</v>
      </c>
      <c r="Y11" s="7" t="s">
        <v>177</v>
      </c>
      <c r="Z11" s="7" t="s">
        <v>178</v>
      </c>
      <c r="AA11" s="7" t="s">
        <v>178</v>
      </c>
      <c r="AB11" s="7"/>
      <c r="AC11" s="7" t="s">
        <v>638</v>
      </c>
      <c r="AD11" s="7" t="s">
        <v>173</v>
      </c>
      <c r="AE11" s="7" t="s">
        <v>344</v>
      </c>
      <c r="AF11" s="7"/>
      <c r="AG11" s="7"/>
      <c r="AH11" s="7" t="s">
        <v>181</v>
      </c>
      <c r="AI11" s="7" t="s">
        <v>639</v>
      </c>
      <c r="AJ11" s="95" t="s">
        <v>183</v>
      </c>
      <c r="AK11" s="110">
        <f t="shared" si="26"/>
        <v>0.8</v>
      </c>
      <c r="AL11" s="109">
        <f t="shared" si="27"/>
        <v>0.9</v>
      </c>
      <c r="AM11" s="95">
        <v>0</v>
      </c>
      <c r="AN11" s="7"/>
      <c r="AO11" s="7" t="s">
        <v>185</v>
      </c>
      <c r="AP11" s="7" t="s">
        <v>186</v>
      </c>
      <c r="AQ11" s="7" t="s">
        <v>48</v>
      </c>
      <c r="AR11" s="7">
        <v>18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7" t="s">
        <v>36</v>
      </c>
      <c r="BA11" s="7" t="str">
        <f t="shared" si="0"/>
        <v>{{CTX:USER_NAME}}</v>
      </c>
      <c r="BB11" s="7" t="str">
        <f t="shared" si="1"/>
        <v>{{CTX:PARTNER_UID}}</v>
      </c>
      <c r="BC11" s="7" t="str">
        <f t="shared" si="2"/>
        <v>{{CTX:COURSE_UID}}</v>
      </c>
      <c r="BD11" s="7" t="str">
        <f t="shared" si="3"/>
        <v>18</v>
      </c>
      <c r="BE11" s="7" t="str">
        <f t="shared" si="4"/>
        <v>VNPAY</v>
      </c>
      <c r="BF11" s="125" t="str">
        <f>J11</f>
        <v>0355653300</v>
      </c>
      <c r="BG11" s="7" t="str">
        <f t="shared" si="19"/>
        <v>vnpay00@vnpay.vn</v>
      </c>
      <c r="BH11" s="7">
        <f t="shared" si="28"/>
        <v>378</v>
      </c>
      <c r="BI11" s="7" t="str">
        <f t="shared" si="29"/>
        <v>false</v>
      </c>
      <c r="BJ11" s="106" t="s">
        <v>177</v>
      </c>
      <c r="BK11" s="7">
        <v>1600000</v>
      </c>
      <c r="BL11" s="7">
        <v>400000</v>
      </c>
      <c r="BM11" s="7">
        <v>0</v>
      </c>
      <c r="BN11" s="7">
        <v>0</v>
      </c>
      <c r="BO11" s="7">
        <v>0</v>
      </c>
      <c r="BP11" s="106" t="s">
        <v>256</v>
      </c>
      <c r="BQ11" s="7">
        <v>0</v>
      </c>
      <c r="BR11" s="7">
        <v>0</v>
      </c>
      <c r="BS11" s="7" t="str">
        <f t="shared" si="6"/>
        <v>false</v>
      </c>
      <c r="BT11" s="7" t="str">
        <f t="shared" si="7"/>
        <v>0</v>
      </c>
      <c r="BU11" s="7" t="str">
        <f t="shared" si="8"/>
        <v>false</v>
      </c>
      <c r="BV11" s="7" t="str">
        <f t="shared" si="9"/>
        <v>0</v>
      </c>
      <c r="BW11" s="7" t="str">
        <f t="shared" si="10"/>
        <v>0</v>
      </c>
      <c r="BX11" s="7"/>
      <c r="BY11" s="7" t="s">
        <v>638</v>
      </c>
      <c r="BZ11" s="7" t="s">
        <v>173</v>
      </c>
      <c r="CA11" s="7" t="s">
        <v>344</v>
      </c>
      <c r="CB11" s="7"/>
      <c r="CC11" s="7"/>
      <c r="CD11" s="7" t="s">
        <v>181</v>
      </c>
      <c r="CE11" s="7" t="s">
        <v>639</v>
      </c>
      <c r="CF11" s="95" t="s">
        <v>183</v>
      </c>
      <c r="CG11" s="110">
        <f t="shared" si="20"/>
        <v>0.8</v>
      </c>
      <c r="CH11" s="109">
        <f t="shared" si="21"/>
        <v>0.9</v>
      </c>
      <c r="CI11" s="95">
        <v>1</v>
      </c>
      <c r="CJ11" s="7"/>
      <c r="CK11" s="7" t="s">
        <v>185</v>
      </c>
      <c r="CL11" s="7" t="s">
        <v>186</v>
      </c>
      <c r="CM11" s="7" t="s">
        <v>48</v>
      </c>
      <c r="CN11" s="7">
        <v>18</v>
      </c>
      <c r="CO11" s="7" t="s">
        <v>33</v>
      </c>
      <c r="CP11" s="7" t="s">
        <v>36</v>
      </c>
      <c r="CQ11" s="7"/>
      <c r="CR11" s="7"/>
      <c r="CS11" s="7"/>
      <c r="CT11" s="7"/>
      <c r="CU11" s="7"/>
      <c r="CV11" s="7" t="s">
        <v>36</v>
      </c>
      <c r="CW11" s="7" t="s">
        <v>173</v>
      </c>
      <c r="CX11" s="7" t="s">
        <v>640</v>
      </c>
      <c r="CY11" s="7" t="s">
        <v>641</v>
      </c>
      <c r="CZ11" s="7" t="s">
        <v>174</v>
      </c>
      <c r="DA11" s="7" t="s">
        <v>253</v>
      </c>
      <c r="DB11" s="125" t="s">
        <v>254</v>
      </c>
      <c r="DC11" s="107" t="s">
        <v>255</v>
      </c>
      <c r="DD11" s="7">
        <v>378</v>
      </c>
      <c r="DE11" s="106" t="s">
        <v>177</v>
      </c>
      <c r="DF11" s="106" t="s">
        <v>177</v>
      </c>
      <c r="DG11" s="7">
        <v>1600000</v>
      </c>
      <c r="DH11" s="7">
        <v>400000</v>
      </c>
      <c r="DI11" s="7">
        <v>0</v>
      </c>
      <c r="DJ11" s="7">
        <v>0</v>
      </c>
      <c r="DK11" s="7">
        <v>0</v>
      </c>
      <c r="DL11" s="106" t="s">
        <v>256</v>
      </c>
      <c r="DM11" s="7">
        <v>0</v>
      </c>
      <c r="DN11" s="7">
        <v>0</v>
      </c>
      <c r="DO11" s="7" t="s">
        <v>177</v>
      </c>
      <c r="DP11" s="7" t="s">
        <v>178</v>
      </c>
      <c r="DQ11" s="7" t="s">
        <v>177</v>
      </c>
      <c r="DR11" s="7" t="s">
        <v>178</v>
      </c>
      <c r="DS11" s="7" t="s">
        <v>178</v>
      </c>
      <c r="DT11" s="7"/>
      <c r="DU11" s="7" t="s">
        <v>638</v>
      </c>
      <c r="DV11" s="7" t="s">
        <v>173</v>
      </c>
      <c r="DW11" s="7" t="s">
        <v>344</v>
      </c>
      <c r="DX11" s="7"/>
      <c r="DY11" s="7"/>
      <c r="DZ11" s="7" t="s">
        <v>181</v>
      </c>
      <c r="EA11" s="7" t="s">
        <v>639</v>
      </c>
      <c r="EB11" s="95" t="s">
        <v>183</v>
      </c>
      <c r="EC11" s="110">
        <f t="shared" si="22"/>
        <v>0.8</v>
      </c>
      <c r="ED11" s="109">
        <f t="shared" si="23"/>
        <v>0.9</v>
      </c>
      <c r="EE11" s="95">
        <v>2</v>
      </c>
      <c r="EF11" s="7"/>
      <c r="EG11" s="7" t="s">
        <v>185</v>
      </c>
      <c r="EH11" s="7" t="s">
        <v>186</v>
      </c>
      <c r="EI11" s="7" t="s">
        <v>48</v>
      </c>
      <c r="EJ11" s="7">
        <v>18</v>
      </c>
      <c r="EK11" s="7" t="s">
        <v>33</v>
      </c>
      <c r="EL11" s="7" t="s">
        <v>36</v>
      </c>
      <c r="EM11" s="7"/>
      <c r="EN11" s="7"/>
      <c r="EO11" s="7"/>
      <c r="EP11" s="7"/>
      <c r="EQ11" s="7"/>
      <c r="ER11" s="7" t="s">
        <v>36</v>
      </c>
      <c r="ES11" s="7" t="s">
        <v>173</v>
      </c>
      <c r="ET11" s="7" t="s">
        <v>640</v>
      </c>
      <c r="EU11" s="7" t="s">
        <v>641</v>
      </c>
      <c r="EV11" s="7" t="s">
        <v>174</v>
      </c>
      <c r="EW11" s="7" t="s">
        <v>253</v>
      </c>
      <c r="EX11" s="125" t="s">
        <v>254</v>
      </c>
      <c r="EY11" s="107" t="s">
        <v>255</v>
      </c>
      <c r="EZ11" s="7">
        <v>378</v>
      </c>
      <c r="FA11" s="106" t="s">
        <v>177</v>
      </c>
      <c r="FB11" s="106" t="s">
        <v>177</v>
      </c>
      <c r="FC11" s="7">
        <v>1600000</v>
      </c>
      <c r="FD11" s="7">
        <v>400000</v>
      </c>
      <c r="FE11" s="7">
        <v>0</v>
      </c>
      <c r="FF11" s="7">
        <v>0</v>
      </c>
      <c r="FG11" s="7">
        <v>0</v>
      </c>
      <c r="FH11" s="106" t="s">
        <v>256</v>
      </c>
      <c r="FI11" s="7">
        <v>0</v>
      </c>
      <c r="FJ11" s="7">
        <v>0</v>
      </c>
      <c r="FK11" s="7" t="s">
        <v>177</v>
      </c>
      <c r="FL11" s="7" t="s">
        <v>178</v>
      </c>
      <c r="FM11" s="7" t="s">
        <v>177</v>
      </c>
      <c r="FN11" s="7" t="s">
        <v>178</v>
      </c>
      <c r="FO11" s="7" t="s">
        <v>178</v>
      </c>
      <c r="FP11" s="7"/>
      <c r="FQ11" s="7" t="s">
        <v>638</v>
      </c>
      <c r="FR11" s="7" t="s">
        <v>173</v>
      </c>
      <c r="FS11" s="7" t="s">
        <v>344</v>
      </c>
      <c r="FT11" s="7"/>
      <c r="FU11" s="7"/>
      <c r="FV11" s="7" t="s">
        <v>181</v>
      </c>
      <c r="FW11" s="7" t="s">
        <v>639</v>
      </c>
      <c r="FX11" s="95" t="s">
        <v>183</v>
      </c>
      <c r="FY11" s="110">
        <f t="shared" si="24"/>
        <v>0.8</v>
      </c>
      <c r="FZ11" s="109">
        <f t="shared" si="25"/>
        <v>0.9</v>
      </c>
      <c r="GA11" s="95">
        <v>3</v>
      </c>
      <c r="GB11" s="7"/>
      <c r="GC11" s="7" t="s">
        <v>185</v>
      </c>
      <c r="GD11" s="7" t="s">
        <v>186</v>
      </c>
      <c r="GE11" s="7" t="s">
        <v>48</v>
      </c>
      <c r="GF11" s="7">
        <v>18</v>
      </c>
      <c r="GG11" s="7" t="s">
        <v>33</v>
      </c>
      <c r="GH11" s="7" t="s">
        <v>36</v>
      </c>
      <c r="GI11" s="7"/>
      <c r="GJ11" s="7"/>
      <c r="GK11" s="7"/>
      <c r="GL11" s="7"/>
      <c r="GM11" s="7"/>
      <c r="GN11" s="7" t="s">
        <v>36</v>
      </c>
      <c r="GO11" s="101" t="s">
        <v>642</v>
      </c>
      <c r="GP11" s="21">
        <v>200</v>
      </c>
      <c r="GQ11" s="21">
        <v>4</v>
      </c>
      <c r="GR11" s="21" t="s">
        <v>188</v>
      </c>
      <c r="GS11" s="21" t="str">
        <f t="shared" si="11"/>
        <v>VNPAY</v>
      </c>
      <c r="GT11" s="21" t="str">
        <f t="shared" si="12"/>
        <v>5D</v>
      </c>
      <c r="GU11" s="63" t="b">
        <v>0</v>
      </c>
      <c r="GV11" s="21" t="s">
        <v>189</v>
      </c>
      <c r="GW11" s="21" t="s">
        <v>188</v>
      </c>
      <c r="GX11" s="21" t="s">
        <v>188</v>
      </c>
      <c r="GY11" s="21" t="s">
        <v>258</v>
      </c>
      <c r="GZ11" s="63" t="b">
        <v>0</v>
      </c>
      <c r="HA11" s="21" t="s">
        <v>188</v>
      </c>
      <c r="HB11" s="21" t="str">
        <f t="shared" si="13"/>
        <v>VNPAY</v>
      </c>
      <c r="HC11" s="21" t="str">
        <f t="shared" si="14"/>
        <v>5D</v>
      </c>
      <c r="HD11" s="63" t="b">
        <v>0</v>
      </c>
      <c r="HE11" s="21" t="s">
        <v>189</v>
      </c>
      <c r="HF11" s="21" t="s">
        <v>188</v>
      </c>
      <c r="HG11" s="21" t="s">
        <v>188</v>
      </c>
      <c r="HH11" s="21" t="s">
        <v>258</v>
      </c>
      <c r="HI11" s="63" t="b">
        <v>0</v>
      </c>
      <c r="HJ11" s="21" t="s">
        <v>188</v>
      </c>
      <c r="HK11" s="21" t="str">
        <f t="shared" si="15"/>
        <v>VNPAY</v>
      </c>
      <c r="HL11" s="21" t="str">
        <f t="shared" si="16"/>
        <v>5D</v>
      </c>
      <c r="HM11" s="63" t="b">
        <v>0</v>
      </c>
      <c r="HN11" s="21" t="s">
        <v>189</v>
      </c>
      <c r="HO11" s="21" t="s">
        <v>188</v>
      </c>
      <c r="HP11" s="21" t="s">
        <v>188</v>
      </c>
      <c r="HQ11" s="21" t="s">
        <v>258</v>
      </c>
      <c r="HR11" s="63" t="b">
        <v>0</v>
      </c>
      <c r="HS11" s="21" t="s">
        <v>188</v>
      </c>
      <c r="HT11" s="21" t="str">
        <f t="shared" si="17"/>
        <v>VNPAY</v>
      </c>
      <c r="HU11" s="21" t="str">
        <f t="shared" si="18"/>
        <v>5D</v>
      </c>
      <c r="HV11" s="63" t="b">
        <v>0</v>
      </c>
      <c r="HW11" s="21" t="s">
        <v>189</v>
      </c>
      <c r="HX11" s="21" t="s">
        <v>188</v>
      </c>
      <c r="HY11" s="21" t="s">
        <v>188</v>
      </c>
      <c r="HZ11" s="21" t="s">
        <v>258</v>
      </c>
      <c r="IA11" s="63" t="b">
        <v>0</v>
      </c>
    </row>
    <row r="12" s="29" customFormat="1" ht="69" customHeight="1" spans="1:235">
      <c r="A12" s="7" t="s">
        <v>662</v>
      </c>
      <c r="B12" s="7" t="s">
        <v>663</v>
      </c>
      <c r="C12" s="94" t="s">
        <v>29</v>
      </c>
      <c r="D12" s="17" t="s">
        <v>651</v>
      </c>
      <c r="E12" s="7" t="s">
        <v>173</v>
      </c>
      <c r="F12" s="4" t="s">
        <v>31</v>
      </c>
      <c r="G12" s="4" t="s">
        <v>32</v>
      </c>
      <c r="H12" s="7" t="s">
        <v>174</v>
      </c>
      <c r="I12" s="7" t="s">
        <v>253</v>
      </c>
      <c r="J12" s="125" t="s">
        <v>254</v>
      </c>
      <c r="K12" s="107" t="s">
        <v>255</v>
      </c>
      <c r="L12" s="7">
        <v>378</v>
      </c>
      <c r="M12" s="106" t="s">
        <v>177</v>
      </c>
      <c r="N12" s="106" t="s">
        <v>256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106" t="s">
        <v>256</v>
      </c>
      <c r="U12" s="7">
        <v>0</v>
      </c>
      <c r="V12" s="7">
        <v>0</v>
      </c>
      <c r="W12" s="7" t="s">
        <v>177</v>
      </c>
      <c r="X12" s="7" t="s">
        <v>178</v>
      </c>
      <c r="Y12" s="7" t="s">
        <v>177</v>
      </c>
      <c r="Z12" s="7" t="s">
        <v>178</v>
      </c>
      <c r="AA12" s="7" t="s">
        <v>178</v>
      </c>
      <c r="AB12" s="7"/>
      <c r="AC12" s="7" t="s">
        <v>638</v>
      </c>
      <c r="AD12" s="7" t="s">
        <v>173</v>
      </c>
      <c r="AE12" s="7" t="s">
        <v>344</v>
      </c>
      <c r="AF12" s="7"/>
      <c r="AG12" s="7"/>
      <c r="AH12" s="7" t="s">
        <v>181</v>
      </c>
      <c r="AI12" s="7" t="s">
        <v>639</v>
      </c>
      <c r="AJ12" s="95" t="s">
        <v>183</v>
      </c>
      <c r="AK12" s="110">
        <f t="shared" si="26"/>
        <v>0.805555555555555</v>
      </c>
      <c r="AL12" s="109">
        <f t="shared" si="27"/>
        <v>0.905555555555555</v>
      </c>
      <c r="AM12" s="95">
        <v>0</v>
      </c>
      <c r="AN12" s="7"/>
      <c r="AO12" s="7" t="s">
        <v>185</v>
      </c>
      <c r="AP12" s="7" t="s">
        <v>186</v>
      </c>
      <c r="AQ12" s="7" t="s">
        <v>48</v>
      </c>
      <c r="AR12" s="7">
        <v>18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7" t="s">
        <v>36</v>
      </c>
      <c r="BA12" s="7" t="str">
        <f t="shared" si="0"/>
        <v>{{CTX:USER_NAME}}</v>
      </c>
      <c r="BB12" s="7" t="str">
        <f t="shared" si="1"/>
        <v>{{CTX:PARTNER_UID}}</v>
      </c>
      <c r="BC12" s="7" t="str">
        <f t="shared" si="2"/>
        <v>{{CTX:COURSE_UID}}</v>
      </c>
      <c r="BD12" s="7" t="str">
        <f t="shared" si="3"/>
        <v>18</v>
      </c>
      <c r="BE12" s="7" t="str">
        <f t="shared" si="4"/>
        <v>VNPAY</v>
      </c>
      <c r="BF12" s="125" t="str">
        <f>J12</f>
        <v>0355653300</v>
      </c>
      <c r="BG12" s="7" t="str">
        <f t="shared" si="19"/>
        <v>vnpay00@vnpay.vn</v>
      </c>
      <c r="BH12" s="7">
        <f t="shared" si="28"/>
        <v>378</v>
      </c>
      <c r="BI12" s="7" t="str">
        <f t="shared" si="29"/>
        <v>false</v>
      </c>
      <c r="BJ12" s="106" t="s">
        <v>256</v>
      </c>
      <c r="BK12" s="7">
        <v>1600000</v>
      </c>
      <c r="BL12" s="7">
        <v>400000</v>
      </c>
      <c r="BM12" s="7">
        <v>0</v>
      </c>
      <c r="BN12" s="7">
        <v>0</v>
      </c>
      <c r="BO12" s="7">
        <v>0</v>
      </c>
      <c r="BP12" s="106" t="s">
        <v>256</v>
      </c>
      <c r="BQ12" s="7">
        <v>0</v>
      </c>
      <c r="BR12" s="7">
        <v>0</v>
      </c>
      <c r="BS12" s="7" t="str">
        <f t="shared" si="6"/>
        <v>false</v>
      </c>
      <c r="BT12" s="7" t="str">
        <f t="shared" si="7"/>
        <v>0</v>
      </c>
      <c r="BU12" s="7" t="str">
        <f t="shared" si="8"/>
        <v>false</v>
      </c>
      <c r="BV12" s="7" t="str">
        <f t="shared" si="9"/>
        <v>0</v>
      </c>
      <c r="BW12" s="7" t="str">
        <f t="shared" si="10"/>
        <v>0</v>
      </c>
      <c r="BX12" s="7"/>
      <c r="BY12" s="7" t="s">
        <v>638</v>
      </c>
      <c r="BZ12" s="7" t="s">
        <v>173</v>
      </c>
      <c r="CA12" s="7" t="s">
        <v>344</v>
      </c>
      <c r="CB12" s="7"/>
      <c r="CC12" s="7"/>
      <c r="CD12" s="7" t="s">
        <v>181</v>
      </c>
      <c r="CE12" s="7" t="s">
        <v>639</v>
      </c>
      <c r="CF12" s="95" t="s">
        <v>183</v>
      </c>
      <c r="CG12" s="110">
        <f t="shared" si="20"/>
        <v>0.805555555555555</v>
      </c>
      <c r="CH12" s="109">
        <f t="shared" si="21"/>
        <v>0.905555555555555</v>
      </c>
      <c r="CI12" s="95">
        <v>1</v>
      </c>
      <c r="CJ12" s="7"/>
      <c r="CK12" s="7" t="s">
        <v>185</v>
      </c>
      <c r="CL12" s="7" t="s">
        <v>186</v>
      </c>
      <c r="CM12" s="7" t="s">
        <v>48</v>
      </c>
      <c r="CN12" s="7">
        <v>18</v>
      </c>
      <c r="CO12" s="7" t="s">
        <v>33</v>
      </c>
      <c r="CP12" s="7" t="s">
        <v>36</v>
      </c>
      <c r="CQ12" s="7"/>
      <c r="CR12" s="7"/>
      <c r="CS12" s="7"/>
      <c r="CT12" s="7"/>
      <c r="CU12" s="7"/>
      <c r="CV12" s="7" t="s">
        <v>36</v>
      </c>
      <c r="CW12" s="7" t="s">
        <v>173</v>
      </c>
      <c r="CX12" s="7" t="s">
        <v>640</v>
      </c>
      <c r="CY12" s="7" t="s">
        <v>641</v>
      </c>
      <c r="CZ12" s="7" t="s">
        <v>174</v>
      </c>
      <c r="DA12" s="7" t="s">
        <v>253</v>
      </c>
      <c r="DB12" s="125" t="s">
        <v>254</v>
      </c>
      <c r="DC12" s="107" t="s">
        <v>255</v>
      </c>
      <c r="DD12" s="7">
        <v>378</v>
      </c>
      <c r="DE12" s="106" t="s">
        <v>177</v>
      </c>
      <c r="DF12" s="106" t="s">
        <v>256</v>
      </c>
      <c r="DG12" s="7">
        <v>1600000</v>
      </c>
      <c r="DH12" s="7">
        <v>400000</v>
      </c>
      <c r="DI12" s="7">
        <v>0</v>
      </c>
      <c r="DJ12" s="7">
        <v>0</v>
      </c>
      <c r="DK12" s="7">
        <v>0</v>
      </c>
      <c r="DL12" s="106" t="s">
        <v>256</v>
      </c>
      <c r="DM12" s="7">
        <v>0</v>
      </c>
      <c r="DN12" s="7">
        <v>0</v>
      </c>
      <c r="DO12" s="7" t="s">
        <v>177</v>
      </c>
      <c r="DP12" s="7" t="s">
        <v>178</v>
      </c>
      <c r="DQ12" s="7" t="s">
        <v>177</v>
      </c>
      <c r="DR12" s="7" t="s">
        <v>178</v>
      </c>
      <c r="DS12" s="7" t="s">
        <v>178</v>
      </c>
      <c r="DT12" s="7"/>
      <c r="DU12" s="7" t="s">
        <v>638</v>
      </c>
      <c r="DV12" s="7" t="s">
        <v>173</v>
      </c>
      <c r="DW12" s="7" t="s">
        <v>344</v>
      </c>
      <c r="DX12" s="7"/>
      <c r="DY12" s="7"/>
      <c r="DZ12" s="7" t="s">
        <v>181</v>
      </c>
      <c r="EA12" s="7" t="s">
        <v>639</v>
      </c>
      <c r="EB12" s="95" t="s">
        <v>183</v>
      </c>
      <c r="EC12" s="110">
        <f t="shared" si="22"/>
        <v>0.805555555555555</v>
      </c>
      <c r="ED12" s="109">
        <f t="shared" si="23"/>
        <v>0.905555555555555</v>
      </c>
      <c r="EE12" s="95">
        <v>2</v>
      </c>
      <c r="EF12" s="7"/>
      <c r="EG12" s="7" t="s">
        <v>185</v>
      </c>
      <c r="EH12" s="7" t="s">
        <v>186</v>
      </c>
      <c r="EI12" s="7" t="s">
        <v>48</v>
      </c>
      <c r="EJ12" s="7">
        <v>18</v>
      </c>
      <c r="EK12" s="7" t="s">
        <v>33</v>
      </c>
      <c r="EL12" s="7" t="s">
        <v>36</v>
      </c>
      <c r="EM12" s="7"/>
      <c r="EN12" s="7"/>
      <c r="EO12" s="7"/>
      <c r="EP12" s="7"/>
      <c r="EQ12" s="7"/>
      <c r="ER12" s="7" t="s">
        <v>36</v>
      </c>
      <c r="ES12" s="7" t="s">
        <v>173</v>
      </c>
      <c r="ET12" s="7" t="s">
        <v>640</v>
      </c>
      <c r="EU12" s="7" t="s">
        <v>641</v>
      </c>
      <c r="EV12" s="7" t="s">
        <v>174</v>
      </c>
      <c r="EW12" s="7" t="s">
        <v>253</v>
      </c>
      <c r="EX12" s="125" t="s">
        <v>254</v>
      </c>
      <c r="EY12" s="107" t="s">
        <v>255</v>
      </c>
      <c r="EZ12" s="7">
        <v>378</v>
      </c>
      <c r="FA12" s="106" t="s">
        <v>177</v>
      </c>
      <c r="FB12" s="106" t="s">
        <v>256</v>
      </c>
      <c r="FC12" s="7">
        <v>1600000</v>
      </c>
      <c r="FD12" s="7">
        <v>400000</v>
      </c>
      <c r="FE12" s="7">
        <v>0</v>
      </c>
      <c r="FF12" s="7">
        <v>0</v>
      </c>
      <c r="FG12" s="7">
        <v>0</v>
      </c>
      <c r="FH12" s="106" t="s">
        <v>256</v>
      </c>
      <c r="FI12" s="7">
        <v>0</v>
      </c>
      <c r="FJ12" s="7">
        <v>0</v>
      </c>
      <c r="FK12" s="7" t="s">
        <v>177</v>
      </c>
      <c r="FL12" s="7" t="s">
        <v>178</v>
      </c>
      <c r="FM12" s="7" t="s">
        <v>177</v>
      </c>
      <c r="FN12" s="7" t="s">
        <v>178</v>
      </c>
      <c r="FO12" s="7" t="s">
        <v>178</v>
      </c>
      <c r="FP12" s="7"/>
      <c r="FQ12" s="7" t="s">
        <v>638</v>
      </c>
      <c r="FR12" s="7" t="s">
        <v>173</v>
      </c>
      <c r="FS12" s="7" t="s">
        <v>344</v>
      </c>
      <c r="FT12" s="7"/>
      <c r="FU12" s="7"/>
      <c r="FV12" s="7" t="s">
        <v>181</v>
      </c>
      <c r="FW12" s="7" t="s">
        <v>639</v>
      </c>
      <c r="FX12" s="95" t="s">
        <v>183</v>
      </c>
      <c r="FY12" s="110">
        <f t="shared" si="24"/>
        <v>0.805555555555555</v>
      </c>
      <c r="FZ12" s="109">
        <f t="shared" si="25"/>
        <v>0.905555555555555</v>
      </c>
      <c r="GA12" s="95">
        <v>3</v>
      </c>
      <c r="GB12" s="7"/>
      <c r="GC12" s="7" t="s">
        <v>185</v>
      </c>
      <c r="GD12" s="7" t="s">
        <v>186</v>
      </c>
      <c r="GE12" s="7" t="s">
        <v>48</v>
      </c>
      <c r="GF12" s="7">
        <v>18</v>
      </c>
      <c r="GG12" s="7" t="s">
        <v>33</v>
      </c>
      <c r="GH12" s="7" t="s">
        <v>36</v>
      </c>
      <c r="GI12" s="7"/>
      <c r="GJ12" s="7"/>
      <c r="GK12" s="7"/>
      <c r="GL12" s="7"/>
      <c r="GM12" s="7"/>
      <c r="GN12" s="7" t="s">
        <v>36</v>
      </c>
      <c r="GO12" s="101" t="s">
        <v>642</v>
      </c>
      <c r="GP12" s="21">
        <v>200</v>
      </c>
      <c r="GQ12" s="21">
        <v>4</v>
      </c>
      <c r="GR12" s="21" t="s">
        <v>188</v>
      </c>
      <c r="GS12" s="21" t="str">
        <f t="shared" si="11"/>
        <v>VNPAY</v>
      </c>
      <c r="GT12" s="21" t="str">
        <f t="shared" si="12"/>
        <v>5D</v>
      </c>
      <c r="GU12" s="63" t="b">
        <v>0</v>
      </c>
      <c r="GV12" s="21" t="s">
        <v>189</v>
      </c>
      <c r="GW12" s="21" t="s">
        <v>188</v>
      </c>
      <c r="GX12" s="21" t="s">
        <v>188</v>
      </c>
      <c r="GY12" s="21" t="s">
        <v>258</v>
      </c>
      <c r="GZ12" s="63" t="b">
        <v>0</v>
      </c>
      <c r="HA12" s="21" t="s">
        <v>188</v>
      </c>
      <c r="HB12" s="21" t="str">
        <f t="shared" si="13"/>
        <v>VNPAY</v>
      </c>
      <c r="HC12" s="21" t="str">
        <f t="shared" si="14"/>
        <v>5D</v>
      </c>
      <c r="HD12" s="63" t="b">
        <v>0</v>
      </c>
      <c r="HE12" s="21" t="s">
        <v>189</v>
      </c>
      <c r="HF12" s="21" t="s">
        <v>188</v>
      </c>
      <c r="HG12" s="21" t="s">
        <v>188</v>
      </c>
      <c r="HH12" s="21" t="s">
        <v>258</v>
      </c>
      <c r="HI12" s="63" t="b">
        <v>0</v>
      </c>
      <c r="HJ12" s="21" t="s">
        <v>188</v>
      </c>
      <c r="HK12" s="21" t="str">
        <f t="shared" si="15"/>
        <v>VNPAY</v>
      </c>
      <c r="HL12" s="21" t="str">
        <f t="shared" si="16"/>
        <v>5D</v>
      </c>
      <c r="HM12" s="63" t="b">
        <v>0</v>
      </c>
      <c r="HN12" s="21" t="s">
        <v>189</v>
      </c>
      <c r="HO12" s="21" t="s">
        <v>188</v>
      </c>
      <c r="HP12" s="21" t="s">
        <v>188</v>
      </c>
      <c r="HQ12" s="21" t="s">
        <v>258</v>
      </c>
      <c r="HR12" s="63" t="b">
        <v>0</v>
      </c>
      <c r="HS12" s="21" t="s">
        <v>188</v>
      </c>
      <c r="HT12" s="21" t="str">
        <f t="shared" si="17"/>
        <v>VNPAY</v>
      </c>
      <c r="HU12" s="21" t="str">
        <f t="shared" si="18"/>
        <v>5D</v>
      </c>
      <c r="HV12" s="63" t="b">
        <v>0</v>
      </c>
      <c r="HW12" s="21" t="s">
        <v>189</v>
      </c>
      <c r="HX12" s="21" t="s">
        <v>188</v>
      </c>
      <c r="HY12" s="21" t="s">
        <v>188</v>
      </c>
      <c r="HZ12" s="21" t="s">
        <v>258</v>
      </c>
      <c r="IA12" s="63" t="b">
        <v>0</v>
      </c>
    </row>
    <row r="13" s="29" customFormat="1" ht="69" customHeight="1" spans="1:235">
      <c r="A13" s="7" t="s">
        <v>664</v>
      </c>
      <c r="B13" s="7" t="s">
        <v>665</v>
      </c>
      <c r="C13" s="94" t="s">
        <v>29</v>
      </c>
      <c r="D13" s="17" t="s">
        <v>651</v>
      </c>
      <c r="E13" s="7" t="s">
        <v>173</v>
      </c>
      <c r="F13" s="4" t="s">
        <v>31</v>
      </c>
      <c r="G13" s="4" t="s">
        <v>32</v>
      </c>
      <c r="H13" s="7" t="s">
        <v>174</v>
      </c>
      <c r="I13" s="7" t="s">
        <v>253</v>
      </c>
      <c r="J13" s="125" t="s">
        <v>254</v>
      </c>
      <c r="K13" s="107" t="s">
        <v>255</v>
      </c>
      <c r="L13" s="7">
        <v>378</v>
      </c>
      <c r="M13" s="106" t="s">
        <v>256</v>
      </c>
      <c r="N13" s="106" t="s">
        <v>177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106" t="s">
        <v>256</v>
      </c>
      <c r="U13" s="7">
        <v>0</v>
      </c>
      <c r="V13" s="7">
        <v>0</v>
      </c>
      <c r="W13" s="7" t="s">
        <v>177</v>
      </c>
      <c r="X13" s="7" t="s">
        <v>178</v>
      </c>
      <c r="Y13" s="7" t="s">
        <v>177</v>
      </c>
      <c r="Z13" s="7" t="s">
        <v>178</v>
      </c>
      <c r="AA13" s="7" t="s">
        <v>178</v>
      </c>
      <c r="AB13" s="7"/>
      <c r="AC13" s="7" t="s">
        <v>638</v>
      </c>
      <c r="AD13" s="7" t="s">
        <v>173</v>
      </c>
      <c r="AE13" s="7" t="s">
        <v>344</v>
      </c>
      <c r="AF13" s="7"/>
      <c r="AG13" s="7"/>
      <c r="AH13" s="7" t="s">
        <v>181</v>
      </c>
      <c r="AI13" s="7" t="s">
        <v>639</v>
      </c>
      <c r="AJ13" s="95" t="s">
        <v>183</v>
      </c>
      <c r="AK13" s="110">
        <f t="shared" si="26"/>
        <v>0.811111111111111</v>
      </c>
      <c r="AL13" s="109">
        <f t="shared" si="27"/>
        <v>0.911111111111111</v>
      </c>
      <c r="AM13" s="95">
        <v>0</v>
      </c>
      <c r="AN13" s="7"/>
      <c r="AO13" s="7" t="s">
        <v>185</v>
      </c>
      <c r="AP13" s="7" t="s">
        <v>186</v>
      </c>
      <c r="AQ13" s="7" t="s">
        <v>48</v>
      </c>
      <c r="AR13" s="7">
        <v>18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7" t="s">
        <v>36</v>
      </c>
      <c r="BA13" s="7" t="str">
        <f t="shared" si="0"/>
        <v>{{CTX:USER_NAME}}</v>
      </c>
      <c r="BB13" s="7" t="str">
        <f t="shared" si="1"/>
        <v>{{CTX:PARTNER_UID}}</v>
      </c>
      <c r="BC13" s="7" t="str">
        <f t="shared" si="2"/>
        <v>{{CTX:COURSE_UID}}</v>
      </c>
      <c r="BD13" s="7" t="str">
        <f t="shared" si="3"/>
        <v>18</v>
      </c>
      <c r="BE13" s="7" t="str">
        <f t="shared" si="4"/>
        <v>VNPAY</v>
      </c>
      <c r="BF13" s="125" t="str">
        <f>J13</f>
        <v>0355653300</v>
      </c>
      <c r="BG13" s="7" t="str">
        <f t="shared" si="19"/>
        <v>vnpay00@vnpay.vn</v>
      </c>
      <c r="BH13" s="7">
        <f t="shared" si="28"/>
        <v>378</v>
      </c>
      <c r="BI13" s="7" t="str">
        <f t="shared" si="29"/>
        <v>true</v>
      </c>
      <c r="BJ13" s="106" t="s">
        <v>177</v>
      </c>
      <c r="BK13" s="7">
        <v>1600000</v>
      </c>
      <c r="BL13" s="7">
        <v>400000</v>
      </c>
      <c r="BM13" s="7">
        <v>0</v>
      </c>
      <c r="BN13" s="7">
        <v>0</v>
      </c>
      <c r="BO13" s="7">
        <v>0</v>
      </c>
      <c r="BP13" s="106" t="s">
        <v>256</v>
      </c>
      <c r="BQ13" s="7">
        <v>0</v>
      </c>
      <c r="BR13" s="7">
        <v>0</v>
      </c>
      <c r="BS13" s="7" t="str">
        <f t="shared" si="6"/>
        <v>false</v>
      </c>
      <c r="BT13" s="7" t="str">
        <f t="shared" si="7"/>
        <v>0</v>
      </c>
      <c r="BU13" s="7" t="str">
        <f t="shared" si="8"/>
        <v>false</v>
      </c>
      <c r="BV13" s="7" t="str">
        <f t="shared" si="9"/>
        <v>0</v>
      </c>
      <c r="BW13" s="7" t="str">
        <f t="shared" si="10"/>
        <v>0</v>
      </c>
      <c r="BX13" s="7"/>
      <c r="BY13" s="7" t="s">
        <v>638</v>
      </c>
      <c r="BZ13" s="7" t="s">
        <v>173</v>
      </c>
      <c r="CA13" s="7" t="s">
        <v>344</v>
      </c>
      <c r="CB13" s="7"/>
      <c r="CC13" s="7"/>
      <c r="CD13" s="7" t="s">
        <v>181</v>
      </c>
      <c r="CE13" s="7" t="s">
        <v>639</v>
      </c>
      <c r="CF13" s="95" t="s">
        <v>183</v>
      </c>
      <c r="CG13" s="110">
        <f t="shared" si="20"/>
        <v>0.811111111111111</v>
      </c>
      <c r="CH13" s="109">
        <f t="shared" si="21"/>
        <v>0.911111111111111</v>
      </c>
      <c r="CI13" s="95">
        <v>1</v>
      </c>
      <c r="CJ13" s="7"/>
      <c r="CK13" s="7" t="s">
        <v>185</v>
      </c>
      <c r="CL13" s="7" t="s">
        <v>186</v>
      </c>
      <c r="CM13" s="7" t="s">
        <v>48</v>
      </c>
      <c r="CN13" s="7">
        <v>18</v>
      </c>
      <c r="CO13" s="7" t="s">
        <v>33</v>
      </c>
      <c r="CP13" s="7" t="s">
        <v>36</v>
      </c>
      <c r="CQ13" s="7"/>
      <c r="CR13" s="7"/>
      <c r="CS13" s="7"/>
      <c r="CT13" s="7"/>
      <c r="CU13" s="7"/>
      <c r="CV13" s="7" t="s">
        <v>36</v>
      </c>
      <c r="CW13" s="7" t="s">
        <v>173</v>
      </c>
      <c r="CX13" s="7" t="s">
        <v>640</v>
      </c>
      <c r="CY13" s="7" t="s">
        <v>641</v>
      </c>
      <c r="CZ13" s="7" t="s">
        <v>174</v>
      </c>
      <c r="DA13" s="7" t="s">
        <v>253</v>
      </c>
      <c r="DB13" s="125" t="s">
        <v>254</v>
      </c>
      <c r="DC13" s="107" t="s">
        <v>255</v>
      </c>
      <c r="DD13" s="7">
        <v>378</v>
      </c>
      <c r="DE13" s="106" t="s">
        <v>256</v>
      </c>
      <c r="DF13" s="106" t="s">
        <v>177</v>
      </c>
      <c r="DG13" s="7">
        <v>1600000</v>
      </c>
      <c r="DH13" s="7">
        <v>400000</v>
      </c>
      <c r="DI13" s="7">
        <v>0</v>
      </c>
      <c r="DJ13" s="7">
        <v>0</v>
      </c>
      <c r="DK13" s="7">
        <v>0</v>
      </c>
      <c r="DL13" s="106" t="s">
        <v>256</v>
      </c>
      <c r="DM13" s="7">
        <v>0</v>
      </c>
      <c r="DN13" s="7">
        <v>0</v>
      </c>
      <c r="DO13" s="7" t="s">
        <v>177</v>
      </c>
      <c r="DP13" s="7" t="s">
        <v>178</v>
      </c>
      <c r="DQ13" s="7" t="s">
        <v>177</v>
      </c>
      <c r="DR13" s="7" t="s">
        <v>178</v>
      </c>
      <c r="DS13" s="7" t="s">
        <v>178</v>
      </c>
      <c r="DT13" s="7"/>
      <c r="DU13" s="7" t="s">
        <v>638</v>
      </c>
      <c r="DV13" s="7" t="s">
        <v>173</v>
      </c>
      <c r="DW13" s="7" t="s">
        <v>344</v>
      </c>
      <c r="DX13" s="7"/>
      <c r="DY13" s="7"/>
      <c r="DZ13" s="7" t="s">
        <v>181</v>
      </c>
      <c r="EA13" s="7" t="s">
        <v>639</v>
      </c>
      <c r="EB13" s="95" t="s">
        <v>183</v>
      </c>
      <c r="EC13" s="110">
        <f t="shared" si="22"/>
        <v>0.811111111111111</v>
      </c>
      <c r="ED13" s="109">
        <f t="shared" si="23"/>
        <v>0.911111111111111</v>
      </c>
      <c r="EE13" s="95">
        <v>2</v>
      </c>
      <c r="EF13" s="7"/>
      <c r="EG13" s="7" t="s">
        <v>185</v>
      </c>
      <c r="EH13" s="7" t="s">
        <v>186</v>
      </c>
      <c r="EI13" s="7" t="s">
        <v>48</v>
      </c>
      <c r="EJ13" s="7">
        <v>18</v>
      </c>
      <c r="EK13" s="7" t="s">
        <v>33</v>
      </c>
      <c r="EL13" s="7" t="s">
        <v>36</v>
      </c>
      <c r="EM13" s="7"/>
      <c r="EN13" s="7"/>
      <c r="EO13" s="7"/>
      <c r="EP13" s="7"/>
      <c r="EQ13" s="7"/>
      <c r="ER13" s="7" t="s">
        <v>36</v>
      </c>
      <c r="ES13" s="7" t="s">
        <v>173</v>
      </c>
      <c r="ET13" s="7" t="s">
        <v>640</v>
      </c>
      <c r="EU13" s="7" t="s">
        <v>641</v>
      </c>
      <c r="EV13" s="7" t="s">
        <v>174</v>
      </c>
      <c r="EW13" s="7" t="s">
        <v>253</v>
      </c>
      <c r="EX13" s="125" t="s">
        <v>254</v>
      </c>
      <c r="EY13" s="107" t="s">
        <v>255</v>
      </c>
      <c r="EZ13" s="7">
        <v>378</v>
      </c>
      <c r="FA13" s="106" t="s">
        <v>256</v>
      </c>
      <c r="FB13" s="106" t="s">
        <v>177</v>
      </c>
      <c r="FC13" s="7">
        <v>1600000</v>
      </c>
      <c r="FD13" s="7">
        <v>400000</v>
      </c>
      <c r="FE13" s="7">
        <v>0</v>
      </c>
      <c r="FF13" s="7">
        <v>0</v>
      </c>
      <c r="FG13" s="7">
        <v>0</v>
      </c>
      <c r="FH13" s="106" t="s">
        <v>256</v>
      </c>
      <c r="FI13" s="7">
        <v>0</v>
      </c>
      <c r="FJ13" s="7">
        <v>0</v>
      </c>
      <c r="FK13" s="7" t="s">
        <v>177</v>
      </c>
      <c r="FL13" s="7" t="s">
        <v>178</v>
      </c>
      <c r="FM13" s="7" t="s">
        <v>177</v>
      </c>
      <c r="FN13" s="7" t="s">
        <v>178</v>
      </c>
      <c r="FO13" s="7" t="s">
        <v>178</v>
      </c>
      <c r="FP13" s="7"/>
      <c r="FQ13" s="7" t="s">
        <v>638</v>
      </c>
      <c r="FR13" s="7" t="s">
        <v>173</v>
      </c>
      <c r="FS13" s="7" t="s">
        <v>344</v>
      </c>
      <c r="FT13" s="7"/>
      <c r="FU13" s="7"/>
      <c r="FV13" s="7" t="s">
        <v>181</v>
      </c>
      <c r="FW13" s="7" t="s">
        <v>639</v>
      </c>
      <c r="FX13" s="95" t="s">
        <v>183</v>
      </c>
      <c r="FY13" s="110">
        <f t="shared" si="24"/>
        <v>0.811111111111111</v>
      </c>
      <c r="FZ13" s="109">
        <f t="shared" si="25"/>
        <v>0.911111111111111</v>
      </c>
      <c r="GA13" s="95">
        <v>3</v>
      </c>
      <c r="GB13" s="7"/>
      <c r="GC13" s="7" t="s">
        <v>185</v>
      </c>
      <c r="GD13" s="7" t="s">
        <v>186</v>
      </c>
      <c r="GE13" s="7" t="s">
        <v>48</v>
      </c>
      <c r="GF13" s="7">
        <v>18</v>
      </c>
      <c r="GG13" s="7" t="s">
        <v>33</v>
      </c>
      <c r="GH13" s="7" t="s">
        <v>36</v>
      </c>
      <c r="GI13" s="7"/>
      <c r="GJ13" s="7"/>
      <c r="GK13" s="7"/>
      <c r="GL13" s="7"/>
      <c r="GM13" s="7"/>
      <c r="GN13" s="7" t="s">
        <v>36</v>
      </c>
      <c r="GO13" s="101" t="s">
        <v>642</v>
      </c>
      <c r="GP13" s="21">
        <v>200</v>
      </c>
      <c r="GQ13" s="21">
        <v>4</v>
      </c>
      <c r="GR13" s="21" t="s">
        <v>188</v>
      </c>
      <c r="GS13" s="21" t="str">
        <f t="shared" si="11"/>
        <v>VNPAY</v>
      </c>
      <c r="GT13" s="21" t="str">
        <f t="shared" si="12"/>
        <v>5D</v>
      </c>
      <c r="GU13" s="63" t="b">
        <v>0</v>
      </c>
      <c r="GV13" s="21" t="s">
        <v>189</v>
      </c>
      <c r="GW13" s="21" t="s">
        <v>188</v>
      </c>
      <c r="GX13" s="21" t="s">
        <v>188</v>
      </c>
      <c r="GY13" s="21" t="s">
        <v>258</v>
      </c>
      <c r="GZ13" s="63" t="b">
        <v>0</v>
      </c>
      <c r="HA13" s="21" t="s">
        <v>188</v>
      </c>
      <c r="HB13" s="21" t="str">
        <f t="shared" si="13"/>
        <v>VNPAY</v>
      </c>
      <c r="HC13" s="21" t="str">
        <f t="shared" si="14"/>
        <v>5D</v>
      </c>
      <c r="HD13" s="63" t="b">
        <v>0</v>
      </c>
      <c r="HE13" s="21" t="s">
        <v>189</v>
      </c>
      <c r="HF13" s="21" t="s">
        <v>188</v>
      </c>
      <c r="HG13" s="21" t="s">
        <v>188</v>
      </c>
      <c r="HH13" s="21" t="s">
        <v>258</v>
      </c>
      <c r="HI13" s="63" t="b">
        <v>0</v>
      </c>
      <c r="HJ13" s="21" t="s">
        <v>188</v>
      </c>
      <c r="HK13" s="21" t="str">
        <f t="shared" si="15"/>
        <v>VNPAY</v>
      </c>
      <c r="HL13" s="21" t="str">
        <f t="shared" si="16"/>
        <v>5D</v>
      </c>
      <c r="HM13" s="63" t="b">
        <v>0</v>
      </c>
      <c r="HN13" s="21" t="s">
        <v>189</v>
      </c>
      <c r="HO13" s="21" t="s">
        <v>188</v>
      </c>
      <c r="HP13" s="21" t="s">
        <v>188</v>
      </c>
      <c r="HQ13" s="21" t="s">
        <v>258</v>
      </c>
      <c r="HR13" s="63" t="b">
        <v>0</v>
      </c>
      <c r="HS13" s="21" t="s">
        <v>188</v>
      </c>
      <c r="HT13" s="21" t="str">
        <f t="shared" si="17"/>
        <v>VNPAY</v>
      </c>
      <c r="HU13" s="21" t="str">
        <f t="shared" si="18"/>
        <v>5D</v>
      </c>
      <c r="HV13" s="63" t="b">
        <v>0</v>
      </c>
      <c r="HW13" s="21" t="s">
        <v>189</v>
      </c>
      <c r="HX13" s="21" t="s">
        <v>188</v>
      </c>
      <c r="HY13" s="21" t="s">
        <v>188</v>
      </c>
      <c r="HZ13" s="21" t="s">
        <v>258</v>
      </c>
      <c r="IA13" s="63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  <hyperlink ref="DC10" r:id="rId3" display="vnpay00@vnpay.vn"/>
    <hyperlink ref="DC11" r:id="rId3" display="vnpay00@vnpay.vn"/>
    <hyperlink ref="DC12" r:id="rId3" display="vnpay00@vnpay.vn"/>
    <hyperlink ref="DC13" r:id="rId3" display="vnpay00@vnpay.vn"/>
    <hyperlink ref="DC6" r:id="rId3" display="vnpay00@vnpay.vn"/>
    <hyperlink ref="EY10" r:id="rId3" display="vnpay00@vnpay.vn"/>
    <hyperlink ref="EY11" r:id="rId3" display="vnpay00@vnpay.vn"/>
    <hyperlink ref="EY12" r:id="rId3" display="vnpay00@vnpay.vn"/>
    <hyperlink ref="EY13" r:id="rId3" display="vnpay00@vnpay.vn"/>
    <hyperlink ref="EY6" r:id="rId3" display="vnpay00@vnpay.vn"/>
  </hyperlink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1"/>
  <sheetViews>
    <sheetView workbookViewId="0">
      <selection activeCell="K2" sqref="K2"/>
    </sheetView>
  </sheetViews>
  <sheetFormatPr defaultColWidth="9.14285714285714" defaultRowHeight="30" customHeight="1"/>
  <cols>
    <col min="1" max="1" width="15.2857142857143" style="1" customWidth="1"/>
    <col min="2" max="2" width="31" style="1" customWidth="1"/>
    <col min="3" max="3" width="14.952380952381" style="1" customWidth="1"/>
    <col min="4" max="4" width="32.0952380952381" style="1" customWidth="1"/>
    <col min="5" max="10" width="17.8380952380952" style="1" customWidth="1"/>
    <col min="11" max="11" width="19.8571428571429" style="1" customWidth="1"/>
    <col min="12" max="12" width="17.8380952380952" style="1" customWidth="1"/>
    <col min="13" max="14" width="17.8380952380952" style="23" customWidth="1"/>
    <col min="15" max="21" width="17.8380952380952" style="1" customWidth="1"/>
    <col min="22" max="22" width="31.4285714285714" style="1" customWidth="1"/>
    <col min="23" max="26" width="18.9428571428571" style="1" customWidth="1"/>
    <col min="27" max="27" width="18.9428571428571" style="16" customWidth="1"/>
    <col min="28" max="31" width="18.9428571428571" style="1" customWidth="1"/>
    <col min="32" max="32" width="18.9428571428571" style="16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24" t="s">
        <v>3</v>
      </c>
      <c r="E1" s="64" t="s">
        <v>666</v>
      </c>
      <c r="F1" s="64" t="s">
        <v>667</v>
      </c>
      <c r="G1" s="64" t="s">
        <v>668</v>
      </c>
      <c r="H1" s="64" t="s">
        <v>669</v>
      </c>
      <c r="I1" s="64" t="s">
        <v>670</v>
      </c>
      <c r="J1" s="64" t="s">
        <v>671</v>
      </c>
      <c r="K1" s="64" t="s">
        <v>672</v>
      </c>
      <c r="L1" s="64" t="s">
        <v>4</v>
      </c>
      <c r="M1" s="64" t="s">
        <v>5</v>
      </c>
      <c r="N1" s="64" t="s">
        <v>673</v>
      </c>
      <c r="O1" s="64" t="s">
        <v>674</v>
      </c>
      <c r="P1" s="64" t="s">
        <v>675</v>
      </c>
      <c r="Q1" s="64" t="s">
        <v>676</v>
      </c>
      <c r="R1" s="64" t="s">
        <v>677</v>
      </c>
      <c r="S1" s="64" t="s">
        <v>678</v>
      </c>
      <c r="T1" s="64" t="s">
        <v>679</v>
      </c>
      <c r="U1" s="64" t="s">
        <v>680</v>
      </c>
      <c r="V1" s="68" t="s">
        <v>15</v>
      </c>
      <c r="W1" s="10" t="s">
        <v>16</v>
      </c>
      <c r="X1" s="10" t="s">
        <v>681</v>
      </c>
      <c r="Y1" s="10" t="s">
        <v>682</v>
      </c>
      <c r="Z1" s="10" t="s">
        <v>683</v>
      </c>
      <c r="AA1" s="18" t="s">
        <v>684</v>
      </c>
      <c r="AB1" s="10" t="s">
        <v>685</v>
      </c>
      <c r="AC1" s="10" t="s">
        <v>686</v>
      </c>
      <c r="AD1" s="10" t="s">
        <v>687</v>
      </c>
      <c r="AE1" s="10" t="s">
        <v>688</v>
      </c>
      <c r="AF1" s="18" t="s">
        <v>689</v>
      </c>
    </row>
    <row r="2" s="29" customFormat="1" ht="50" customHeight="1" spans="1:32">
      <c r="A2" s="7" t="s">
        <v>690</v>
      </c>
      <c r="B2" s="93" t="s">
        <v>691</v>
      </c>
      <c r="C2" s="94" t="s">
        <v>29</v>
      </c>
      <c r="D2" s="17" t="s">
        <v>692</v>
      </c>
      <c r="E2" s="9">
        <v>0</v>
      </c>
      <c r="F2" s="95" t="s">
        <v>693</v>
      </c>
      <c r="G2" s="95" t="s">
        <v>694</v>
      </c>
      <c r="H2" s="9" t="s">
        <v>183</v>
      </c>
      <c r="I2" s="9">
        <v>1</v>
      </c>
      <c r="J2" s="9" t="s">
        <v>639</v>
      </c>
      <c r="K2" s="9" t="s">
        <v>173</v>
      </c>
      <c r="L2" s="4" t="s">
        <v>31</v>
      </c>
      <c r="M2" s="4" t="s">
        <v>32</v>
      </c>
      <c r="N2" s="9" t="s">
        <v>175</v>
      </c>
      <c r="O2" s="66"/>
      <c r="P2" s="66"/>
      <c r="Q2" s="66"/>
      <c r="R2" s="9">
        <v>18</v>
      </c>
      <c r="S2" s="66"/>
      <c r="T2" s="66"/>
      <c r="U2" s="9" t="s">
        <v>33</v>
      </c>
      <c r="V2" s="101" t="s">
        <v>695</v>
      </c>
      <c r="W2" s="21">
        <v>200</v>
      </c>
      <c r="X2" s="21" t="s">
        <v>188</v>
      </c>
      <c r="Y2" s="21" t="str">
        <f>N2</f>
        <v>PhuongTT</v>
      </c>
      <c r="Z2" s="21"/>
      <c r="AA2" s="63" t="b">
        <v>0</v>
      </c>
      <c r="AB2" s="21" t="s">
        <v>189</v>
      </c>
      <c r="AC2" s="21" t="s">
        <v>188</v>
      </c>
      <c r="AD2" s="21" t="s">
        <v>188</v>
      </c>
      <c r="AE2" s="21"/>
      <c r="AF2" s="63" t="b">
        <v>0</v>
      </c>
    </row>
    <row r="4" customHeight="1" spans="5:21">
      <c r="E4" s="96"/>
      <c r="F4" s="96"/>
      <c r="G4" s="96"/>
      <c r="H4" s="96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customHeight="1" spans="6:20">
      <c r="F5" s="97"/>
      <c r="G5" s="97"/>
      <c r="H5" s="98"/>
      <c r="I5" s="98"/>
      <c r="J5" s="98"/>
      <c r="K5" s="98"/>
      <c r="L5" s="98"/>
      <c r="M5" s="1"/>
      <c r="N5" s="1"/>
      <c r="O5" s="100"/>
      <c r="P5" s="100"/>
      <c r="Q5" s="100"/>
      <c r="S5" s="100"/>
      <c r="T5" s="100"/>
    </row>
    <row r="6" customHeight="1" spans="8:12">
      <c r="H6" s="98"/>
      <c r="I6" s="98"/>
      <c r="J6" s="98"/>
      <c r="K6" s="98"/>
      <c r="L6" s="98"/>
    </row>
    <row r="7" customHeight="1" spans="8:12">
      <c r="H7" s="99"/>
      <c r="I7" s="99"/>
      <c r="J7" s="99"/>
      <c r="K7" s="99"/>
      <c r="L7" s="98"/>
    </row>
    <row r="8" customHeight="1" spans="8:12">
      <c r="H8" s="98"/>
      <c r="I8" s="98"/>
      <c r="J8" s="98"/>
      <c r="K8" s="98"/>
      <c r="L8" s="98"/>
    </row>
    <row r="9" customHeight="1" spans="8:12">
      <c r="H9" s="98"/>
      <c r="I9" s="98"/>
      <c r="J9" s="98"/>
      <c r="K9" s="98"/>
      <c r="L9" s="98"/>
    </row>
    <row r="10" customHeight="1" spans="8:12">
      <c r="H10" s="98"/>
      <c r="I10" s="98"/>
      <c r="J10" s="98"/>
      <c r="K10" s="98"/>
      <c r="L10" s="98"/>
    </row>
    <row r="11" customHeight="1" spans="8:12">
      <c r="H11" s="98"/>
      <c r="I11" s="98"/>
      <c r="J11" s="98"/>
      <c r="K11" s="98"/>
      <c r="L11" s="98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workbookViewId="0">
      <selection activeCell="I12" sqref="I12"/>
    </sheetView>
  </sheetViews>
  <sheetFormatPr defaultColWidth="9" defaultRowHeight="15" outlineLevelRow="3"/>
  <cols>
    <col min="2" max="2" width="24.4761904761905" customWidth="1"/>
    <col min="3" max="3" width="14.8380952380952" customWidth="1"/>
    <col min="4" max="4" width="17.5714285714286" customWidth="1"/>
    <col min="5" max="14" width="22.4" customWidth="1"/>
  </cols>
  <sheetData>
    <row r="1" ht="49" customHeight="1" spans="1:14">
      <c r="A1" s="82" t="s">
        <v>0</v>
      </c>
      <c r="B1" s="83" t="s">
        <v>1</v>
      </c>
      <c r="C1" s="70" t="s">
        <v>2</v>
      </c>
      <c r="D1" s="70" t="s">
        <v>3</v>
      </c>
      <c r="E1" s="84" t="s">
        <v>696</v>
      </c>
      <c r="F1" s="84" t="s">
        <v>697</v>
      </c>
      <c r="G1" s="84" t="s">
        <v>698</v>
      </c>
      <c r="H1" s="85" t="s">
        <v>699</v>
      </c>
      <c r="I1" s="87" t="s">
        <v>700</v>
      </c>
      <c r="J1" s="88" t="s">
        <v>701</v>
      </c>
      <c r="K1" s="88" t="s">
        <v>702</v>
      </c>
      <c r="L1" s="89" t="s">
        <v>15</v>
      </c>
      <c r="M1" s="90" t="s">
        <v>16</v>
      </c>
      <c r="N1" s="91" t="s">
        <v>703</v>
      </c>
    </row>
    <row r="2" ht="49" customHeight="1" spans="1:14">
      <c r="A2" s="4" t="s">
        <v>704</v>
      </c>
      <c r="B2" s="4" t="s">
        <v>705</v>
      </c>
      <c r="C2" s="42" t="s">
        <v>29</v>
      </c>
      <c r="D2" s="73"/>
      <c r="E2" s="4" t="s">
        <v>31</v>
      </c>
      <c r="F2" s="4" t="s">
        <v>32</v>
      </c>
      <c r="G2" s="42" t="s">
        <v>706</v>
      </c>
      <c r="H2" s="4" t="s">
        <v>707</v>
      </c>
      <c r="I2" s="4" t="s">
        <v>33</v>
      </c>
      <c r="J2" s="4" t="b">
        <v>1</v>
      </c>
      <c r="K2" s="92" t="b">
        <v>1</v>
      </c>
      <c r="L2" s="74" t="s">
        <v>708</v>
      </c>
      <c r="M2" s="9">
        <v>200</v>
      </c>
      <c r="N2" s="9" t="s">
        <v>188</v>
      </c>
    </row>
    <row r="3" ht="49" customHeight="1" spans="1:14">
      <c r="A3" s="86" t="s">
        <v>709</v>
      </c>
      <c r="B3" s="4" t="s">
        <v>710</v>
      </c>
      <c r="C3" s="4" t="s">
        <v>29</v>
      </c>
      <c r="D3" s="73"/>
      <c r="E3" s="4" t="s">
        <v>31</v>
      </c>
      <c r="F3" s="4" t="s">
        <v>32</v>
      </c>
      <c r="G3" s="42" t="s">
        <v>706</v>
      </c>
      <c r="H3" s="4" t="s">
        <v>707</v>
      </c>
      <c r="I3" s="4" t="s">
        <v>711</v>
      </c>
      <c r="J3" s="4" t="b">
        <v>1</v>
      </c>
      <c r="K3" s="92" t="b">
        <v>1</v>
      </c>
      <c r="L3" s="74" t="s">
        <v>708</v>
      </c>
      <c r="M3" s="9">
        <v>200</v>
      </c>
      <c r="N3" s="9" t="s">
        <v>188</v>
      </c>
    </row>
    <row r="4" ht="49" customHeight="1" spans="1:14">
      <c r="A4" s="4" t="s">
        <v>712</v>
      </c>
      <c r="B4" s="4" t="s">
        <v>713</v>
      </c>
      <c r="C4" s="4" t="s">
        <v>29</v>
      </c>
      <c r="D4" s="42"/>
      <c r="E4" s="4" t="s">
        <v>31</v>
      </c>
      <c r="F4" s="4" t="s">
        <v>32</v>
      </c>
      <c r="G4" s="42" t="s">
        <v>706</v>
      </c>
      <c r="H4" s="4" t="s">
        <v>707</v>
      </c>
      <c r="I4" s="4" t="s">
        <v>714</v>
      </c>
      <c r="J4" s="4" t="b">
        <v>1</v>
      </c>
      <c r="K4" s="92" t="b">
        <v>1</v>
      </c>
      <c r="L4" s="74" t="s">
        <v>708</v>
      </c>
      <c r="M4" s="9">
        <v>200</v>
      </c>
      <c r="N4" s="9" t="s">
        <v>188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workbookViewId="0">
      <selection activeCell="H17" sqref="H17"/>
    </sheetView>
  </sheetViews>
  <sheetFormatPr defaultColWidth="9" defaultRowHeight="15" outlineLevelRow="5"/>
  <cols>
    <col min="1" max="1" width="11.2" customWidth="1"/>
    <col min="2" max="2" width="33.2" customWidth="1"/>
    <col min="3" max="3" width="20.5809523809524" customWidth="1"/>
    <col min="4" max="4" width="18.8761904761905" customWidth="1"/>
    <col min="5" max="5" width="21.7142857142857" customWidth="1"/>
    <col min="6" max="6" width="20.1428571428571" customWidth="1"/>
    <col min="7" max="7" width="23.8571428571429" customWidth="1"/>
    <col min="8" max="8" width="33.2" customWidth="1"/>
    <col min="9" max="9" width="17.8380952380952" customWidth="1"/>
    <col min="10" max="10" width="18.2285714285714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70" t="s">
        <v>3</v>
      </c>
      <c r="E1" s="71" t="s">
        <v>696</v>
      </c>
      <c r="F1" s="72" t="s">
        <v>697</v>
      </c>
      <c r="G1" s="72" t="s">
        <v>700</v>
      </c>
      <c r="H1" s="12" t="s">
        <v>15</v>
      </c>
      <c r="I1" s="71" t="s">
        <v>16</v>
      </c>
      <c r="J1" s="75" t="s">
        <v>18</v>
      </c>
    </row>
    <row r="2" ht="49" customHeight="1" spans="1:10">
      <c r="A2" s="4" t="s">
        <v>715</v>
      </c>
      <c r="B2" s="4" t="s">
        <v>716</v>
      </c>
      <c r="C2" s="4" t="s">
        <v>29</v>
      </c>
      <c r="D2" s="73"/>
      <c r="E2" s="4" t="s">
        <v>31</v>
      </c>
      <c r="F2" s="4" t="s">
        <v>32</v>
      </c>
      <c r="G2" s="4" t="s">
        <v>33</v>
      </c>
      <c r="H2" s="74" t="s">
        <v>717</v>
      </c>
      <c r="I2" s="76">
        <v>200</v>
      </c>
      <c r="J2" s="9" t="s">
        <v>188</v>
      </c>
    </row>
    <row r="3" ht="49" customHeight="1" spans="1:10">
      <c r="A3" s="4" t="s">
        <v>718</v>
      </c>
      <c r="B3" s="4" t="s">
        <v>719</v>
      </c>
      <c r="C3" s="4" t="s">
        <v>29</v>
      </c>
      <c r="D3" s="73"/>
      <c r="E3" s="4" t="s">
        <v>31</v>
      </c>
      <c r="F3" s="4" t="s">
        <v>32</v>
      </c>
      <c r="G3" s="4" t="s">
        <v>714</v>
      </c>
      <c r="H3" s="74" t="s">
        <v>717</v>
      </c>
      <c r="I3" s="76">
        <v>200</v>
      </c>
      <c r="J3" s="9" t="s">
        <v>188</v>
      </c>
    </row>
    <row r="4" ht="49" customHeight="1" spans="1:10">
      <c r="A4" s="4" t="s">
        <v>720</v>
      </c>
      <c r="B4" s="4" t="s">
        <v>721</v>
      </c>
      <c r="C4" s="4" t="s">
        <v>722</v>
      </c>
      <c r="D4" s="42"/>
      <c r="E4" s="4" t="s">
        <v>31</v>
      </c>
      <c r="F4" s="4" t="s">
        <v>32</v>
      </c>
      <c r="G4" s="4"/>
      <c r="H4" s="74" t="s">
        <v>723</v>
      </c>
      <c r="I4" s="76">
        <v>400</v>
      </c>
      <c r="J4" s="9" t="s">
        <v>188</v>
      </c>
    </row>
    <row r="5" ht="49" customHeight="1" spans="1:10">
      <c r="A5" s="4" t="s">
        <v>724</v>
      </c>
      <c r="B5" s="4" t="s">
        <v>725</v>
      </c>
      <c r="C5" s="4" t="s">
        <v>722</v>
      </c>
      <c r="D5" s="42"/>
      <c r="E5" s="4" t="s">
        <v>31</v>
      </c>
      <c r="F5" s="4" t="s">
        <v>32</v>
      </c>
      <c r="G5" s="4" t="s">
        <v>726</v>
      </c>
      <c r="H5" s="74" t="s">
        <v>717</v>
      </c>
      <c r="I5" s="76">
        <v>200</v>
      </c>
      <c r="J5" s="9" t="s">
        <v>188</v>
      </c>
    </row>
    <row r="6" ht="49" customHeight="1" spans="1:10">
      <c r="A6" s="4" t="s">
        <v>727</v>
      </c>
      <c r="B6" s="4" t="s">
        <v>728</v>
      </c>
      <c r="C6" s="4" t="s">
        <v>722</v>
      </c>
      <c r="D6" s="42"/>
      <c r="E6" s="4" t="s">
        <v>729</v>
      </c>
      <c r="F6" s="4" t="s">
        <v>32</v>
      </c>
      <c r="G6" s="4" t="s">
        <v>33</v>
      </c>
      <c r="H6" s="74" t="s">
        <v>717</v>
      </c>
      <c r="I6" s="76">
        <v>200</v>
      </c>
      <c r="J6" s="9" t="s">
        <v>188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9"/>
  <sheetViews>
    <sheetView workbookViewId="0">
      <pane ySplit="1" topLeftCell="A2" activePane="bottomLeft" state="frozen"/>
      <selection/>
      <selection pane="bottomLeft" activeCell="D11" sqref="D11"/>
    </sheetView>
  </sheetViews>
  <sheetFormatPr defaultColWidth="9" defaultRowHeight="15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5" customWidth="1"/>
    <col min="6" max="6" width="21.2857142857143" customWidth="1"/>
    <col min="7" max="7" width="20.7142857142857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70" t="s">
        <v>3</v>
      </c>
      <c r="E1" s="71" t="s">
        <v>696</v>
      </c>
      <c r="F1" s="72" t="s">
        <v>697</v>
      </c>
      <c r="G1" s="72" t="s">
        <v>700</v>
      </c>
      <c r="H1" s="12" t="s">
        <v>15</v>
      </c>
      <c r="I1" s="71" t="s">
        <v>16</v>
      </c>
      <c r="J1" s="75" t="s">
        <v>730</v>
      </c>
    </row>
    <row r="2" s="28" customFormat="1" ht="21" customHeight="1" spans="1:52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1"/>
      <c r="X2" s="50"/>
      <c r="Y2" s="50"/>
      <c r="Z2" s="50"/>
      <c r="AA2" s="50"/>
      <c r="AB2" s="52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</row>
    <row r="3" ht="49" customHeight="1" spans="1:10">
      <c r="A3" s="4" t="s">
        <v>731</v>
      </c>
      <c r="B3" s="4" t="s">
        <v>732</v>
      </c>
      <c r="C3" s="4" t="s">
        <v>29</v>
      </c>
      <c r="D3" s="73"/>
      <c r="E3" s="4" t="s">
        <v>31</v>
      </c>
      <c r="F3" s="4" t="s">
        <v>32</v>
      </c>
      <c r="G3" s="4" t="s">
        <v>33</v>
      </c>
      <c r="H3" s="74" t="s">
        <v>733</v>
      </c>
      <c r="I3" s="76">
        <v>200</v>
      </c>
      <c r="J3" s="9">
        <v>2100000</v>
      </c>
    </row>
    <row r="4" s="29" customFormat="1" ht="23" customHeight="1" spans="1:47">
      <c r="A4" s="35"/>
      <c r="B4" s="36" t="s">
        <v>734</v>
      </c>
      <c r="C4" s="37"/>
      <c r="D4" s="37"/>
      <c r="E4" s="38"/>
      <c r="F4" s="38"/>
      <c r="G4" s="38"/>
      <c r="H4" s="38"/>
      <c r="I4" s="38"/>
      <c r="J4" s="3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9"/>
      <c r="AJ4" s="79"/>
      <c r="AK4" s="80"/>
      <c r="AL4" s="80"/>
      <c r="AM4" s="80"/>
      <c r="AN4" s="80"/>
      <c r="AO4" s="80"/>
      <c r="AP4" s="81"/>
      <c r="AQ4" s="80"/>
      <c r="AR4" s="80"/>
      <c r="AS4" s="80"/>
      <c r="AT4" s="80"/>
      <c r="AU4" s="81"/>
    </row>
    <row r="5" ht="49" customHeight="1" spans="1:10">
      <c r="A5" s="4" t="s">
        <v>735</v>
      </c>
      <c r="B5" s="4" t="s">
        <v>732</v>
      </c>
      <c r="C5" s="4" t="s">
        <v>29</v>
      </c>
      <c r="D5" s="73"/>
      <c r="E5" s="4" t="s">
        <v>31</v>
      </c>
      <c r="F5" s="4" t="s">
        <v>32</v>
      </c>
      <c r="G5" s="4" t="s">
        <v>33</v>
      </c>
      <c r="H5" s="74" t="s">
        <v>733</v>
      </c>
      <c r="I5" s="76">
        <v>200</v>
      </c>
      <c r="J5" s="9">
        <v>1900000</v>
      </c>
    </row>
    <row r="6" s="29" customFormat="1" ht="23" customHeight="1" spans="1:47">
      <c r="A6" s="35"/>
      <c r="B6" s="77" t="s">
        <v>74</v>
      </c>
      <c r="C6" s="77"/>
      <c r="D6" s="77"/>
      <c r="E6" s="77"/>
      <c r="F6" s="77"/>
      <c r="G6" s="54"/>
      <c r="H6" s="54"/>
      <c r="I6" s="54"/>
      <c r="J6" s="54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9"/>
      <c r="AJ6" s="79"/>
      <c r="AK6" s="80"/>
      <c r="AL6" s="80"/>
      <c r="AM6" s="80"/>
      <c r="AN6" s="80"/>
      <c r="AO6" s="80"/>
      <c r="AP6" s="81"/>
      <c r="AQ6" s="80"/>
      <c r="AR6" s="80"/>
      <c r="AS6" s="80"/>
      <c r="AT6" s="80"/>
      <c r="AU6" s="81"/>
    </row>
    <row r="7" ht="49" customHeight="1" spans="1:10">
      <c r="A7" s="4" t="s">
        <v>736</v>
      </c>
      <c r="B7" s="4" t="s">
        <v>737</v>
      </c>
      <c r="C7" s="4" t="s">
        <v>29</v>
      </c>
      <c r="D7" s="73"/>
      <c r="E7" s="4" t="s">
        <v>31</v>
      </c>
      <c r="F7" s="4" t="s">
        <v>32</v>
      </c>
      <c r="G7" s="4" t="s">
        <v>33</v>
      </c>
      <c r="H7" s="74" t="s">
        <v>733</v>
      </c>
      <c r="I7" s="76">
        <v>200</v>
      </c>
      <c r="J7" s="9">
        <v>0</v>
      </c>
    </row>
    <row r="8" s="29" customFormat="1" ht="23" customHeight="1" spans="1:47">
      <c r="A8" s="35"/>
      <c r="B8" s="77" t="s">
        <v>369</v>
      </c>
      <c r="C8" s="77"/>
      <c r="D8" s="77"/>
      <c r="E8" s="77"/>
      <c r="F8" s="77"/>
      <c r="G8" s="54"/>
      <c r="H8" s="54"/>
      <c r="I8" s="54"/>
      <c r="J8" s="54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9"/>
      <c r="AJ8" s="79"/>
      <c r="AK8" s="80"/>
      <c r="AL8" s="80"/>
      <c r="AM8" s="80"/>
      <c r="AN8" s="80"/>
      <c r="AO8" s="80"/>
      <c r="AP8" s="81"/>
      <c r="AQ8" s="80"/>
      <c r="AR8" s="80"/>
      <c r="AS8" s="80"/>
      <c r="AT8" s="80"/>
      <c r="AU8" s="81"/>
    </row>
    <row r="9" ht="49" customHeight="1" spans="1:10">
      <c r="A9" s="4" t="s">
        <v>738</v>
      </c>
      <c r="B9" s="4" t="s">
        <v>739</v>
      </c>
      <c r="C9" s="4" t="s">
        <v>29</v>
      </c>
      <c r="D9" s="73"/>
      <c r="E9" s="4" t="s">
        <v>31</v>
      </c>
      <c r="F9" s="4" t="s">
        <v>32</v>
      </c>
      <c r="G9" s="4" t="s">
        <v>33</v>
      </c>
      <c r="H9" s="74" t="s">
        <v>733</v>
      </c>
      <c r="I9" s="76">
        <v>200</v>
      </c>
      <c r="J9" s="9">
        <v>2000000</v>
      </c>
    </row>
    <row r="10" s="29" customFormat="1" ht="23" customHeight="1" spans="1:47">
      <c r="A10" s="35"/>
      <c r="B10" s="77" t="s">
        <v>376</v>
      </c>
      <c r="C10" s="77"/>
      <c r="D10" s="77"/>
      <c r="E10" s="77"/>
      <c r="F10" s="77"/>
      <c r="G10" s="54"/>
      <c r="H10" s="54"/>
      <c r="I10" s="54"/>
      <c r="J10" s="54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9"/>
      <c r="AJ10" s="79"/>
      <c r="AK10" s="80"/>
      <c r="AL10" s="80"/>
      <c r="AM10" s="80"/>
      <c r="AN10" s="80"/>
      <c r="AO10" s="80"/>
      <c r="AP10" s="81"/>
      <c r="AQ10" s="80"/>
      <c r="AR10" s="80"/>
      <c r="AS10" s="80"/>
      <c r="AT10" s="80"/>
      <c r="AU10" s="81"/>
    </row>
    <row r="11" ht="49" customHeight="1" spans="1:10">
      <c r="A11" s="4" t="s">
        <v>740</v>
      </c>
      <c r="B11" s="4" t="s">
        <v>741</v>
      </c>
      <c r="C11" s="4" t="s">
        <v>29</v>
      </c>
      <c r="D11" s="73"/>
      <c r="E11" s="4" t="s">
        <v>31</v>
      </c>
      <c r="F11" s="4" t="s">
        <v>32</v>
      </c>
      <c r="G11" s="4" t="s">
        <v>33</v>
      </c>
      <c r="H11" s="74" t="s">
        <v>733</v>
      </c>
      <c r="I11" s="76">
        <v>200</v>
      </c>
      <c r="J11" s="9">
        <v>1890000</v>
      </c>
    </row>
    <row r="12" s="29" customFormat="1" ht="23" customHeight="1" spans="1:47">
      <c r="A12" s="35"/>
      <c r="B12" s="77" t="s">
        <v>742</v>
      </c>
      <c r="C12" s="77"/>
      <c r="D12" s="77"/>
      <c r="E12" s="77"/>
      <c r="F12" s="77"/>
      <c r="G12" s="54"/>
      <c r="H12" s="54"/>
      <c r="I12" s="54"/>
      <c r="J12" s="54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9"/>
      <c r="AJ12" s="79"/>
      <c r="AK12" s="80"/>
      <c r="AL12" s="80"/>
      <c r="AM12" s="80"/>
      <c r="AN12" s="80"/>
      <c r="AO12" s="80"/>
      <c r="AP12" s="81"/>
      <c r="AQ12" s="80"/>
      <c r="AR12" s="80"/>
      <c r="AS12" s="80"/>
      <c r="AT12" s="80"/>
      <c r="AU12" s="81"/>
    </row>
    <row r="13" ht="49" customHeight="1" spans="1:10">
      <c r="A13" s="4" t="s">
        <v>743</v>
      </c>
      <c r="B13" s="4" t="s">
        <v>744</v>
      </c>
      <c r="C13" s="4" t="s">
        <v>29</v>
      </c>
      <c r="D13" s="73"/>
      <c r="E13" s="4" t="s">
        <v>31</v>
      </c>
      <c r="F13" s="4" t="s">
        <v>32</v>
      </c>
      <c r="G13" s="4" t="s">
        <v>33</v>
      </c>
      <c r="H13" s="74" t="s">
        <v>733</v>
      </c>
      <c r="I13" s="76">
        <v>200</v>
      </c>
      <c r="J13" s="9">
        <v>350000</v>
      </c>
    </row>
    <row r="14" s="29" customFormat="1" ht="23" customHeight="1" spans="1:47">
      <c r="A14" s="35"/>
      <c r="B14" s="77" t="s">
        <v>745</v>
      </c>
      <c r="C14" s="77"/>
      <c r="D14" s="77"/>
      <c r="E14" s="77"/>
      <c r="F14" s="77"/>
      <c r="G14" s="54"/>
      <c r="H14" s="54"/>
      <c r="I14" s="54"/>
      <c r="J14" s="54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9"/>
      <c r="AJ14" s="79"/>
      <c r="AK14" s="80"/>
      <c r="AL14" s="80"/>
      <c r="AM14" s="80"/>
      <c r="AN14" s="80"/>
      <c r="AO14" s="80"/>
      <c r="AP14" s="81"/>
      <c r="AQ14" s="80"/>
      <c r="AR14" s="80"/>
      <c r="AS14" s="80"/>
      <c r="AT14" s="80"/>
      <c r="AU14" s="81"/>
    </row>
    <row r="15" ht="49" customHeight="1" spans="1:10">
      <c r="A15" s="4" t="s">
        <v>746</v>
      </c>
      <c r="B15" s="4" t="s">
        <v>747</v>
      </c>
      <c r="C15" s="4" t="s">
        <v>29</v>
      </c>
      <c r="D15" s="73"/>
      <c r="E15" s="4" t="s">
        <v>31</v>
      </c>
      <c r="F15" s="4" t="s">
        <v>32</v>
      </c>
      <c r="G15" s="4" t="s">
        <v>33</v>
      </c>
      <c r="H15" s="74" t="s">
        <v>733</v>
      </c>
      <c r="I15" s="76">
        <v>200</v>
      </c>
      <c r="J15" s="9">
        <v>350000</v>
      </c>
    </row>
    <row r="16" s="28" customFormat="1" ht="21" customHeight="1" spans="1:52">
      <c r="A16" s="31"/>
      <c r="B16" s="32" t="s">
        <v>94</v>
      </c>
      <c r="C16" s="33"/>
      <c r="D16" s="33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49"/>
      <c r="R16" s="50"/>
      <c r="S16" s="50"/>
      <c r="T16" s="50"/>
      <c r="U16" s="50"/>
      <c r="V16" s="50"/>
      <c r="W16" s="51"/>
      <c r="X16" s="50"/>
      <c r="Y16" s="50"/>
      <c r="Z16" s="50"/>
      <c r="AA16" s="50"/>
      <c r="AB16" s="52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53"/>
      <c r="AX16" s="53"/>
      <c r="AY16" s="53"/>
      <c r="AZ16" s="53"/>
    </row>
    <row r="17" ht="49" customHeight="1" spans="1:10">
      <c r="A17" s="4" t="s">
        <v>748</v>
      </c>
      <c r="B17" s="4" t="s">
        <v>732</v>
      </c>
      <c r="C17" s="4" t="s">
        <v>29</v>
      </c>
      <c r="D17" s="73"/>
      <c r="E17" s="4" t="s">
        <v>31</v>
      </c>
      <c r="F17" s="4" t="s">
        <v>32</v>
      </c>
      <c r="G17" s="4" t="s">
        <v>33</v>
      </c>
      <c r="H17" s="74" t="s">
        <v>733</v>
      </c>
      <c r="I17" s="76">
        <v>200</v>
      </c>
      <c r="J17" s="9">
        <v>2100000</v>
      </c>
    </row>
    <row r="18" s="29" customFormat="1" ht="23" customHeight="1" spans="1:47">
      <c r="A18" s="35"/>
      <c r="B18" s="36" t="s">
        <v>734</v>
      </c>
      <c r="C18" s="37"/>
      <c r="D18" s="37"/>
      <c r="E18" s="38"/>
      <c r="F18" s="38"/>
      <c r="G18" s="38"/>
      <c r="H18" s="38"/>
      <c r="I18" s="38"/>
      <c r="J18" s="3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9"/>
      <c r="AJ18" s="79"/>
      <c r="AK18" s="80"/>
      <c r="AL18" s="80"/>
      <c r="AM18" s="80"/>
      <c r="AN18" s="80"/>
      <c r="AO18" s="80"/>
      <c r="AP18" s="81"/>
      <c r="AQ18" s="80"/>
      <c r="AR18" s="80"/>
      <c r="AS18" s="80"/>
      <c r="AT18" s="80"/>
      <c r="AU18" s="81"/>
    </row>
    <row r="19" ht="49" customHeight="1" spans="1:10">
      <c r="A19" s="4" t="s">
        <v>749</v>
      </c>
      <c r="B19" s="4" t="s">
        <v>732</v>
      </c>
      <c r="C19" s="4" t="s">
        <v>29</v>
      </c>
      <c r="D19" s="73"/>
      <c r="E19" s="4" t="s">
        <v>31</v>
      </c>
      <c r="F19" s="4" t="s">
        <v>32</v>
      </c>
      <c r="G19" s="4" t="s">
        <v>33</v>
      </c>
      <c r="H19" s="74" t="s">
        <v>733</v>
      </c>
      <c r="I19" s="76">
        <v>200</v>
      </c>
      <c r="J19" s="9">
        <v>1900000</v>
      </c>
    </row>
    <row r="20" s="29" customFormat="1" ht="23" customHeight="1" spans="1:47">
      <c r="A20" s="35"/>
      <c r="B20" s="77" t="s">
        <v>74</v>
      </c>
      <c r="C20" s="77"/>
      <c r="D20" s="77"/>
      <c r="E20" s="77"/>
      <c r="F20" s="77"/>
      <c r="G20" s="54"/>
      <c r="H20" s="54"/>
      <c r="I20" s="54"/>
      <c r="J20" s="54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9"/>
      <c r="AJ20" s="79"/>
      <c r="AK20" s="80"/>
      <c r="AL20" s="80"/>
      <c r="AM20" s="80"/>
      <c r="AN20" s="80"/>
      <c r="AO20" s="80"/>
      <c r="AP20" s="81"/>
      <c r="AQ20" s="80"/>
      <c r="AR20" s="80"/>
      <c r="AS20" s="80"/>
      <c r="AT20" s="80"/>
      <c r="AU20" s="81"/>
    </row>
    <row r="21" ht="49" customHeight="1" spans="1:10">
      <c r="A21" s="4" t="s">
        <v>750</v>
      </c>
      <c r="B21" s="4" t="s">
        <v>737</v>
      </c>
      <c r="C21" s="4" t="s">
        <v>29</v>
      </c>
      <c r="D21" s="73"/>
      <c r="E21" s="4" t="s">
        <v>31</v>
      </c>
      <c r="F21" s="4" t="s">
        <v>32</v>
      </c>
      <c r="G21" s="4" t="s">
        <v>33</v>
      </c>
      <c r="H21" s="74" t="s">
        <v>733</v>
      </c>
      <c r="I21" s="76">
        <v>200</v>
      </c>
      <c r="J21" s="9">
        <v>0</v>
      </c>
    </row>
    <row r="22" s="29" customFormat="1" ht="23" customHeight="1" spans="1:47">
      <c r="A22" s="35"/>
      <c r="B22" s="77" t="s">
        <v>369</v>
      </c>
      <c r="C22" s="77"/>
      <c r="D22" s="77"/>
      <c r="E22" s="77"/>
      <c r="F22" s="77"/>
      <c r="G22" s="54"/>
      <c r="H22" s="54"/>
      <c r="I22" s="54"/>
      <c r="J22" s="54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9"/>
      <c r="AJ22" s="79"/>
      <c r="AK22" s="80"/>
      <c r="AL22" s="80"/>
      <c r="AM22" s="80"/>
      <c r="AN22" s="80"/>
      <c r="AO22" s="80"/>
      <c r="AP22" s="81"/>
      <c r="AQ22" s="80"/>
      <c r="AR22" s="80"/>
      <c r="AS22" s="80"/>
      <c r="AT22" s="80"/>
      <c r="AU22" s="81"/>
    </row>
    <row r="23" ht="49" customHeight="1" spans="1:10">
      <c r="A23" s="4" t="s">
        <v>751</v>
      </c>
      <c r="B23" s="4" t="s">
        <v>739</v>
      </c>
      <c r="C23" s="4" t="s">
        <v>29</v>
      </c>
      <c r="D23" s="73"/>
      <c r="E23" s="4" t="s">
        <v>31</v>
      </c>
      <c r="F23" s="4" t="s">
        <v>32</v>
      </c>
      <c r="G23" s="4" t="s">
        <v>33</v>
      </c>
      <c r="H23" s="74" t="s">
        <v>733</v>
      </c>
      <c r="I23" s="76">
        <v>200</v>
      </c>
      <c r="J23" s="9">
        <v>2000000</v>
      </c>
    </row>
    <row r="24" s="29" customFormat="1" ht="23" customHeight="1" spans="1:47">
      <c r="A24" s="35"/>
      <c r="B24" s="77" t="s">
        <v>376</v>
      </c>
      <c r="C24" s="77"/>
      <c r="D24" s="77"/>
      <c r="E24" s="77"/>
      <c r="F24" s="77"/>
      <c r="G24" s="54"/>
      <c r="H24" s="54"/>
      <c r="I24" s="54"/>
      <c r="J24" s="54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9"/>
      <c r="AJ24" s="79"/>
      <c r="AK24" s="80"/>
      <c r="AL24" s="80"/>
      <c r="AM24" s="80"/>
      <c r="AN24" s="80"/>
      <c r="AO24" s="80"/>
      <c r="AP24" s="81"/>
      <c r="AQ24" s="80"/>
      <c r="AR24" s="80"/>
      <c r="AS24" s="80"/>
      <c r="AT24" s="80"/>
      <c r="AU24" s="81"/>
    </row>
    <row r="25" ht="49" customHeight="1" spans="1:10">
      <c r="A25" s="4" t="s">
        <v>752</v>
      </c>
      <c r="B25" s="4" t="s">
        <v>741</v>
      </c>
      <c r="C25" s="4" t="s">
        <v>29</v>
      </c>
      <c r="D25" s="73"/>
      <c r="E25" s="4" t="s">
        <v>31</v>
      </c>
      <c r="F25" s="4" t="s">
        <v>32</v>
      </c>
      <c r="G25" s="4" t="s">
        <v>33</v>
      </c>
      <c r="H25" s="74" t="s">
        <v>733</v>
      </c>
      <c r="I25" s="76">
        <v>200</v>
      </c>
      <c r="J25" s="9">
        <v>1890000</v>
      </c>
    </row>
    <row r="26" s="29" customFormat="1" ht="23" customHeight="1" spans="1:47">
      <c r="A26" s="35"/>
      <c r="B26" s="77" t="s">
        <v>742</v>
      </c>
      <c r="C26" s="77"/>
      <c r="D26" s="77"/>
      <c r="E26" s="77"/>
      <c r="F26" s="77"/>
      <c r="G26" s="54"/>
      <c r="H26" s="54"/>
      <c r="I26" s="54"/>
      <c r="J26" s="54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9"/>
      <c r="AJ26" s="79"/>
      <c r="AK26" s="80"/>
      <c r="AL26" s="80"/>
      <c r="AM26" s="80"/>
      <c r="AN26" s="80"/>
      <c r="AO26" s="80"/>
      <c r="AP26" s="81"/>
      <c r="AQ26" s="80"/>
      <c r="AR26" s="80"/>
      <c r="AS26" s="80"/>
      <c r="AT26" s="80"/>
      <c r="AU26" s="81"/>
    </row>
    <row r="27" ht="49" customHeight="1" spans="1:10">
      <c r="A27" s="4" t="s">
        <v>753</v>
      </c>
      <c r="B27" s="4" t="s">
        <v>744</v>
      </c>
      <c r="C27" s="4" t="s">
        <v>29</v>
      </c>
      <c r="D27" s="73"/>
      <c r="E27" s="4" t="s">
        <v>31</v>
      </c>
      <c r="F27" s="4" t="s">
        <v>32</v>
      </c>
      <c r="G27" s="4" t="s">
        <v>33</v>
      </c>
      <c r="H27" s="74" t="s">
        <v>733</v>
      </c>
      <c r="I27" s="76">
        <v>200</v>
      </c>
      <c r="J27" s="9">
        <v>350000</v>
      </c>
    </row>
    <row r="28" s="29" customFormat="1" ht="23" customHeight="1" spans="1:47">
      <c r="A28" s="35"/>
      <c r="B28" s="77" t="s">
        <v>745</v>
      </c>
      <c r="C28" s="77"/>
      <c r="D28" s="77"/>
      <c r="E28" s="77"/>
      <c r="F28" s="77"/>
      <c r="G28" s="54"/>
      <c r="H28" s="54"/>
      <c r="I28" s="54"/>
      <c r="J28" s="54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8"/>
      <c r="AG28" s="78"/>
      <c r="AH28" s="78"/>
      <c r="AI28" s="79"/>
      <c r="AJ28" s="79"/>
      <c r="AK28" s="80"/>
      <c r="AL28" s="80"/>
      <c r="AM28" s="80"/>
      <c r="AN28" s="80"/>
      <c r="AO28" s="80"/>
      <c r="AP28" s="81"/>
      <c r="AQ28" s="80"/>
      <c r="AR28" s="80"/>
      <c r="AS28" s="80"/>
      <c r="AT28" s="80"/>
      <c r="AU28" s="81"/>
    </row>
    <row r="29" ht="49" customHeight="1" spans="1:10">
      <c r="A29" s="4" t="s">
        <v>754</v>
      </c>
      <c r="B29" s="4" t="s">
        <v>747</v>
      </c>
      <c r="C29" s="4" t="s">
        <v>29</v>
      </c>
      <c r="D29" s="73"/>
      <c r="E29" s="4" t="s">
        <v>31</v>
      </c>
      <c r="F29" s="4" t="s">
        <v>32</v>
      </c>
      <c r="G29" s="4" t="s">
        <v>33</v>
      </c>
      <c r="H29" s="74" t="s">
        <v>733</v>
      </c>
      <c r="I29" s="76">
        <v>200</v>
      </c>
      <c r="J29" s="9">
        <v>350000</v>
      </c>
    </row>
  </sheetData>
  <mergeCells count="14">
    <mergeCell ref="B2:D2"/>
    <mergeCell ref="B4:D4"/>
    <mergeCell ref="B6:F6"/>
    <mergeCell ref="B8:F8"/>
    <mergeCell ref="B10:F10"/>
    <mergeCell ref="B12:F12"/>
    <mergeCell ref="B14:F14"/>
    <mergeCell ref="B16:D16"/>
    <mergeCell ref="B18:D18"/>
    <mergeCell ref="B20:F20"/>
    <mergeCell ref="B22:F22"/>
    <mergeCell ref="B24:F24"/>
    <mergeCell ref="B26:F26"/>
    <mergeCell ref="B28:F2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2857142857143" customWidth="1"/>
    <col min="6" max="6" width="21.1428571428571" customWidth="1"/>
    <col min="7" max="7" width="28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70" t="s">
        <v>3</v>
      </c>
      <c r="E1" s="71" t="s">
        <v>696</v>
      </c>
      <c r="F1" s="72" t="s">
        <v>697</v>
      </c>
      <c r="G1" s="72" t="s">
        <v>700</v>
      </c>
      <c r="H1" s="12" t="s">
        <v>15</v>
      </c>
      <c r="I1" s="71" t="s">
        <v>16</v>
      </c>
      <c r="J1" s="75" t="s">
        <v>730</v>
      </c>
    </row>
    <row r="2" ht="49" customHeight="1" spans="1:10">
      <c r="A2" s="4" t="s">
        <v>755</v>
      </c>
      <c r="B2" s="4" t="s">
        <v>756</v>
      </c>
      <c r="C2" s="4" t="s">
        <v>29</v>
      </c>
      <c r="D2" s="73"/>
      <c r="E2" s="4" t="s">
        <v>31</v>
      </c>
      <c r="F2" s="4" t="s">
        <v>32</v>
      </c>
      <c r="G2" s="4" t="s">
        <v>33</v>
      </c>
      <c r="H2" s="74" t="s">
        <v>733</v>
      </c>
      <c r="I2" s="76">
        <v>200</v>
      </c>
      <c r="J2" s="9">
        <v>2000000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8571428571429" customWidth="1"/>
    <col min="6" max="6" width="21.8571428571429" customWidth="1"/>
    <col min="7" max="7" width="24.8571428571429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70" t="s">
        <v>3</v>
      </c>
      <c r="E1" s="71" t="s">
        <v>696</v>
      </c>
      <c r="F1" s="72" t="s">
        <v>697</v>
      </c>
      <c r="G1" s="72" t="s">
        <v>700</v>
      </c>
      <c r="H1" s="12" t="s">
        <v>15</v>
      </c>
      <c r="I1" s="71" t="s">
        <v>16</v>
      </c>
      <c r="J1" s="75" t="s">
        <v>730</v>
      </c>
    </row>
    <row r="2" ht="49" customHeight="1" spans="1:10">
      <c r="A2" s="4" t="s">
        <v>757</v>
      </c>
      <c r="B2" s="4" t="s">
        <v>756</v>
      </c>
      <c r="C2" s="4" t="s">
        <v>29</v>
      </c>
      <c r="D2" s="73"/>
      <c r="E2" s="4" t="s">
        <v>31</v>
      </c>
      <c r="F2" s="4" t="s">
        <v>32</v>
      </c>
      <c r="G2" s="4" t="s">
        <v>33</v>
      </c>
      <c r="H2" s="74" t="s">
        <v>733</v>
      </c>
      <c r="I2" s="76">
        <v>200</v>
      </c>
      <c r="J2" s="9">
        <v>2000000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B24" sqref="B24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" customWidth="1"/>
    <col min="6" max="6" width="22.1428571428571" customWidth="1"/>
    <col min="7" max="7" width="22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70" t="s">
        <v>3</v>
      </c>
      <c r="E1" s="71" t="s">
        <v>696</v>
      </c>
      <c r="F1" s="72" t="s">
        <v>697</v>
      </c>
      <c r="G1" s="72" t="s">
        <v>700</v>
      </c>
      <c r="H1" s="12" t="s">
        <v>15</v>
      </c>
      <c r="I1" s="71" t="s">
        <v>16</v>
      </c>
      <c r="J1" s="75" t="s">
        <v>730</v>
      </c>
    </row>
    <row r="2" ht="49" customHeight="1" spans="1:10">
      <c r="A2" s="4" t="s">
        <v>758</v>
      </c>
      <c r="B2" s="4" t="s">
        <v>756</v>
      </c>
      <c r="C2" s="4" t="s">
        <v>29</v>
      </c>
      <c r="D2" s="73"/>
      <c r="E2" s="4" t="s">
        <v>31</v>
      </c>
      <c r="F2" s="4" t="s">
        <v>32</v>
      </c>
      <c r="G2" s="4" t="s">
        <v>33</v>
      </c>
      <c r="H2" s="74" t="s">
        <v>733</v>
      </c>
      <c r="I2" s="76">
        <v>200</v>
      </c>
      <c r="J2" s="9">
        <v>2000000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workbookViewId="0">
      <selection activeCell="G2" sqref="G2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5.7142857142857" style="1" customWidth="1"/>
    <col min="11" max="11" width="27.7142857142857" style="1" customWidth="1"/>
    <col min="12" max="13" width="17.8380952380952" style="1" customWidth="1"/>
    <col min="14" max="14" width="23.1428571428571" style="1" customWidth="1"/>
    <col min="15" max="16" width="17.8380952380952" style="1" customWidth="1"/>
    <col min="17" max="17" width="17.8380952380952" style="23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64" t="s">
        <v>759</v>
      </c>
      <c r="F1" s="64" t="s">
        <v>760</v>
      </c>
      <c r="G1" s="64" t="s">
        <v>672</v>
      </c>
      <c r="H1" s="64" t="s">
        <v>4</v>
      </c>
      <c r="I1" s="64" t="s">
        <v>5</v>
      </c>
      <c r="J1" s="64" t="s">
        <v>673</v>
      </c>
      <c r="K1" s="64" t="s">
        <v>674</v>
      </c>
      <c r="L1" s="64" t="s">
        <v>675</v>
      </c>
      <c r="M1" s="64" t="s">
        <v>676</v>
      </c>
      <c r="N1" s="64" t="s">
        <v>761</v>
      </c>
      <c r="O1" s="64" t="s">
        <v>678</v>
      </c>
      <c r="P1" s="64" t="s">
        <v>679</v>
      </c>
      <c r="Q1" s="64" t="s">
        <v>762</v>
      </c>
      <c r="R1" s="64" t="s">
        <v>763</v>
      </c>
      <c r="S1" s="64" t="s">
        <v>764</v>
      </c>
      <c r="T1" s="68" t="s">
        <v>15</v>
      </c>
      <c r="U1" s="10" t="s">
        <v>16</v>
      </c>
      <c r="V1" s="10" t="s">
        <v>681</v>
      </c>
      <c r="W1" s="10" t="s">
        <v>765</v>
      </c>
      <c r="X1" s="10" t="s">
        <v>683</v>
      </c>
      <c r="Y1" s="18" t="s">
        <v>684</v>
      </c>
      <c r="Z1" s="10" t="s">
        <v>685</v>
      </c>
      <c r="AA1" s="10" t="s">
        <v>686</v>
      </c>
      <c r="AB1" s="10" t="s">
        <v>687</v>
      </c>
      <c r="AC1" s="10" t="s">
        <v>688</v>
      </c>
      <c r="AD1" s="18" t="s">
        <v>689</v>
      </c>
    </row>
    <row r="2" s="1" customFormat="1" ht="50" customHeight="1" spans="1:30">
      <c r="A2" s="4" t="s">
        <v>766</v>
      </c>
      <c r="B2" s="7" t="s">
        <v>767</v>
      </c>
      <c r="C2" s="6" t="s">
        <v>29</v>
      </c>
      <c r="D2" s="17" t="s">
        <v>768</v>
      </c>
      <c r="E2" s="9" t="s">
        <v>769</v>
      </c>
      <c r="F2" s="9">
        <v>0</v>
      </c>
      <c r="G2" s="4" t="s">
        <v>173</v>
      </c>
      <c r="H2" s="4" t="s">
        <v>31</v>
      </c>
      <c r="I2" s="4" t="s">
        <v>32</v>
      </c>
      <c r="J2" s="4" t="s">
        <v>770</v>
      </c>
      <c r="K2" s="9" t="s">
        <v>771</v>
      </c>
      <c r="L2" s="66"/>
      <c r="M2" s="66"/>
      <c r="N2" s="4" t="s">
        <v>772</v>
      </c>
      <c r="O2" s="66"/>
      <c r="P2" s="66"/>
      <c r="Q2" s="9" t="s">
        <v>773</v>
      </c>
      <c r="R2" s="17"/>
      <c r="S2" s="17"/>
      <c r="T2" s="17" t="s">
        <v>774</v>
      </c>
      <c r="U2" s="21">
        <v>200</v>
      </c>
      <c r="V2" s="21" t="s">
        <v>188</v>
      </c>
      <c r="W2" s="21"/>
      <c r="X2" s="21" t="s">
        <v>34</v>
      </c>
      <c r="Y2" s="63" t="b">
        <v>0</v>
      </c>
      <c r="Z2" s="21" t="s">
        <v>189</v>
      </c>
      <c r="AA2" s="21" t="s">
        <v>188</v>
      </c>
      <c r="AB2" s="21" t="s">
        <v>188</v>
      </c>
      <c r="AC2" s="69" t="s">
        <v>190</v>
      </c>
      <c r="AD2" s="63" t="b">
        <v>0</v>
      </c>
    </row>
    <row r="3" s="1" customFormat="1" ht="69" customHeight="1" spans="1:30">
      <c r="A3" s="4" t="s">
        <v>775</v>
      </c>
      <c r="B3" s="7" t="s">
        <v>776</v>
      </c>
      <c r="C3" s="6" t="s">
        <v>29</v>
      </c>
      <c r="D3" s="17" t="s">
        <v>768</v>
      </c>
      <c r="E3" s="9" t="s">
        <v>769</v>
      </c>
      <c r="F3" s="9">
        <v>0</v>
      </c>
      <c r="G3" s="4" t="s">
        <v>173</v>
      </c>
      <c r="H3" s="4" t="s">
        <v>31</v>
      </c>
      <c r="I3" s="4" t="s">
        <v>32</v>
      </c>
      <c r="J3" s="4" t="s">
        <v>770</v>
      </c>
      <c r="K3" s="4" t="s">
        <v>777</v>
      </c>
      <c r="L3" s="67"/>
      <c r="M3" s="67"/>
      <c r="N3" s="4" t="s">
        <v>772</v>
      </c>
      <c r="O3" s="66" t="s">
        <v>778</v>
      </c>
      <c r="P3" s="66"/>
      <c r="Q3" s="9" t="s">
        <v>773</v>
      </c>
      <c r="R3" s="17"/>
      <c r="S3" s="17"/>
      <c r="T3" s="17" t="s">
        <v>774</v>
      </c>
      <c r="U3" s="21">
        <v>200</v>
      </c>
      <c r="V3" s="21" t="s">
        <v>188</v>
      </c>
      <c r="W3" s="21" t="str">
        <f>O3</f>
        <v>VST100</v>
      </c>
      <c r="X3" s="21" t="s">
        <v>34</v>
      </c>
      <c r="Y3" s="63" t="b">
        <v>0</v>
      </c>
      <c r="Z3" s="21" t="s">
        <v>189</v>
      </c>
      <c r="AA3" s="21" t="s">
        <v>188</v>
      </c>
      <c r="AB3" s="21" t="s">
        <v>188</v>
      </c>
      <c r="AC3" s="69" t="s">
        <v>190</v>
      </c>
      <c r="AD3" s="63" t="b">
        <v>0</v>
      </c>
    </row>
    <row r="4" s="1" customFormat="1" ht="69" customHeight="1" spans="1:30">
      <c r="A4" s="4" t="s">
        <v>779</v>
      </c>
      <c r="B4" s="7" t="s">
        <v>780</v>
      </c>
      <c r="C4" s="6" t="s">
        <v>29</v>
      </c>
      <c r="D4" s="17" t="s">
        <v>768</v>
      </c>
      <c r="E4" s="9" t="s">
        <v>769</v>
      </c>
      <c r="F4" s="9">
        <v>0</v>
      </c>
      <c r="G4" s="4" t="s">
        <v>173</v>
      </c>
      <c r="H4" s="4" t="s">
        <v>31</v>
      </c>
      <c r="I4" s="4" t="s">
        <v>32</v>
      </c>
      <c r="J4" s="4" t="s">
        <v>770</v>
      </c>
      <c r="K4" s="4" t="s">
        <v>777</v>
      </c>
      <c r="L4" s="7"/>
      <c r="M4" s="7"/>
      <c r="N4" s="4" t="s">
        <v>772</v>
      </c>
      <c r="O4" s="66"/>
      <c r="P4" s="66">
        <v>1</v>
      </c>
      <c r="Q4" s="9" t="s">
        <v>773</v>
      </c>
      <c r="R4" s="17"/>
      <c r="S4" s="17"/>
      <c r="T4" s="17" t="s">
        <v>774</v>
      </c>
      <c r="U4" s="21">
        <v>200</v>
      </c>
      <c r="V4" s="21" t="s">
        <v>188</v>
      </c>
      <c r="W4" s="21"/>
      <c r="X4" s="21" t="s">
        <v>34</v>
      </c>
      <c r="Y4" s="63" t="b">
        <v>0</v>
      </c>
      <c r="Z4" s="21" t="s">
        <v>189</v>
      </c>
      <c r="AA4" s="21" t="s">
        <v>188</v>
      </c>
      <c r="AB4" s="21" t="s">
        <v>188</v>
      </c>
      <c r="AC4" s="69" t="s">
        <v>190</v>
      </c>
      <c r="AD4" s="63" t="b">
        <v>0</v>
      </c>
    </row>
    <row r="5" s="1" customFormat="1" ht="69" customHeight="1" spans="1:30">
      <c r="A5" s="4" t="s">
        <v>781</v>
      </c>
      <c r="B5" s="7" t="s">
        <v>782</v>
      </c>
      <c r="C5" s="6" t="s">
        <v>29</v>
      </c>
      <c r="D5" s="17" t="s">
        <v>768</v>
      </c>
      <c r="E5" s="9" t="s">
        <v>769</v>
      </c>
      <c r="F5" s="9">
        <v>0</v>
      </c>
      <c r="G5" s="4" t="s">
        <v>173</v>
      </c>
      <c r="H5" s="4" t="s">
        <v>31</v>
      </c>
      <c r="I5" s="4" t="s">
        <v>32</v>
      </c>
      <c r="J5" s="4" t="s">
        <v>770</v>
      </c>
      <c r="K5" s="4" t="s">
        <v>777</v>
      </c>
      <c r="L5" s="125" t="s">
        <v>51</v>
      </c>
      <c r="M5" s="7"/>
      <c r="N5" s="4" t="s">
        <v>772</v>
      </c>
      <c r="O5" s="66"/>
      <c r="P5" s="66"/>
      <c r="Q5" s="9" t="s">
        <v>773</v>
      </c>
      <c r="R5" s="17"/>
      <c r="S5" s="17"/>
      <c r="T5" s="17" t="s">
        <v>774</v>
      </c>
      <c r="U5" s="21">
        <v>200</v>
      </c>
      <c r="V5" s="21" t="s">
        <v>188</v>
      </c>
      <c r="W5" s="21"/>
      <c r="X5" s="21" t="s">
        <v>34</v>
      </c>
      <c r="Y5" s="63" t="b">
        <v>0</v>
      </c>
      <c r="Z5" s="21" t="s">
        <v>189</v>
      </c>
      <c r="AA5" s="21" t="s">
        <v>188</v>
      </c>
      <c r="AB5" s="21" t="s">
        <v>188</v>
      </c>
      <c r="AC5" s="69" t="s">
        <v>190</v>
      </c>
      <c r="AD5" s="63" t="b">
        <v>1</v>
      </c>
    </row>
    <row r="6" s="1" customFormat="1" ht="69" customHeight="1" spans="1:30">
      <c r="A6" s="4" t="s">
        <v>783</v>
      </c>
      <c r="B6" s="7" t="s">
        <v>784</v>
      </c>
      <c r="C6" s="6" t="s">
        <v>29</v>
      </c>
      <c r="D6" s="17" t="s">
        <v>768</v>
      </c>
      <c r="E6" s="9" t="s">
        <v>769</v>
      </c>
      <c r="F6" s="9">
        <v>0</v>
      </c>
      <c r="G6" s="4" t="s">
        <v>173</v>
      </c>
      <c r="H6" s="4" t="s">
        <v>31</v>
      </c>
      <c r="I6" s="4" t="s">
        <v>32</v>
      </c>
      <c r="J6" s="4" t="s">
        <v>770</v>
      </c>
      <c r="K6" s="4" t="s">
        <v>777</v>
      </c>
      <c r="L6" s="7"/>
      <c r="M6" s="7" t="s">
        <v>785</v>
      </c>
      <c r="N6" s="4" t="s">
        <v>772</v>
      </c>
      <c r="O6" s="66"/>
      <c r="P6" s="66"/>
      <c r="Q6" s="9" t="s">
        <v>773</v>
      </c>
      <c r="R6" s="17"/>
      <c r="S6" s="17"/>
      <c r="T6" s="17" t="s">
        <v>774</v>
      </c>
      <c r="U6" s="21">
        <v>200</v>
      </c>
      <c r="V6" s="21" t="s">
        <v>188</v>
      </c>
      <c r="W6" s="21"/>
      <c r="X6" s="21" t="s">
        <v>34</v>
      </c>
      <c r="Y6" s="63" t="b">
        <v>0</v>
      </c>
      <c r="Z6" s="21" t="s">
        <v>189</v>
      </c>
      <c r="AA6" s="21" t="s">
        <v>188</v>
      </c>
      <c r="AB6" s="21" t="s">
        <v>188</v>
      </c>
      <c r="AC6" s="69" t="s">
        <v>190</v>
      </c>
      <c r="AD6" s="63" t="b">
        <v>0</v>
      </c>
    </row>
    <row r="7" s="1" customFormat="1" ht="69" customHeight="1" spans="1:30">
      <c r="A7" s="4" t="s">
        <v>786</v>
      </c>
      <c r="B7" s="7" t="s">
        <v>787</v>
      </c>
      <c r="C7" s="6" t="s">
        <v>29</v>
      </c>
      <c r="D7" s="17" t="s">
        <v>768</v>
      </c>
      <c r="E7" s="9" t="s">
        <v>769</v>
      </c>
      <c r="F7" s="9">
        <v>0</v>
      </c>
      <c r="G7" s="4" t="s">
        <v>173</v>
      </c>
      <c r="H7" s="4" t="s">
        <v>31</v>
      </c>
      <c r="I7" s="4" t="s">
        <v>32</v>
      </c>
      <c r="J7" s="4" t="s">
        <v>770</v>
      </c>
      <c r="K7" s="9" t="s">
        <v>771</v>
      </c>
      <c r="L7" s="66"/>
      <c r="M7" s="66"/>
      <c r="N7" s="4" t="s">
        <v>772</v>
      </c>
      <c r="O7" s="66"/>
      <c r="P7" s="66"/>
      <c r="Q7" s="9" t="s">
        <v>773</v>
      </c>
      <c r="R7" s="4" t="s">
        <v>788</v>
      </c>
      <c r="S7" s="4" t="s">
        <v>789</v>
      </c>
      <c r="T7" s="17" t="s">
        <v>774</v>
      </c>
      <c r="U7" s="21">
        <v>200</v>
      </c>
      <c r="V7" s="21" t="s">
        <v>188</v>
      </c>
      <c r="W7" s="21"/>
      <c r="X7" s="21">
        <v>1</v>
      </c>
      <c r="Y7" s="63" t="b">
        <v>0</v>
      </c>
      <c r="Z7" s="21" t="s">
        <v>189</v>
      </c>
      <c r="AA7" s="21" t="s">
        <v>188</v>
      </c>
      <c r="AB7" s="21" t="s">
        <v>188</v>
      </c>
      <c r="AC7" s="21" t="s">
        <v>322</v>
      </c>
      <c r="AD7" s="63" t="b">
        <v>0</v>
      </c>
    </row>
    <row r="8" s="1" customFormat="1" ht="69" customHeight="1" spans="1:30">
      <c r="A8" s="4" t="s">
        <v>790</v>
      </c>
      <c r="B8" s="7" t="s">
        <v>791</v>
      </c>
      <c r="C8" s="6" t="s">
        <v>29</v>
      </c>
      <c r="D8" s="17" t="s">
        <v>768</v>
      </c>
      <c r="E8" s="9" t="s">
        <v>769</v>
      </c>
      <c r="F8" s="9">
        <v>0</v>
      </c>
      <c r="G8" s="4" t="s">
        <v>173</v>
      </c>
      <c r="H8" s="4" t="s">
        <v>31</v>
      </c>
      <c r="I8" s="4" t="s">
        <v>32</v>
      </c>
      <c r="J8" s="4" t="s">
        <v>770</v>
      </c>
      <c r="K8" s="4" t="s">
        <v>777</v>
      </c>
      <c r="L8" s="67"/>
      <c r="M8" s="67"/>
      <c r="N8" s="4" t="s">
        <v>772</v>
      </c>
      <c r="O8" s="66" t="s">
        <v>792</v>
      </c>
      <c r="P8" s="66"/>
      <c r="Q8" s="9" t="s">
        <v>773</v>
      </c>
      <c r="R8" s="4" t="s">
        <v>788</v>
      </c>
      <c r="S8" s="4" t="s">
        <v>789</v>
      </c>
      <c r="T8" s="17" t="s">
        <v>774</v>
      </c>
      <c r="U8" s="21">
        <v>200</v>
      </c>
      <c r="V8" s="21" t="s">
        <v>188</v>
      </c>
      <c r="W8" s="21" t="str">
        <f>O8</f>
        <v>MB100</v>
      </c>
      <c r="X8" s="21">
        <v>1</v>
      </c>
      <c r="Y8" s="63" t="b">
        <v>0</v>
      </c>
      <c r="Z8" s="21" t="s">
        <v>189</v>
      </c>
      <c r="AA8" s="21" t="s">
        <v>188</v>
      </c>
      <c r="AB8" s="21" t="s">
        <v>188</v>
      </c>
      <c r="AC8" s="21" t="s">
        <v>322</v>
      </c>
      <c r="AD8" s="63" t="b">
        <v>0</v>
      </c>
    </row>
    <row r="9" s="1" customFormat="1" ht="69" customHeight="1" spans="1:30">
      <c r="A9" s="4" t="s">
        <v>793</v>
      </c>
      <c r="B9" s="7" t="s">
        <v>794</v>
      </c>
      <c r="C9" s="6" t="s">
        <v>29</v>
      </c>
      <c r="D9" s="17" t="s">
        <v>768</v>
      </c>
      <c r="E9" s="9" t="s">
        <v>769</v>
      </c>
      <c r="F9" s="9">
        <v>0</v>
      </c>
      <c r="G9" s="4" t="s">
        <v>173</v>
      </c>
      <c r="H9" s="4" t="s">
        <v>31</v>
      </c>
      <c r="I9" s="4" t="s">
        <v>32</v>
      </c>
      <c r="J9" s="4" t="s">
        <v>770</v>
      </c>
      <c r="K9" s="4" t="s">
        <v>777</v>
      </c>
      <c r="L9" s="7"/>
      <c r="M9" s="7"/>
      <c r="N9" s="4" t="s">
        <v>772</v>
      </c>
      <c r="O9" s="66"/>
      <c r="P9" s="66">
        <v>1</v>
      </c>
      <c r="Q9" s="9" t="s">
        <v>773</v>
      </c>
      <c r="R9" s="4" t="s">
        <v>788</v>
      </c>
      <c r="S9" s="4" t="s">
        <v>789</v>
      </c>
      <c r="T9" s="17" t="s">
        <v>774</v>
      </c>
      <c r="U9" s="21">
        <v>200</v>
      </c>
      <c r="V9" s="21" t="s">
        <v>188</v>
      </c>
      <c r="W9" s="21"/>
      <c r="X9" s="21">
        <v>1</v>
      </c>
      <c r="Y9" s="63" t="b">
        <v>0</v>
      </c>
      <c r="Z9" s="21" t="s">
        <v>189</v>
      </c>
      <c r="AA9" s="21" t="s">
        <v>188</v>
      </c>
      <c r="AB9" s="21" t="s">
        <v>188</v>
      </c>
      <c r="AC9" s="21" t="s">
        <v>322</v>
      </c>
      <c r="AD9" s="63" t="b">
        <v>0</v>
      </c>
    </row>
    <row r="10" s="1" customFormat="1" ht="69" customHeight="1" spans="1:30">
      <c r="A10" s="4" t="s">
        <v>795</v>
      </c>
      <c r="B10" s="7" t="s">
        <v>796</v>
      </c>
      <c r="C10" s="6" t="s">
        <v>29</v>
      </c>
      <c r="D10" s="17" t="s">
        <v>768</v>
      </c>
      <c r="E10" s="9" t="s">
        <v>769</v>
      </c>
      <c r="F10" s="9">
        <v>0</v>
      </c>
      <c r="G10" s="4" t="s">
        <v>173</v>
      </c>
      <c r="H10" s="4" t="s">
        <v>31</v>
      </c>
      <c r="I10" s="4" t="s">
        <v>32</v>
      </c>
      <c r="J10" s="4" t="s">
        <v>770</v>
      </c>
      <c r="K10" s="4" t="s">
        <v>777</v>
      </c>
      <c r="L10" s="125" t="s">
        <v>51</v>
      </c>
      <c r="M10" s="7"/>
      <c r="N10" s="4" t="s">
        <v>772</v>
      </c>
      <c r="O10" s="66"/>
      <c r="P10" s="66"/>
      <c r="Q10" s="9" t="s">
        <v>773</v>
      </c>
      <c r="R10" s="4" t="s">
        <v>788</v>
      </c>
      <c r="S10" s="4" t="s">
        <v>789</v>
      </c>
      <c r="T10" s="17" t="s">
        <v>774</v>
      </c>
      <c r="U10" s="21">
        <v>200</v>
      </c>
      <c r="V10" s="21" t="s">
        <v>188</v>
      </c>
      <c r="W10" s="21"/>
      <c r="X10" s="21">
        <v>1</v>
      </c>
      <c r="Y10" s="63" t="b">
        <v>0</v>
      </c>
      <c r="Z10" s="21" t="s">
        <v>189</v>
      </c>
      <c r="AA10" s="21" t="s">
        <v>188</v>
      </c>
      <c r="AB10" s="21" t="s">
        <v>188</v>
      </c>
      <c r="AC10" s="21" t="s">
        <v>322</v>
      </c>
      <c r="AD10" s="63" t="b">
        <v>1</v>
      </c>
    </row>
    <row r="11" s="1" customFormat="1" ht="69" customHeight="1" spans="1:30">
      <c r="A11" s="4" t="s">
        <v>797</v>
      </c>
      <c r="B11" s="7" t="s">
        <v>798</v>
      </c>
      <c r="C11" s="6" t="s">
        <v>29</v>
      </c>
      <c r="D11" s="17" t="s">
        <v>768</v>
      </c>
      <c r="E11" s="9" t="s">
        <v>769</v>
      </c>
      <c r="F11" s="9">
        <v>0</v>
      </c>
      <c r="G11" s="4" t="s">
        <v>173</v>
      </c>
      <c r="H11" s="4" t="s">
        <v>31</v>
      </c>
      <c r="I11" s="4" t="s">
        <v>32</v>
      </c>
      <c r="J11" s="4" t="s">
        <v>770</v>
      </c>
      <c r="K11" s="4" t="s">
        <v>777</v>
      </c>
      <c r="L11" s="7"/>
      <c r="M11" s="7" t="s">
        <v>785</v>
      </c>
      <c r="N11" s="4" t="s">
        <v>772</v>
      </c>
      <c r="O11" s="66"/>
      <c r="P11" s="66"/>
      <c r="Q11" s="9" t="s">
        <v>773</v>
      </c>
      <c r="R11" s="4" t="s">
        <v>788</v>
      </c>
      <c r="S11" s="4" t="s">
        <v>789</v>
      </c>
      <c r="T11" s="17" t="s">
        <v>774</v>
      </c>
      <c r="U11" s="21">
        <v>200</v>
      </c>
      <c r="V11" s="21" t="s">
        <v>188</v>
      </c>
      <c r="W11" s="21"/>
      <c r="X11" s="21">
        <v>1</v>
      </c>
      <c r="Y11" s="63" t="b">
        <v>0</v>
      </c>
      <c r="Z11" s="21" t="s">
        <v>189</v>
      </c>
      <c r="AA11" s="21" t="s">
        <v>188</v>
      </c>
      <c r="AB11" s="21" t="s">
        <v>188</v>
      </c>
      <c r="AC11" s="21" t="s">
        <v>322</v>
      </c>
      <c r="AD11" s="63" t="b">
        <v>0</v>
      </c>
    </row>
    <row r="12" s="1" customFormat="1" ht="69" customHeight="1" spans="1:30">
      <c r="A12" s="4" t="s">
        <v>799</v>
      </c>
      <c r="B12" s="7" t="s">
        <v>800</v>
      </c>
      <c r="C12" s="6" t="s">
        <v>29</v>
      </c>
      <c r="D12" s="17" t="s">
        <v>768</v>
      </c>
      <c r="E12" s="9" t="s">
        <v>769</v>
      </c>
      <c r="F12" s="65">
        <v>378</v>
      </c>
      <c r="G12" s="4" t="s">
        <v>173</v>
      </c>
      <c r="H12" s="4" t="s">
        <v>31</v>
      </c>
      <c r="I12" s="4" t="s">
        <v>32</v>
      </c>
      <c r="J12" s="4" t="s">
        <v>770</v>
      </c>
      <c r="K12" s="9" t="s">
        <v>771</v>
      </c>
      <c r="L12" s="66"/>
      <c r="M12" s="66"/>
      <c r="N12" s="4" t="s">
        <v>772</v>
      </c>
      <c r="O12" s="66"/>
      <c r="P12" s="66"/>
      <c r="Q12" s="9" t="s">
        <v>773</v>
      </c>
      <c r="R12" s="17"/>
      <c r="S12" s="17"/>
      <c r="T12" s="17" t="s">
        <v>774</v>
      </c>
      <c r="U12" s="21">
        <v>200</v>
      </c>
      <c r="V12" s="21" t="s">
        <v>188</v>
      </c>
      <c r="W12" s="21"/>
      <c r="X12" s="21" t="s">
        <v>48</v>
      </c>
      <c r="Y12" s="63" t="b">
        <v>0</v>
      </c>
      <c r="Z12" s="21" t="s">
        <v>189</v>
      </c>
      <c r="AA12" s="21" t="s">
        <v>188</v>
      </c>
      <c r="AB12" s="21" t="s">
        <v>188</v>
      </c>
      <c r="AC12" s="21" t="s">
        <v>258</v>
      </c>
      <c r="AD12" s="63" t="b">
        <v>0</v>
      </c>
    </row>
    <row r="13" s="1" customFormat="1" ht="69" customHeight="1" spans="1:30">
      <c r="A13" s="4" t="s">
        <v>801</v>
      </c>
      <c r="B13" s="7" t="s">
        <v>802</v>
      </c>
      <c r="C13" s="6" t="s">
        <v>29</v>
      </c>
      <c r="D13" s="17" t="s">
        <v>768</v>
      </c>
      <c r="E13" s="9" t="s">
        <v>769</v>
      </c>
      <c r="F13" s="65">
        <v>378</v>
      </c>
      <c r="G13" s="4" t="s">
        <v>173</v>
      </c>
      <c r="H13" s="4" t="s">
        <v>31</v>
      </c>
      <c r="I13" s="4" t="s">
        <v>32</v>
      </c>
      <c r="J13" s="4" t="s">
        <v>770</v>
      </c>
      <c r="K13" s="4" t="s">
        <v>777</v>
      </c>
      <c r="L13" s="67"/>
      <c r="M13" s="67"/>
      <c r="N13" s="4" t="s">
        <v>772</v>
      </c>
      <c r="O13" s="66" t="s">
        <v>803</v>
      </c>
      <c r="P13" s="66"/>
      <c r="Q13" s="9" t="s">
        <v>773</v>
      </c>
      <c r="R13" s="17"/>
      <c r="S13" s="17"/>
      <c r="T13" s="17" t="s">
        <v>774</v>
      </c>
      <c r="U13" s="21">
        <v>200</v>
      </c>
      <c r="V13" s="21" t="s">
        <v>188</v>
      </c>
      <c r="W13" s="21" t="str">
        <f>O13</f>
        <v>AG101</v>
      </c>
      <c r="X13" s="21" t="s">
        <v>48</v>
      </c>
      <c r="Y13" s="63" t="b">
        <v>0</v>
      </c>
      <c r="Z13" s="21" t="s">
        <v>189</v>
      </c>
      <c r="AA13" s="21" t="s">
        <v>188</v>
      </c>
      <c r="AB13" s="21" t="s">
        <v>188</v>
      </c>
      <c r="AC13" s="21" t="s">
        <v>258</v>
      </c>
      <c r="AD13" s="63" t="b">
        <v>0</v>
      </c>
    </row>
    <row r="14" s="1" customFormat="1" ht="70" customHeight="1" spans="1:30">
      <c r="A14" s="4" t="s">
        <v>804</v>
      </c>
      <c r="B14" s="7" t="s">
        <v>805</v>
      </c>
      <c r="C14" s="6" t="s">
        <v>29</v>
      </c>
      <c r="D14" s="17" t="s">
        <v>768</v>
      </c>
      <c r="E14" s="9" t="s">
        <v>769</v>
      </c>
      <c r="F14" s="65">
        <v>378</v>
      </c>
      <c r="G14" s="4" t="s">
        <v>173</v>
      </c>
      <c r="H14" s="4" t="s">
        <v>31</v>
      </c>
      <c r="I14" s="4" t="s">
        <v>32</v>
      </c>
      <c r="J14" s="4" t="s">
        <v>770</v>
      </c>
      <c r="K14" s="4" t="s">
        <v>777</v>
      </c>
      <c r="L14" s="7"/>
      <c r="M14" s="7"/>
      <c r="N14" s="4" t="s">
        <v>772</v>
      </c>
      <c r="O14" s="66"/>
      <c r="P14" s="66">
        <v>1</v>
      </c>
      <c r="Q14" s="9" t="s">
        <v>773</v>
      </c>
      <c r="R14" s="17"/>
      <c r="S14" s="17"/>
      <c r="T14" s="17" t="s">
        <v>774</v>
      </c>
      <c r="U14" s="21">
        <v>200</v>
      </c>
      <c r="V14" s="21" t="s">
        <v>188</v>
      </c>
      <c r="W14" s="21"/>
      <c r="X14" s="21" t="s">
        <v>48</v>
      </c>
      <c r="Y14" s="63" t="b">
        <v>0</v>
      </c>
      <c r="Z14" s="21" t="s">
        <v>189</v>
      </c>
      <c r="AA14" s="21" t="s">
        <v>188</v>
      </c>
      <c r="AB14" s="21" t="s">
        <v>188</v>
      </c>
      <c r="AC14" s="21" t="s">
        <v>258</v>
      </c>
      <c r="AD14" s="63" t="b">
        <v>0</v>
      </c>
    </row>
    <row r="15" s="1" customFormat="1" ht="69" customHeight="1" spans="1:30">
      <c r="A15" s="4" t="s">
        <v>806</v>
      </c>
      <c r="B15" s="7" t="s">
        <v>807</v>
      </c>
      <c r="C15" s="6" t="s">
        <v>29</v>
      </c>
      <c r="D15" s="17" t="s">
        <v>768</v>
      </c>
      <c r="E15" s="9" t="s">
        <v>769</v>
      </c>
      <c r="F15" s="65">
        <v>378</v>
      </c>
      <c r="G15" s="4" t="s">
        <v>173</v>
      </c>
      <c r="H15" s="4" t="s">
        <v>31</v>
      </c>
      <c r="I15" s="4" t="s">
        <v>32</v>
      </c>
      <c r="J15" s="4" t="s">
        <v>770</v>
      </c>
      <c r="K15" s="4" t="s">
        <v>777</v>
      </c>
      <c r="L15" s="125" t="s">
        <v>51</v>
      </c>
      <c r="M15" s="7"/>
      <c r="N15" s="4" t="s">
        <v>772</v>
      </c>
      <c r="O15" s="66"/>
      <c r="P15" s="66"/>
      <c r="Q15" s="9" t="s">
        <v>773</v>
      </c>
      <c r="R15" s="17"/>
      <c r="S15" s="17"/>
      <c r="T15" s="17" t="s">
        <v>774</v>
      </c>
      <c r="U15" s="21">
        <v>200</v>
      </c>
      <c r="V15" s="21" t="s">
        <v>188</v>
      </c>
      <c r="W15" s="21"/>
      <c r="X15" s="21" t="s">
        <v>48</v>
      </c>
      <c r="Y15" s="63" t="b">
        <v>0</v>
      </c>
      <c r="Z15" s="21" t="s">
        <v>189</v>
      </c>
      <c r="AA15" s="21" t="s">
        <v>188</v>
      </c>
      <c r="AB15" s="21" t="s">
        <v>188</v>
      </c>
      <c r="AC15" s="21" t="s">
        <v>258</v>
      </c>
      <c r="AD15" s="63" t="b">
        <v>1</v>
      </c>
    </row>
    <row r="16" s="1" customFormat="1" ht="69" customHeight="1" spans="1:30">
      <c r="A16" s="4" t="s">
        <v>808</v>
      </c>
      <c r="B16" s="7" t="s">
        <v>809</v>
      </c>
      <c r="C16" s="6" t="s">
        <v>29</v>
      </c>
      <c r="D16" s="17" t="s">
        <v>768</v>
      </c>
      <c r="E16" s="9" t="s">
        <v>769</v>
      </c>
      <c r="F16" s="65">
        <v>378</v>
      </c>
      <c r="G16" s="4" t="s">
        <v>173</v>
      </c>
      <c r="H16" s="4" t="s">
        <v>31</v>
      </c>
      <c r="I16" s="4" t="s">
        <v>32</v>
      </c>
      <c r="J16" s="4" t="s">
        <v>770</v>
      </c>
      <c r="K16" s="4" t="s">
        <v>777</v>
      </c>
      <c r="L16" s="7"/>
      <c r="M16" s="7" t="s">
        <v>785</v>
      </c>
      <c r="N16" s="4" t="s">
        <v>772</v>
      </c>
      <c r="O16" s="66"/>
      <c r="P16" s="66"/>
      <c r="Q16" s="9" t="s">
        <v>773</v>
      </c>
      <c r="R16" s="17"/>
      <c r="S16" s="17"/>
      <c r="T16" s="17" t="s">
        <v>774</v>
      </c>
      <c r="U16" s="21">
        <v>200</v>
      </c>
      <c r="V16" s="21" t="s">
        <v>188</v>
      </c>
      <c r="W16" s="21"/>
      <c r="X16" s="21" t="s">
        <v>48</v>
      </c>
      <c r="Y16" s="63" t="b">
        <v>0</v>
      </c>
      <c r="Z16" s="21" t="s">
        <v>189</v>
      </c>
      <c r="AA16" s="21" t="s">
        <v>188</v>
      </c>
      <c r="AB16" s="21" t="s">
        <v>188</v>
      </c>
      <c r="AC16" s="21" t="s">
        <v>258</v>
      </c>
      <c r="AD16" s="63" t="b">
        <v>0</v>
      </c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A7" workbookViewId="0">
      <selection activeCell="G14" sqref="G14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" style="1" customWidth="1"/>
    <col min="9" max="9" width="20" style="1" customWidth="1"/>
    <col min="10" max="10" width="35.7142857142857" style="1" customWidth="1"/>
    <col min="11" max="11" width="27.1428571428571" style="1" customWidth="1"/>
    <col min="12" max="13" width="17.8380952380952" style="1" customWidth="1"/>
    <col min="14" max="14" width="22.1428571428571" style="1" customWidth="1"/>
    <col min="15" max="16" width="17.8380952380952" style="1" customWidth="1"/>
    <col min="17" max="17" width="17.8380952380952" style="23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64" t="s">
        <v>759</v>
      </c>
      <c r="F1" s="64" t="s">
        <v>760</v>
      </c>
      <c r="G1" s="64" t="s">
        <v>672</v>
      </c>
      <c r="H1" s="64" t="s">
        <v>4</v>
      </c>
      <c r="I1" s="64" t="s">
        <v>5</v>
      </c>
      <c r="J1" s="64" t="s">
        <v>673</v>
      </c>
      <c r="K1" s="64" t="s">
        <v>674</v>
      </c>
      <c r="L1" s="64" t="s">
        <v>675</v>
      </c>
      <c r="M1" s="64" t="s">
        <v>676</v>
      </c>
      <c r="N1" s="64" t="s">
        <v>761</v>
      </c>
      <c r="O1" s="64" t="s">
        <v>678</v>
      </c>
      <c r="P1" s="64" t="s">
        <v>679</v>
      </c>
      <c r="Q1" s="64" t="s">
        <v>762</v>
      </c>
      <c r="R1" s="64" t="s">
        <v>763</v>
      </c>
      <c r="S1" s="64" t="s">
        <v>764</v>
      </c>
      <c r="T1" s="68" t="s">
        <v>15</v>
      </c>
      <c r="U1" s="10" t="s">
        <v>16</v>
      </c>
      <c r="V1" s="10" t="s">
        <v>681</v>
      </c>
      <c r="W1" s="10" t="s">
        <v>765</v>
      </c>
      <c r="X1" s="10" t="s">
        <v>683</v>
      </c>
      <c r="Y1" s="18" t="s">
        <v>684</v>
      </c>
      <c r="Z1" s="10" t="s">
        <v>685</v>
      </c>
      <c r="AA1" s="10" t="s">
        <v>686</v>
      </c>
      <c r="AB1" s="10" t="s">
        <v>687</v>
      </c>
      <c r="AC1" s="10" t="s">
        <v>688</v>
      </c>
      <c r="AD1" s="18" t="s">
        <v>689</v>
      </c>
    </row>
    <row r="2" s="1" customFormat="1" ht="50" customHeight="1" spans="1:30">
      <c r="A2" s="4" t="s">
        <v>766</v>
      </c>
      <c r="B2" s="7" t="s">
        <v>767</v>
      </c>
      <c r="C2" s="6" t="s">
        <v>29</v>
      </c>
      <c r="D2" s="17" t="s">
        <v>768</v>
      </c>
      <c r="E2" s="9" t="s">
        <v>810</v>
      </c>
      <c r="F2" s="9">
        <v>0</v>
      </c>
      <c r="G2" s="4" t="s">
        <v>173</v>
      </c>
      <c r="H2" s="4" t="s">
        <v>31</v>
      </c>
      <c r="I2" s="4" t="s">
        <v>32</v>
      </c>
      <c r="J2" s="4" t="s">
        <v>811</v>
      </c>
      <c r="K2" s="9" t="s">
        <v>771</v>
      </c>
      <c r="L2" s="66"/>
      <c r="M2" s="66"/>
      <c r="N2" s="4" t="s">
        <v>812</v>
      </c>
      <c r="O2" s="66"/>
      <c r="P2" s="66"/>
      <c r="Q2" s="9" t="s">
        <v>773</v>
      </c>
      <c r="R2" s="17"/>
      <c r="S2" s="17"/>
      <c r="T2" s="17" t="s">
        <v>774</v>
      </c>
      <c r="U2" s="21">
        <v>200</v>
      </c>
      <c r="V2" s="21" t="s">
        <v>188</v>
      </c>
      <c r="W2" s="21"/>
      <c r="X2" s="21" t="s">
        <v>34</v>
      </c>
      <c r="Y2" s="63" t="b">
        <v>0</v>
      </c>
      <c r="Z2" s="21" t="s">
        <v>189</v>
      </c>
      <c r="AA2" s="21" t="s">
        <v>188</v>
      </c>
      <c r="AB2" s="21" t="s">
        <v>188</v>
      </c>
      <c r="AC2" s="69" t="s">
        <v>190</v>
      </c>
      <c r="AD2" s="63" t="b">
        <v>0</v>
      </c>
    </row>
    <row r="3" s="1" customFormat="1" ht="69" customHeight="1" spans="1:30">
      <c r="A3" s="4" t="s">
        <v>775</v>
      </c>
      <c r="B3" s="7" t="s">
        <v>776</v>
      </c>
      <c r="C3" s="6" t="s">
        <v>29</v>
      </c>
      <c r="D3" s="17" t="s">
        <v>768</v>
      </c>
      <c r="E3" s="9" t="s">
        <v>810</v>
      </c>
      <c r="F3" s="9">
        <v>0</v>
      </c>
      <c r="G3" s="4" t="s">
        <v>173</v>
      </c>
      <c r="H3" s="4" t="s">
        <v>31</v>
      </c>
      <c r="I3" s="4" t="s">
        <v>32</v>
      </c>
      <c r="J3" s="4" t="s">
        <v>811</v>
      </c>
      <c r="K3" s="4" t="s">
        <v>813</v>
      </c>
      <c r="L3" s="67"/>
      <c r="M3" s="67"/>
      <c r="N3" s="4" t="s">
        <v>812</v>
      </c>
      <c r="O3" s="66" t="s">
        <v>814</v>
      </c>
      <c r="P3" s="66"/>
      <c r="Q3" s="9" t="s">
        <v>773</v>
      </c>
      <c r="R3" s="17"/>
      <c r="S3" s="17"/>
      <c r="T3" s="17" t="s">
        <v>774</v>
      </c>
      <c r="U3" s="21">
        <v>200</v>
      </c>
      <c r="V3" s="21" t="s">
        <v>188</v>
      </c>
      <c r="W3" s="21" t="str">
        <f>O3</f>
        <v>VST200</v>
      </c>
      <c r="X3" s="21" t="s">
        <v>34</v>
      </c>
      <c r="Y3" s="63" t="b">
        <v>0</v>
      </c>
      <c r="Z3" s="21" t="s">
        <v>189</v>
      </c>
      <c r="AA3" s="21" t="s">
        <v>188</v>
      </c>
      <c r="AB3" s="21" t="s">
        <v>188</v>
      </c>
      <c r="AC3" s="69" t="s">
        <v>190</v>
      </c>
      <c r="AD3" s="63" t="b">
        <v>0</v>
      </c>
    </row>
    <row r="4" s="1" customFormat="1" ht="69" customHeight="1" spans="1:30">
      <c r="A4" s="4" t="s">
        <v>779</v>
      </c>
      <c r="B4" s="7" t="s">
        <v>780</v>
      </c>
      <c r="C4" s="6" t="s">
        <v>29</v>
      </c>
      <c r="D4" s="17" t="s">
        <v>768</v>
      </c>
      <c r="E4" s="9" t="s">
        <v>810</v>
      </c>
      <c r="F4" s="9">
        <v>0</v>
      </c>
      <c r="G4" s="4" t="s">
        <v>173</v>
      </c>
      <c r="H4" s="4" t="s">
        <v>31</v>
      </c>
      <c r="I4" s="4" t="s">
        <v>32</v>
      </c>
      <c r="J4" s="4" t="s">
        <v>811</v>
      </c>
      <c r="K4" s="4" t="s">
        <v>813</v>
      </c>
      <c r="L4" s="7"/>
      <c r="M4" s="7"/>
      <c r="N4" s="4" t="s">
        <v>812</v>
      </c>
      <c r="O4" s="66"/>
      <c r="P4" s="66">
        <v>1</v>
      </c>
      <c r="Q4" s="9" t="s">
        <v>773</v>
      </c>
      <c r="R4" s="17"/>
      <c r="S4" s="17"/>
      <c r="T4" s="17" t="s">
        <v>774</v>
      </c>
      <c r="U4" s="21">
        <v>200</v>
      </c>
      <c r="V4" s="21" t="s">
        <v>188</v>
      </c>
      <c r="W4" s="21"/>
      <c r="X4" s="21" t="s">
        <v>34</v>
      </c>
      <c r="Y4" s="63" t="b">
        <v>0</v>
      </c>
      <c r="Z4" s="21" t="s">
        <v>189</v>
      </c>
      <c r="AA4" s="21" t="s">
        <v>188</v>
      </c>
      <c r="AB4" s="21" t="s">
        <v>188</v>
      </c>
      <c r="AC4" s="69" t="s">
        <v>190</v>
      </c>
      <c r="AD4" s="63" t="b">
        <v>0</v>
      </c>
    </row>
    <row r="5" s="1" customFormat="1" ht="69" customHeight="1" spans="1:30">
      <c r="A5" s="4" t="s">
        <v>781</v>
      </c>
      <c r="B5" s="7" t="s">
        <v>782</v>
      </c>
      <c r="C5" s="6" t="s">
        <v>29</v>
      </c>
      <c r="D5" s="17" t="s">
        <v>768</v>
      </c>
      <c r="E5" s="9" t="s">
        <v>810</v>
      </c>
      <c r="F5" s="9">
        <v>0</v>
      </c>
      <c r="G5" s="4" t="s">
        <v>173</v>
      </c>
      <c r="H5" s="4" t="s">
        <v>31</v>
      </c>
      <c r="I5" s="4" t="s">
        <v>32</v>
      </c>
      <c r="J5" s="4" t="s">
        <v>811</v>
      </c>
      <c r="K5" s="4" t="s">
        <v>813</v>
      </c>
      <c r="L5" s="125" t="s">
        <v>51</v>
      </c>
      <c r="M5" s="7"/>
      <c r="N5" s="4" t="s">
        <v>812</v>
      </c>
      <c r="O5" s="66"/>
      <c r="P5" s="66"/>
      <c r="Q5" s="9" t="s">
        <v>773</v>
      </c>
      <c r="R5" s="17"/>
      <c r="S5" s="17"/>
      <c r="T5" s="17" t="s">
        <v>774</v>
      </c>
      <c r="U5" s="21">
        <v>200</v>
      </c>
      <c r="V5" s="21" t="s">
        <v>188</v>
      </c>
      <c r="W5" s="21"/>
      <c r="X5" s="21" t="s">
        <v>34</v>
      </c>
      <c r="Y5" s="63" t="b">
        <v>0</v>
      </c>
      <c r="Z5" s="21" t="s">
        <v>189</v>
      </c>
      <c r="AA5" s="21" t="s">
        <v>188</v>
      </c>
      <c r="AB5" s="21" t="s">
        <v>188</v>
      </c>
      <c r="AC5" s="69" t="s">
        <v>190</v>
      </c>
      <c r="AD5" s="63" t="b">
        <v>1</v>
      </c>
    </row>
    <row r="6" s="1" customFormat="1" ht="69" customHeight="1" spans="1:30">
      <c r="A6" s="4" t="s">
        <v>783</v>
      </c>
      <c r="B6" s="7" t="s">
        <v>784</v>
      </c>
      <c r="C6" s="6" t="s">
        <v>29</v>
      </c>
      <c r="D6" s="17" t="s">
        <v>768</v>
      </c>
      <c r="E6" s="9" t="s">
        <v>810</v>
      </c>
      <c r="F6" s="9">
        <v>0</v>
      </c>
      <c r="G6" s="4" t="s">
        <v>173</v>
      </c>
      <c r="H6" s="4" t="s">
        <v>31</v>
      </c>
      <c r="I6" s="4" t="s">
        <v>32</v>
      </c>
      <c r="J6" s="4" t="s">
        <v>811</v>
      </c>
      <c r="K6" s="4" t="s">
        <v>813</v>
      </c>
      <c r="L6" s="7"/>
      <c r="M6" s="7" t="s">
        <v>785</v>
      </c>
      <c r="N6" s="4" t="s">
        <v>812</v>
      </c>
      <c r="O6" s="66"/>
      <c r="P6" s="66"/>
      <c r="Q6" s="9" t="s">
        <v>773</v>
      </c>
      <c r="R6" s="17"/>
      <c r="S6" s="17"/>
      <c r="T6" s="17" t="s">
        <v>774</v>
      </c>
      <c r="U6" s="21">
        <v>200</v>
      </c>
      <c r="V6" s="21" t="s">
        <v>188</v>
      </c>
      <c r="W6" s="21"/>
      <c r="X6" s="21" t="s">
        <v>34</v>
      </c>
      <c r="Y6" s="63" t="b">
        <v>0</v>
      </c>
      <c r="Z6" s="21" t="s">
        <v>189</v>
      </c>
      <c r="AA6" s="21" t="s">
        <v>188</v>
      </c>
      <c r="AB6" s="21" t="s">
        <v>188</v>
      </c>
      <c r="AC6" s="69" t="s">
        <v>190</v>
      </c>
      <c r="AD6" s="63" t="b">
        <v>0</v>
      </c>
    </row>
    <row r="7" s="1" customFormat="1" ht="69" customHeight="1" spans="1:30">
      <c r="A7" s="4" t="s">
        <v>786</v>
      </c>
      <c r="B7" s="7" t="s">
        <v>787</v>
      </c>
      <c r="C7" s="6" t="s">
        <v>29</v>
      </c>
      <c r="D7" s="17" t="s">
        <v>768</v>
      </c>
      <c r="E7" s="9" t="s">
        <v>810</v>
      </c>
      <c r="F7" s="9">
        <v>0</v>
      </c>
      <c r="G7" s="4" t="s">
        <v>173</v>
      </c>
      <c r="H7" s="4" t="s">
        <v>31</v>
      </c>
      <c r="I7" s="4" t="s">
        <v>32</v>
      </c>
      <c r="J7" s="4" t="s">
        <v>811</v>
      </c>
      <c r="K7" s="9" t="s">
        <v>771</v>
      </c>
      <c r="L7" s="66"/>
      <c r="M7" s="66"/>
      <c r="N7" s="4" t="s">
        <v>812</v>
      </c>
      <c r="O7" s="66"/>
      <c r="P7" s="66"/>
      <c r="Q7" s="9" t="s">
        <v>773</v>
      </c>
      <c r="R7" s="4" t="s">
        <v>815</v>
      </c>
      <c r="S7" s="4" t="s">
        <v>816</v>
      </c>
      <c r="T7" s="17" t="s">
        <v>774</v>
      </c>
      <c r="U7" s="21">
        <v>200</v>
      </c>
      <c r="V7" s="21" t="s">
        <v>188</v>
      </c>
      <c r="W7" s="21"/>
      <c r="X7" s="21">
        <v>1</v>
      </c>
      <c r="Y7" s="63" t="b">
        <v>0</v>
      </c>
      <c r="Z7" s="21" t="s">
        <v>189</v>
      </c>
      <c r="AA7" s="21" t="s">
        <v>188</v>
      </c>
      <c r="AB7" s="21" t="s">
        <v>188</v>
      </c>
      <c r="AC7" s="21" t="s">
        <v>322</v>
      </c>
      <c r="AD7" s="63" t="b">
        <v>0</v>
      </c>
    </row>
    <row r="8" s="1" customFormat="1" ht="69" customHeight="1" spans="1:30">
      <c r="A8" s="4" t="s">
        <v>790</v>
      </c>
      <c r="B8" s="7" t="s">
        <v>791</v>
      </c>
      <c r="C8" s="6" t="s">
        <v>29</v>
      </c>
      <c r="D8" s="17" t="s">
        <v>768</v>
      </c>
      <c r="E8" s="9" t="s">
        <v>810</v>
      </c>
      <c r="F8" s="9">
        <v>0</v>
      </c>
      <c r="G8" s="4" t="s">
        <v>173</v>
      </c>
      <c r="H8" s="4" t="s">
        <v>31</v>
      </c>
      <c r="I8" s="4" t="s">
        <v>32</v>
      </c>
      <c r="J8" s="4" t="s">
        <v>811</v>
      </c>
      <c r="K8" s="4" t="s">
        <v>813</v>
      </c>
      <c r="L8" s="67"/>
      <c r="M8" s="67"/>
      <c r="N8" s="4" t="s">
        <v>812</v>
      </c>
      <c r="O8" s="66" t="s">
        <v>817</v>
      </c>
      <c r="P8" s="66"/>
      <c r="Q8" s="9" t="s">
        <v>773</v>
      </c>
      <c r="R8" s="4" t="s">
        <v>815</v>
      </c>
      <c r="S8" s="4" t="s">
        <v>816</v>
      </c>
      <c r="T8" s="17" t="s">
        <v>774</v>
      </c>
      <c r="U8" s="21">
        <v>200</v>
      </c>
      <c r="V8" s="21" t="s">
        <v>188</v>
      </c>
      <c r="W8" s="21" t="str">
        <f>O8</f>
        <v>MB200</v>
      </c>
      <c r="X8" s="21">
        <v>1</v>
      </c>
      <c r="Y8" s="63" t="b">
        <v>0</v>
      </c>
      <c r="Z8" s="21" t="s">
        <v>189</v>
      </c>
      <c r="AA8" s="21" t="s">
        <v>188</v>
      </c>
      <c r="AB8" s="21" t="s">
        <v>188</v>
      </c>
      <c r="AC8" s="21" t="s">
        <v>322</v>
      </c>
      <c r="AD8" s="63" t="b">
        <v>0</v>
      </c>
    </row>
    <row r="9" s="1" customFormat="1" ht="69" customHeight="1" spans="1:30">
      <c r="A9" s="4" t="s">
        <v>793</v>
      </c>
      <c r="B9" s="7" t="s">
        <v>794</v>
      </c>
      <c r="C9" s="6" t="s">
        <v>29</v>
      </c>
      <c r="D9" s="17" t="s">
        <v>768</v>
      </c>
      <c r="E9" s="9" t="s">
        <v>810</v>
      </c>
      <c r="F9" s="9">
        <v>0</v>
      </c>
      <c r="G9" s="4" t="s">
        <v>173</v>
      </c>
      <c r="H9" s="4" t="s">
        <v>31</v>
      </c>
      <c r="I9" s="4" t="s">
        <v>32</v>
      </c>
      <c r="J9" s="4" t="s">
        <v>811</v>
      </c>
      <c r="K9" s="4" t="s">
        <v>813</v>
      </c>
      <c r="L9" s="7"/>
      <c r="M9" s="7"/>
      <c r="N9" s="4" t="s">
        <v>812</v>
      </c>
      <c r="O9" s="66"/>
      <c r="P9" s="66">
        <v>1</v>
      </c>
      <c r="Q9" s="9" t="s">
        <v>773</v>
      </c>
      <c r="R9" s="4" t="s">
        <v>815</v>
      </c>
      <c r="S9" s="4" t="s">
        <v>816</v>
      </c>
      <c r="T9" s="17" t="s">
        <v>774</v>
      </c>
      <c r="U9" s="21">
        <v>200</v>
      </c>
      <c r="V9" s="21" t="s">
        <v>188</v>
      </c>
      <c r="W9" s="21"/>
      <c r="X9" s="21">
        <v>1</v>
      </c>
      <c r="Y9" s="63" t="b">
        <v>0</v>
      </c>
      <c r="Z9" s="21" t="s">
        <v>189</v>
      </c>
      <c r="AA9" s="21" t="s">
        <v>188</v>
      </c>
      <c r="AB9" s="21" t="s">
        <v>188</v>
      </c>
      <c r="AC9" s="21" t="s">
        <v>322</v>
      </c>
      <c r="AD9" s="63" t="b">
        <v>0</v>
      </c>
    </row>
    <row r="10" s="1" customFormat="1" ht="69" customHeight="1" spans="1:30">
      <c r="A10" s="4" t="s">
        <v>795</v>
      </c>
      <c r="B10" s="7" t="s">
        <v>796</v>
      </c>
      <c r="C10" s="6" t="s">
        <v>29</v>
      </c>
      <c r="D10" s="17" t="s">
        <v>768</v>
      </c>
      <c r="E10" s="9" t="s">
        <v>810</v>
      </c>
      <c r="F10" s="9">
        <v>0</v>
      </c>
      <c r="G10" s="4" t="s">
        <v>173</v>
      </c>
      <c r="H10" s="4" t="s">
        <v>31</v>
      </c>
      <c r="I10" s="4" t="s">
        <v>32</v>
      </c>
      <c r="J10" s="4" t="s">
        <v>811</v>
      </c>
      <c r="K10" s="4" t="s">
        <v>813</v>
      </c>
      <c r="L10" s="125" t="s">
        <v>51</v>
      </c>
      <c r="M10" s="7"/>
      <c r="N10" s="4" t="s">
        <v>812</v>
      </c>
      <c r="O10" s="66"/>
      <c r="P10" s="66"/>
      <c r="Q10" s="9" t="s">
        <v>773</v>
      </c>
      <c r="R10" s="4" t="s">
        <v>815</v>
      </c>
      <c r="S10" s="4" t="s">
        <v>816</v>
      </c>
      <c r="T10" s="17" t="s">
        <v>774</v>
      </c>
      <c r="U10" s="21">
        <v>200</v>
      </c>
      <c r="V10" s="21" t="s">
        <v>188</v>
      </c>
      <c r="W10" s="21"/>
      <c r="X10" s="21">
        <v>1</v>
      </c>
      <c r="Y10" s="63" t="b">
        <v>0</v>
      </c>
      <c r="Z10" s="21" t="s">
        <v>189</v>
      </c>
      <c r="AA10" s="21" t="s">
        <v>188</v>
      </c>
      <c r="AB10" s="21" t="s">
        <v>188</v>
      </c>
      <c r="AC10" s="21" t="s">
        <v>322</v>
      </c>
      <c r="AD10" s="63" t="b">
        <v>1</v>
      </c>
    </row>
    <row r="11" s="1" customFormat="1" ht="69" customHeight="1" spans="1:30">
      <c r="A11" s="4" t="s">
        <v>797</v>
      </c>
      <c r="B11" s="7" t="s">
        <v>798</v>
      </c>
      <c r="C11" s="6" t="s">
        <v>29</v>
      </c>
      <c r="D11" s="17" t="s">
        <v>768</v>
      </c>
      <c r="E11" s="9" t="s">
        <v>810</v>
      </c>
      <c r="F11" s="9">
        <v>0</v>
      </c>
      <c r="G11" s="4" t="s">
        <v>173</v>
      </c>
      <c r="H11" s="4" t="s">
        <v>31</v>
      </c>
      <c r="I11" s="4" t="s">
        <v>32</v>
      </c>
      <c r="J11" s="4" t="s">
        <v>811</v>
      </c>
      <c r="K11" s="4" t="s">
        <v>813</v>
      </c>
      <c r="L11" s="7"/>
      <c r="M11" s="7" t="s">
        <v>785</v>
      </c>
      <c r="N11" s="4" t="s">
        <v>812</v>
      </c>
      <c r="O11" s="66"/>
      <c r="P11" s="66"/>
      <c r="Q11" s="9" t="s">
        <v>773</v>
      </c>
      <c r="R11" s="4" t="s">
        <v>815</v>
      </c>
      <c r="S11" s="4" t="s">
        <v>816</v>
      </c>
      <c r="T11" s="17" t="s">
        <v>774</v>
      </c>
      <c r="U11" s="21">
        <v>200</v>
      </c>
      <c r="V11" s="21" t="s">
        <v>188</v>
      </c>
      <c r="W11" s="21"/>
      <c r="X11" s="21">
        <v>1</v>
      </c>
      <c r="Y11" s="63" t="b">
        <v>0</v>
      </c>
      <c r="Z11" s="21" t="s">
        <v>189</v>
      </c>
      <c r="AA11" s="21" t="s">
        <v>188</v>
      </c>
      <c r="AB11" s="21" t="s">
        <v>188</v>
      </c>
      <c r="AC11" s="21" t="s">
        <v>322</v>
      </c>
      <c r="AD11" s="63" t="b">
        <v>0</v>
      </c>
    </row>
    <row r="12" s="1" customFormat="1" ht="69" customHeight="1" spans="1:30">
      <c r="A12" s="4" t="s">
        <v>799</v>
      </c>
      <c r="B12" s="7" t="s">
        <v>800</v>
      </c>
      <c r="C12" s="6" t="s">
        <v>29</v>
      </c>
      <c r="D12" s="17" t="s">
        <v>768</v>
      </c>
      <c r="E12" s="9" t="s">
        <v>810</v>
      </c>
      <c r="F12" s="65">
        <v>378</v>
      </c>
      <c r="G12" s="4" t="s">
        <v>173</v>
      </c>
      <c r="H12" s="4" t="s">
        <v>31</v>
      </c>
      <c r="I12" s="4" t="s">
        <v>32</v>
      </c>
      <c r="J12" s="4" t="s">
        <v>811</v>
      </c>
      <c r="K12" s="9" t="s">
        <v>771</v>
      </c>
      <c r="L12" s="66"/>
      <c r="M12" s="66"/>
      <c r="N12" s="4" t="s">
        <v>812</v>
      </c>
      <c r="O12" s="66"/>
      <c r="P12" s="66"/>
      <c r="Q12" s="9" t="s">
        <v>773</v>
      </c>
      <c r="R12" s="17"/>
      <c r="S12" s="17"/>
      <c r="T12" s="17" t="s">
        <v>774</v>
      </c>
      <c r="U12" s="21">
        <v>200</v>
      </c>
      <c r="V12" s="21" t="s">
        <v>188</v>
      </c>
      <c r="W12" s="21"/>
      <c r="X12" s="21" t="s">
        <v>48</v>
      </c>
      <c r="Y12" s="63" t="b">
        <v>0</v>
      </c>
      <c r="Z12" s="21" t="s">
        <v>189</v>
      </c>
      <c r="AA12" s="21" t="s">
        <v>188</v>
      </c>
      <c r="AB12" s="21" t="s">
        <v>188</v>
      </c>
      <c r="AC12" s="21" t="s">
        <v>258</v>
      </c>
      <c r="AD12" s="63" t="b">
        <v>0</v>
      </c>
    </row>
    <row r="13" s="1" customFormat="1" ht="69" customHeight="1" spans="1:30">
      <c r="A13" s="4" t="s">
        <v>801</v>
      </c>
      <c r="B13" s="7" t="s">
        <v>802</v>
      </c>
      <c r="C13" s="6" t="s">
        <v>29</v>
      </c>
      <c r="D13" s="17" t="s">
        <v>768</v>
      </c>
      <c r="E13" s="9" t="s">
        <v>810</v>
      </c>
      <c r="F13" s="65">
        <v>378</v>
      </c>
      <c r="G13" s="4" t="s">
        <v>173</v>
      </c>
      <c r="H13" s="4" t="s">
        <v>31</v>
      </c>
      <c r="I13" s="4" t="s">
        <v>32</v>
      </c>
      <c r="J13" s="4" t="s">
        <v>811</v>
      </c>
      <c r="K13" s="4" t="s">
        <v>813</v>
      </c>
      <c r="L13" s="67"/>
      <c r="M13" s="67"/>
      <c r="N13" s="4" t="s">
        <v>812</v>
      </c>
      <c r="O13" s="66" t="s">
        <v>818</v>
      </c>
      <c r="P13" s="66"/>
      <c r="Q13" s="9" t="s">
        <v>773</v>
      </c>
      <c r="R13" s="17"/>
      <c r="S13" s="17"/>
      <c r="T13" s="17" t="s">
        <v>774</v>
      </c>
      <c r="U13" s="21">
        <v>200</v>
      </c>
      <c r="V13" s="21" t="s">
        <v>188</v>
      </c>
      <c r="W13" s="21" t="str">
        <f>O13</f>
        <v>AG200</v>
      </c>
      <c r="X13" s="21" t="s">
        <v>48</v>
      </c>
      <c r="Y13" s="63" t="b">
        <v>0</v>
      </c>
      <c r="Z13" s="21" t="s">
        <v>189</v>
      </c>
      <c r="AA13" s="21" t="s">
        <v>188</v>
      </c>
      <c r="AB13" s="21" t="s">
        <v>188</v>
      </c>
      <c r="AC13" s="21" t="s">
        <v>258</v>
      </c>
      <c r="AD13" s="63" t="b">
        <v>0</v>
      </c>
    </row>
    <row r="14" s="1" customFormat="1" ht="70" customHeight="1" spans="1:30">
      <c r="A14" s="4" t="s">
        <v>804</v>
      </c>
      <c r="B14" s="7" t="s">
        <v>805</v>
      </c>
      <c r="C14" s="6" t="s">
        <v>29</v>
      </c>
      <c r="D14" s="17" t="s">
        <v>768</v>
      </c>
      <c r="E14" s="9" t="s">
        <v>810</v>
      </c>
      <c r="F14" s="65">
        <v>378</v>
      </c>
      <c r="G14" s="4" t="s">
        <v>173</v>
      </c>
      <c r="H14" s="4" t="s">
        <v>31</v>
      </c>
      <c r="I14" s="4" t="s">
        <v>32</v>
      </c>
      <c r="J14" s="4" t="s">
        <v>811</v>
      </c>
      <c r="K14" s="4" t="s">
        <v>813</v>
      </c>
      <c r="L14" s="7"/>
      <c r="M14" s="7"/>
      <c r="N14" s="4" t="s">
        <v>812</v>
      </c>
      <c r="O14" s="66"/>
      <c r="P14" s="66">
        <v>1</v>
      </c>
      <c r="Q14" s="9" t="s">
        <v>773</v>
      </c>
      <c r="R14" s="17"/>
      <c r="S14" s="17"/>
      <c r="T14" s="17" t="s">
        <v>774</v>
      </c>
      <c r="U14" s="21">
        <v>200</v>
      </c>
      <c r="V14" s="21" t="s">
        <v>188</v>
      </c>
      <c r="W14" s="21"/>
      <c r="X14" s="21" t="s">
        <v>48</v>
      </c>
      <c r="Y14" s="63" t="b">
        <v>0</v>
      </c>
      <c r="Z14" s="21" t="s">
        <v>189</v>
      </c>
      <c r="AA14" s="21" t="s">
        <v>188</v>
      </c>
      <c r="AB14" s="21" t="s">
        <v>188</v>
      </c>
      <c r="AC14" s="21" t="s">
        <v>258</v>
      </c>
      <c r="AD14" s="63" t="b">
        <v>0</v>
      </c>
    </row>
    <row r="15" s="1" customFormat="1" ht="69" customHeight="1" spans="1:30">
      <c r="A15" s="4" t="s">
        <v>806</v>
      </c>
      <c r="B15" s="7" t="s">
        <v>807</v>
      </c>
      <c r="C15" s="6" t="s">
        <v>29</v>
      </c>
      <c r="D15" s="17" t="s">
        <v>768</v>
      </c>
      <c r="E15" s="9" t="s">
        <v>810</v>
      </c>
      <c r="F15" s="65">
        <v>378</v>
      </c>
      <c r="G15" s="4" t="s">
        <v>173</v>
      </c>
      <c r="H15" s="4" t="s">
        <v>31</v>
      </c>
      <c r="I15" s="4" t="s">
        <v>32</v>
      </c>
      <c r="J15" s="4" t="s">
        <v>811</v>
      </c>
      <c r="K15" s="4" t="s">
        <v>813</v>
      </c>
      <c r="L15" s="125" t="s">
        <v>51</v>
      </c>
      <c r="M15" s="7"/>
      <c r="N15" s="4" t="s">
        <v>812</v>
      </c>
      <c r="O15" s="66"/>
      <c r="P15" s="66"/>
      <c r="Q15" s="9" t="s">
        <v>773</v>
      </c>
      <c r="R15" s="17"/>
      <c r="S15" s="17"/>
      <c r="T15" s="17" t="s">
        <v>774</v>
      </c>
      <c r="U15" s="21">
        <v>200</v>
      </c>
      <c r="V15" s="21" t="s">
        <v>188</v>
      </c>
      <c r="W15" s="21"/>
      <c r="X15" s="21" t="s">
        <v>48</v>
      </c>
      <c r="Y15" s="63" t="b">
        <v>0</v>
      </c>
      <c r="Z15" s="21" t="s">
        <v>189</v>
      </c>
      <c r="AA15" s="21" t="s">
        <v>188</v>
      </c>
      <c r="AB15" s="21" t="s">
        <v>188</v>
      </c>
      <c r="AC15" s="21" t="s">
        <v>258</v>
      </c>
      <c r="AD15" s="63" t="b">
        <v>1</v>
      </c>
    </row>
    <row r="16" s="1" customFormat="1" ht="69" customHeight="1" spans="1:30">
      <c r="A16" s="4" t="s">
        <v>808</v>
      </c>
      <c r="B16" s="7" t="s">
        <v>809</v>
      </c>
      <c r="C16" s="6" t="s">
        <v>29</v>
      </c>
      <c r="D16" s="17" t="s">
        <v>768</v>
      </c>
      <c r="E16" s="9" t="s">
        <v>810</v>
      </c>
      <c r="F16" s="65">
        <v>378</v>
      </c>
      <c r="G16" s="4" t="s">
        <v>173</v>
      </c>
      <c r="H16" s="4" t="s">
        <v>31</v>
      </c>
      <c r="I16" s="4" t="s">
        <v>32</v>
      </c>
      <c r="J16" s="4" t="s">
        <v>811</v>
      </c>
      <c r="K16" s="4" t="s">
        <v>813</v>
      </c>
      <c r="L16" s="7"/>
      <c r="M16" s="7" t="s">
        <v>785</v>
      </c>
      <c r="N16" s="4" t="s">
        <v>812</v>
      </c>
      <c r="O16" s="66"/>
      <c r="P16" s="66"/>
      <c r="Q16" s="9" t="s">
        <v>773</v>
      </c>
      <c r="R16" s="17"/>
      <c r="S16" s="17"/>
      <c r="T16" s="17" t="s">
        <v>774</v>
      </c>
      <c r="U16" s="21">
        <v>200</v>
      </c>
      <c r="V16" s="21" t="s">
        <v>188</v>
      </c>
      <c r="W16" s="21"/>
      <c r="X16" s="21" t="s">
        <v>48</v>
      </c>
      <c r="Y16" s="63" t="b">
        <v>0</v>
      </c>
      <c r="Z16" s="21" t="s">
        <v>189</v>
      </c>
      <c r="AA16" s="21" t="s">
        <v>188</v>
      </c>
      <c r="AB16" s="21" t="s">
        <v>188</v>
      </c>
      <c r="AC16" s="21" t="s">
        <v>258</v>
      </c>
      <c r="AD16" s="63" t="b">
        <v>0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Q1" workbookViewId="0">
      <selection activeCell="O1" sqref="O$1:O$1048576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.8571428571429" style="1" customWidth="1"/>
    <col min="9" max="9" width="20" style="1" customWidth="1"/>
    <col min="10" max="10" width="36" style="1" customWidth="1"/>
    <col min="11" max="11" width="27.2857142857143" style="1" customWidth="1"/>
    <col min="12" max="13" width="17.8380952380952" style="1" customWidth="1"/>
    <col min="14" max="14" width="24.5714285714286" style="1" customWidth="1"/>
    <col min="15" max="16" width="17.8380952380952" style="1" customWidth="1"/>
    <col min="17" max="17" width="17.8380952380952" style="23" customWidth="1"/>
    <col min="18" max="19" width="31.4285714285714" style="1" customWidth="1"/>
    <col min="20" max="20" width="38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64" t="s">
        <v>759</v>
      </c>
      <c r="F1" s="64" t="s">
        <v>760</v>
      </c>
      <c r="G1" s="64" t="s">
        <v>672</v>
      </c>
      <c r="H1" s="64" t="s">
        <v>4</v>
      </c>
      <c r="I1" s="64" t="s">
        <v>5</v>
      </c>
      <c r="J1" s="64" t="s">
        <v>673</v>
      </c>
      <c r="K1" s="64" t="s">
        <v>674</v>
      </c>
      <c r="L1" s="64" t="s">
        <v>675</v>
      </c>
      <c r="M1" s="64" t="s">
        <v>676</v>
      </c>
      <c r="N1" s="64" t="s">
        <v>761</v>
      </c>
      <c r="O1" s="64" t="s">
        <v>678</v>
      </c>
      <c r="P1" s="64" t="s">
        <v>679</v>
      </c>
      <c r="Q1" s="64" t="s">
        <v>762</v>
      </c>
      <c r="R1" s="64" t="s">
        <v>763</v>
      </c>
      <c r="S1" s="64" t="s">
        <v>764</v>
      </c>
      <c r="T1" s="68" t="s">
        <v>15</v>
      </c>
      <c r="U1" s="10" t="s">
        <v>16</v>
      </c>
      <c r="V1" s="10" t="s">
        <v>681</v>
      </c>
      <c r="W1" s="10" t="s">
        <v>765</v>
      </c>
      <c r="X1" s="10" t="s">
        <v>683</v>
      </c>
      <c r="Y1" s="18" t="s">
        <v>684</v>
      </c>
      <c r="Z1" s="10" t="s">
        <v>685</v>
      </c>
      <c r="AA1" s="10" t="s">
        <v>686</v>
      </c>
      <c r="AB1" s="10" t="s">
        <v>687</v>
      </c>
      <c r="AC1" s="10" t="s">
        <v>688</v>
      </c>
      <c r="AD1" s="18" t="s">
        <v>689</v>
      </c>
    </row>
    <row r="2" s="1" customFormat="1" ht="50" customHeight="1" spans="1:30">
      <c r="A2" s="4" t="s">
        <v>766</v>
      </c>
      <c r="B2" s="7" t="s">
        <v>767</v>
      </c>
      <c r="C2" s="6" t="s">
        <v>29</v>
      </c>
      <c r="D2" s="17" t="s">
        <v>768</v>
      </c>
      <c r="E2" s="9" t="s">
        <v>819</v>
      </c>
      <c r="F2" s="9">
        <v>0</v>
      </c>
      <c r="G2" s="4" t="s">
        <v>173</v>
      </c>
      <c r="H2" s="4" t="s">
        <v>31</v>
      </c>
      <c r="I2" s="4" t="s">
        <v>32</v>
      </c>
      <c r="J2" s="4" t="s">
        <v>820</v>
      </c>
      <c r="K2" s="9" t="s">
        <v>771</v>
      </c>
      <c r="L2" s="66"/>
      <c r="M2" s="66"/>
      <c r="N2" s="4" t="s">
        <v>821</v>
      </c>
      <c r="O2" s="66"/>
      <c r="P2" s="66"/>
      <c r="Q2" s="9" t="s">
        <v>773</v>
      </c>
      <c r="R2" s="17"/>
      <c r="S2" s="17"/>
      <c r="T2" s="17" t="s">
        <v>774</v>
      </c>
      <c r="U2" s="21">
        <v>200</v>
      </c>
      <c r="V2" s="21" t="s">
        <v>188</v>
      </c>
      <c r="W2" s="21"/>
      <c r="X2" s="21" t="s">
        <v>34</v>
      </c>
      <c r="Y2" s="63" t="b">
        <v>0</v>
      </c>
      <c r="Z2" s="21" t="s">
        <v>189</v>
      </c>
      <c r="AA2" s="21" t="s">
        <v>188</v>
      </c>
      <c r="AB2" s="21" t="s">
        <v>188</v>
      </c>
      <c r="AC2" s="69" t="s">
        <v>190</v>
      </c>
      <c r="AD2" s="63" t="b">
        <v>0</v>
      </c>
    </row>
    <row r="3" s="1" customFormat="1" ht="69" customHeight="1" spans="1:30">
      <c r="A3" s="4" t="s">
        <v>775</v>
      </c>
      <c r="B3" s="7" t="s">
        <v>776</v>
      </c>
      <c r="C3" s="6" t="s">
        <v>29</v>
      </c>
      <c r="D3" s="17" t="s">
        <v>768</v>
      </c>
      <c r="E3" s="9" t="s">
        <v>819</v>
      </c>
      <c r="F3" s="9">
        <v>0</v>
      </c>
      <c r="G3" s="4" t="s">
        <v>173</v>
      </c>
      <c r="H3" s="4" t="s">
        <v>31</v>
      </c>
      <c r="I3" s="4" t="s">
        <v>32</v>
      </c>
      <c r="J3" s="4" t="s">
        <v>820</v>
      </c>
      <c r="K3" s="4" t="s">
        <v>822</v>
      </c>
      <c r="L3" s="67"/>
      <c r="M3" s="67"/>
      <c r="N3" s="4" t="s">
        <v>821</v>
      </c>
      <c r="O3" s="66" t="s">
        <v>823</v>
      </c>
      <c r="P3" s="66"/>
      <c r="Q3" s="9" t="s">
        <v>773</v>
      </c>
      <c r="R3" s="17"/>
      <c r="S3" s="17"/>
      <c r="T3" s="17" t="s">
        <v>774</v>
      </c>
      <c r="U3" s="21">
        <v>200</v>
      </c>
      <c r="V3" s="21" t="s">
        <v>188</v>
      </c>
      <c r="W3" s="21" t="str">
        <f>O3</f>
        <v>VST300</v>
      </c>
      <c r="X3" s="21" t="s">
        <v>34</v>
      </c>
      <c r="Y3" s="63" t="b">
        <v>0</v>
      </c>
      <c r="Z3" s="21" t="s">
        <v>189</v>
      </c>
      <c r="AA3" s="21" t="s">
        <v>188</v>
      </c>
      <c r="AB3" s="21" t="s">
        <v>188</v>
      </c>
      <c r="AC3" s="69" t="s">
        <v>190</v>
      </c>
      <c r="AD3" s="63" t="b">
        <v>0</v>
      </c>
    </row>
    <row r="4" s="1" customFormat="1" ht="69" customHeight="1" spans="1:30">
      <c r="A4" s="4" t="s">
        <v>779</v>
      </c>
      <c r="B4" s="7" t="s">
        <v>780</v>
      </c>
      <c r="C4" s="6" t="s">
        <v>29</v>
      </c>
      <c r="D4" s="17" t="s">
        <v>768</v>
      </c>
      <c r="E4" s="9" t="s">
        <v>819</v>
      </c>
      <c r="F4" s="9">
        <v>0</v>
      </c>
      <c r="G4" s="4" t="s">
        <v>173</v>
      </c>
      <c r="H4" s="4" t="s">
        <v>31</v>
      </c>
      <c r="I4" s="4" t="s">
        <v>32</v>
      </c>
      <c r="J4" s="4" t="s">
        <v>820</v>
      </c>
      <c r="K4" s="4" t="s">
        <v>822</v>
      </c>
      <c r="L4" s="7"/>
      <c r="M4" s="7"/>
      <c r="N4" s="4" t="s">
        <v>821</v>
      </c>
      <c r="O4" s="66"/>
      <c r="P4" s="66">
        <v>1</v>
      </c>
      <c r="Q4" s="9" t="s">
        <v>773</v>
      </c>
      <c r="R4" s="17"/>
      <c r="S4" s="17"/>
      <c r="T4" s="17" t="s">
        <v>774</v>
      </c>
      <c r="U4" s="21">
        <v>200</v>
      </c>
      <c r="V4" s="21" t="s">
        <v>188</v>
      </c>
      <c r="W4" s="21"/>
      <c r="X4" s="21" t="s">
        <v>34</v>
      </c>
      <c r="Y4" s="63" t="b">
        <v>0</v>
      </c>
      <c r="Z4" s="21" t="s">
        <v>189</v>
      </c>
      <c r="AA4" s="21" t="s">
        <v>188</v>
      </c>
      <c r="AB4" s="21" t="s">
        <v>188</v>
      </c>
      <c r="AC4" s="69" t="s">
        <v>190</v>
      </c>
      <c r="AD4" s="63" t="b">
        <v>0</v>
      </c>
    </row>
    <row r="5" s="1" customFormat="1" ht="69" customHeight="1" spans="1:30">
      <c r="A5" s="4" t="s">
        <v>781</v>
      </c>
      <c r="B5" s="7" t="s">
        <v>782</v>
      </c>
      <c r="C5" s="6" t="s">
        <v>29</v>
      </c>
      <c r="D5" s="17" t="s">
        <v>768</v>
      </c>
      <c r="E5" s="9" t="s">
        <v>819</v>
      </c>
      <c r="F5" s="9">
        <v>0</v>
      </c>
      <c r="G5" s="4" t="s">
        <v>173</v>
      </c>
      <c r="H5" s="4" t="s">
        <v>31</v>
      </c>
      <c r="I5" s="4" t="s">
        <v>32</v>
      </c>
      <c r="J5" s="4" t="s">
        <v>820</v>
      </c>
      <c r="K5" s="4" t="s">
        <v>822</v>
      </c>
      <c r="L5" s="125" t="s">
        <v>51</v>
      </c>
      <c r="M5" s="7"/>
      <c r="N5" s="4" t="s">
        <v>821</v>
      </c>
      <c r="O5" s="66"/>
      <c r="P5" s="66"/>
      <c r="Q5" s="9" t="s">
        <v>773</v>
      </c>
      <c r="R5" s="17"/>
      <c r="S5" s="17"/>
      <c r="T5" s="17" t="s">
        <v>774</v>
      </c>
      <c r="U5" s="21">
        <v>200</v>
      </c>
      <c r="V5" s="21" t="s">
        <v>188</v>
      </c>
      <c r="W5" s="21"/>
      <c r="X5" s="21" t="s">
        <v>34</v>
      </c>
      <c r="Y5" s="63" t="b">
        <v>0</v>
      </c>
      <c r="Z5" s="21" t="s">
        <v>189</v>
      </c>
      <c r="AA5" s="21" t="s">
        <v>188</v>
      </c>
      <c r="AB5" s="21" t="s">
        <v>188</v>
      </c>
      <c r="AC5" s="69" t="s">
        <v>190</v>
      </c>
      <c r="AD5" s="63" t="b">
        <v>1</v>
      </c>
    </row>
    <row r="6" s="1" customFormat="1" ht="69" customHeight="1" spans="1:30">
      <c r="A6" s="4" t="s">
        <v>783</v>
      </c>
      <c r="B6" s="7" t="s">
        <v>784</v>
      </c>
      <c r="C6" s="6" t="s">
        <v>29</v>
      </c>
      <c r="D6" s="17" t="s">
        <v>768</v>
      </c>
      <c r="E6" s="9" t="s">
        <v>819</v>
      </c>
      <c r="F6" s="9">
        <v>0</v>
      </c>
      <c r="G6" s="4" t="s">
        <v>173</v>
      </c>
      <c r="H6" s="4" t="s">
        <v>31</v>
      </c>
      <c r="I6" s="4" t="s">
        <v>32</v>
      </c>
      <c r="J6" s="4" t="s">
        <v>820</v>
      </c>
      <c r="K6" s="4" t="s">
        <v>822</v>
      </c>
      <c r="L6" s="7"/>
      <c r="M6" s="7" t="s">
        <v>785</v>
      </c>
      <c r="N6" s="4" t="s">
        <v>821</v>
      </c>
      <c r="O6" s="66"/>
      <c r="P6" s="66"/>
      <c r="Q6" s="9" t="s">
        <v>773</v>
      </c>
      <c r="R6" s="17"/>
      <c r="S6" s="17"/>
      <c r="T6" s="17" t="s">
        <v>774</v>
      </c>
      <c r="U6" s="21">
        <v>200</v>
      </c>
      <c r="V6" s="21" t="s">
        <v>188</v>
      </c>
      <c r="W6" s="21"/>
      <c r="X6" s="21" t="s">
        <v>34</v>
      </c>
      <c r="Y6" s="63" t="b">
        <v>0</v>
      </c>
      <c r="Z6" s="21" t="s">
        <v>189</v>
      </c>
      <c r="AA6" s="21" t="s">
        <v>188</v>
      </c>
      <c r="AB6" s="21" t="s">
        <v>188</v>
      </c>
      <c r="AC6" s="69" t="s">
        <v>190</v>
      </c>
      <c r="AD6" s="63" t="b">
        <v>0</v>
      </c>
    </row>
    <row r="7" s="1" customFormat="1" ht="69" customHeight="1" spans="1:30">
      <c r="A7" s="4" t="s">
        <v>786</v>
      </c>
      <c r="B7" s="7" t="s">
        <v>787</v>
      </c>
      <c r="C7" s="6" t="s">
        <v>29</v>
      </c>
      <c r="D7" s="17" t="s">
        <v>768</v>
      </c>
      <c r="E7" s="9" t="s">
        <v>819</v>
      </c>
      <c r="F7" s="9">
        <v>0</v>
      </c>
      <c r="G7" s="4" t="s">
        <v>173</v>
      </c>
      <c r="H7" s="4" t="s">
        <v>31</v>
      </c>
      <c r="I7" s="4" t="s">
        <v>32</v>
      </c>
      <c r="J7" s="4" t="s">
        <v>820</v>
      </c>
      <c r="K7" s="9" t="s">
        <v>771</v>
      </c>
      <c r="L7" s="66"/>
      <c r="M7" s="66"/>
      <c r="N7" s="4" t="s">
        <v>821</v>
      </c>
      <c r="O7" s="66"/>
      <c r="P7" s="66"/>
      <c r="Q7" s="9" t="s">
        <v>773</v>
      </c>
      <c r="R7" s="4" t="s">
        <v>824</v>
      </c>
      <c r="S7" s="4" t="s">
        <v>825</v>
      </c>
      <c r="T7" s="17" t="s">
        <v>774</v>
      </c>
      <c r="U7" s="21">
        <v>200</v>
      </c>
      <c r="V7" s="21" t="s">
        <v>188</v>
      </c>
      <c r="W7" s="21"/>
      <c r="X7" s="21">
        <v>1</v>
      </c>
      <c r="Y7" s="63" t="b">
        <v>0</v>
      </c>
      <c r="Z7" s="21" t="s">
        <v>189</v>
      </c>
      <c r="AA7" s="21" t="s">
        <v>188</v>
      </c>
      <c r="AB7" s="21" t="s">
        <v>188</v>
      </c>
      <c r="AC7" s="21" t="s">
        <v>322</v>
      </c>
      <c r="AD7" s="63" t="b">
        <v>0</v>
      </c>
    </row>
    <row r="8" s="1" customFormat="1" ht="69" customHeight="1" spans="1:30">
      <c r="A8" s="4" t="s">
        <v>790</v>
      </c>
      <c r="B8" s="7" t="s">
        <v>791</v>
      </c>
      <c r="C8" s="6" t="s">
        <v>29</v>
      </c>
      <c r="D8" s="17" t="s">
        <v>768</v>
      </c>
      <c r="E8" s="9" t="s">
        <v>819</v>
      </c>
      <c r="F8" s="9">
        <v>0</v>
      </c>
      <c r="G8" s="4" t="s">
        <v>173</v>
      </c>
      <c r="H8" s="4" t="s">
        <v>31</v>
      </c>
      <c r="I8" s="4" t="s">
        <v>32</v>
      </c>
      <c r="J8" s="4" t="s">
        <v>820</v>
      </c>
      <c r="K8" s="4" t="s">
        <v>822</v>
      </c>
      <c r="L8" s="67"/>
      <c r="M8" s="67"/>
      <c r="N8" s="4" t="s">
        <v>821</v>
      </c>
      <c r="O8" s="66" t="s">
        <v>826</v>
      </c>
      <c r="P8" s="66"/>
      <c r="Q8" s="9" t="s">
        <v>773</v>
      </c>
      <c r="R8" s="4" t="s">
        <v>824</v>
      </c>
      <c r="S8" s="4" t="s">
        <v>825</v>
      </c>
      <c r="T8" s="17" t="s">
        <v>774</v>
      </c>
      <c r="U8" s="21">
        <v>200</v>
      </c>
      <c r="V8" s="21" t="s">
        <v>188</v>
      </c>
      <c r="W8" s="21" t="str">
        <f>O8</f>
        <v>MB300</v>
      </c>
      <c r="X8" s="21">
        <v>1</v>
      </c>
      <c r="Y8" s="63" t="b">
        <v>0</v>
      </c>
      <c r="Z8" s="21" t="s">
        <v>189</v>
      </c>
      <c r="AA8" s="21" t="s">
        <v>188</v>
      </c>
      <c r="AB8" s="21" t="s">
        <v>188</v>
      </c>
      <c r="AC8" s="21" t="s">
        <v>322</v>
      </c>
      <c r="AD8" s="63" t="b">
        <v>0</v>
      </c>
    </row>
    <row r="9" s="1" customFormat="1" ht="69" customHeight="1" spans="1:30">
      <c r="A9" s="4" t="s">
        <v>793</v>
      </c>
      <c r="B9" s="7" t="s">
        <v>794</v>
      </c>
      <c r="C9" s="6" t="s">
        <v>29</v>
      </c>
      <c r="D9" s="17" t="s">
        <v>768</v>
      </c>
      <c r="E9" s="9" t="s">
        <v>819</v>
      </c>
      <c r="F9" s="9">
        <v>0</v>
      </c>
      <c r="G9" s="4" t="s">
        <v>173</v>
      </c>
      <c r="H9" s="4" t="s">
        <v>31</v>
      </c>
      <c r="I9" s="4" t="s">
        <v>32</v>
      </c>
      <c r="J9" s="4" t="s">
        <v>820</v>
      </c>
      <c r="K9" s="4" t="s">
        <v>822</v>
      </c>
      <c r="L9" s="7"/>
      <c r="M9" s="7"/>
      <c r="N9" s="4" t="s">
        <v>821</v>
      </c>
      <c r="O9" s="66"/>
      <c r="P9" s="66">
        <v>1</v>
      </c>
      <c r="Q9" s="9" t="s">
        <v>773</v>
      </c>
      <c r="R9" s="4" t="s">
        <v>824</v>
      </c>
      <c r="S9" s="4" t="s">
        <v>825</v>
      </c>
      <c r="T9" s="17" t="s">
        <v>774</v>
      </c>
      <c r="U9" s="21">
        <v>200</v>
      </c>
      <c r="V9" s="21" t="s">
        <v>188</v>
      </c>
      <c r="W9" s="21"/>
      <c r="X9" s="21">
        <v>1</v>
      </c>
      <c r="Y9" s="63" t="b">
        <v>0</v>
      </c>
      <c r="Z9" s="21" t="s">
        <v>189</v>
      </c>
      <c r="AA9" s="21" t="s">
        <v>188</v>
      </c>
      <c r="AB9" s="21" t="s">
        <v>188</v>
      </c>
      <c r="AC9" s="21" t="s">
        <v>322</v>
      </c>
      <c r="AD9" s="63" t="b">
        <v>0</v>
      </c>
    </row>
    <row r="10" s="1" customFormat="1" ht="69" customHeight="1" spans="1:30">
      <c r="A10" s="4" t="s">
        <v>795</v>
      </c>
      <c r="B10" s="7" t="s">
        <v>796</v>
      </c>
      <c r="C10" s="6" t="s">
        <v>29</v>
      </c>
      <c r="D10" s="17" t="s">
        <v>768</v>
      </c>
      <c r="E10" s="9" t="s">
        <v>819</v>
      </c>
      <c r="F10" s="9">
        <v>0</v>
      </c>
      <c r="G10" s="4" t="s">
        <v>173</v>
      </c>
      <c r="H10" s="4" t="s">
        <v>31</v>
      </c>
      <c r="I10" s="4" t="s">
        <v>32</v>
      </c>
      <c r="J10" s="4" t="s">
        <v>820</v>
      </c>
      <c r="K10" s="4" t="s">
        <v>822</v>
      </c>
      <c r="L10" s="125" t="s">
        <v>51</v>
      </c>
      <c r="M10" s="7"/>
      <c r="N10" s="4" t="s">
        <v>821</v>
      </c>
      <c r="O10" s="66"/>
      <c r="P10" s="66"/>
      <c r="Q10" s="9" t="s">
        <v>773</v>
      </c>
      <c r="R10" s="4" t="s">
        <v>824</v>
      </c>
      <c r="S10" s="4" t="s">
        <v>825</v>
      </c>
      <c r="T10" s="17" t="s">
        <v>774</v>
      </c>
      <c r="U10" s="21">
        <v>200</v>
      </c>
      <c r="V10" s="21" t="s">
        <v>188</v>
      </c>
      <c r="W10" s="21"/>
      <c r="X10" s="21">
        <v>1</v>
      </c>
      <c r="Y10" s="63" t="b">
        <v>0</v>
      </c>
      <c r="Z10" s="21" t="s">
        <v>189</v>
      </c>
      <c r="AA10" s="21" t="s">
        <v>188</v>
      </c>
      <c r="AB10" s="21" t="s">
        <v>188</v>
      </c>
      <c r="AC10" s="21" t="s">
        <v>322</v>
      </c>
      <c r="AD10" s="63" t="b">
        <v>1</v>
      </c>
    </row>
    <row r="11" s="1" customFormat="1" ht="69" customHeight="1" spans="1:30">
      <c r="A11" s="4" t="s">
        <v>797</v>
      </c>
      <c r="B11" s="7" t="s">
        <v>798</v>
      </c>
      <c r="C11" s="6" t="s">
        <v>29</v>
      </c>
      <c r="D11" s="17" t="s">
        <v>768</v>
      </c>
      <c r="E11" s="9" t="s">
        <v>819</v>
      </c>
      <c r="F11" s="9">
        <v>0</v>
      </c>
      <c r="G11" s="4" t="s">
        <v>173</v>
      </c>
      <c r="H11" s="4" t="s">
        <v>31</v>
      </c>
      <c r="I11" s="4" t="s">
        <v>32</v>
      </c>
      <c r="J11" s="4" t="s">
        <v>820</v>
      </c>
      <c r="K11" s="4" t="s">
        <v>822</v>
      </c>
      <c r="L11" s="7"/>
      <c r="M11" s="7" t="s">
        <v>785</v>
      </c>
      <c r="N11" s="4" t="s">
        <v>821</v>
      </c>
      <c r="O11" s="66"/>
      <c r="P11" s="66"/>
      <c r="Q11" s="9" t="s">
        <v>773</v>
      </c>
      <c r="R11" s="4" t="s">
        <v>824</v>
      </c>
      <c r="S11" s="4" t="s">
        <v>825</v>
      </c>
      <c r="T11" s="17" t="s">
        <v>774</v>
      </c>
      <c r="U11" s="21">
        <v>200</v>
      </c>
      <c r="V11" s="21" t="s">
        <v>188</v>
      </c>
      <c r="W11" s="21"/>
      <c r="X11" s="21">
        <v>1</v>
      </c>
      <c r="Y11" s="63" t="b">
        <v>0</v>
      </c>
      <c r="Z11" s="21" t="s">
        <v>189</v>
      </c>
      <c r="AA11" s="21" t="s">
        <v>188</v>
      </c>
      <c r="AB11" s="21" t="s">
        <v>188</v>
      </c>
      <c r="AC11" s="21" t="s">
        <v>322</v>
      </c>
      <c r="AD11" s="63" t="b">
        <v>0</v>
      </c>
    </row>
    <row r="12" s="1" customFormat="1" ht="69" customHeight="1" spans="1:30">
      <c r="A12" s="4" t="s">
        <v>799</v>
      </c>
      <c r="B12" s="7" t="s">
        <v>800</v>
      </c>
      <c r="C12" s="6" t="s">
        <v>29</v>
      </c>
      <c r="D12" s="17" t="s">
        <v>768</v>
      </c>
      <c r="E12" s="9" t="s">
        <v>819</v>
      </c>
      <c r="F12" s="65">
        <v>378</v>
      </c>
      <c r="G12" s="4" t="s">
        <v>173</v>
      </c>
      <c r="H12" s="4" t="s">
        <v>31</v>
      </c>
      <c r="I12" s="4" t="s">
        <v>32</v>
      </c>
      <c r="J12" s="4" t="s">
        <v>820</v>
      </c>
      <c r="K12" s="9" t="s">
        <v>771</v>
      </c>
      <c r="L12" s="66"/>
      <c r="M12" s="66"/>
      <c r="N12" s="4" t="s">
        <v>821</v>
      </c>
      <c r="O12" s="66"/>
      <c r="P12" s="66"/>
      <c r="Q12" s="9" t="s">
        <v>773</v>
      </c>
      <c r="R12" s="17"/>
      <c r="S12" s="17"/>
      <c r="T12" s="17" t="s">
        <v>774</v>
      </c>
      <c r="U12" s="21">
        <v>200</v>
      </c>
      <c r="V12" s="21" t="s">
        <v>188</v>
      </c>
      <c r="W12" s="21"/>
      <c r="X12" s="21" t="s">
        <v>48</v>
      </c>
      <c r="Y12" s="63" t="b">
        <v>0</v>
      </c>
      <c r="Z12" s="21" t="s">
        <v>189</v>
      </c>
      <c r="AA12" s="21" t="s">
        <v>188</v>
      </c>
      <c r="AB12" s="21" t="s">
        <v>188</v>
      </c>
      <c r="AC12" s="21" t="s">
        <v>258</v>
      </c>
      <c r="AD12" s="63" t="b">
        <v>0</v>
      </c>
    </row>
    <row r="13" s="1" customFormat="1" ht="69" customHeight="1" spans="1:30">
      <c r="A13" s="4" t="s">
        <v>801</v>
      </c>
      <c r="B13" s="7" t="s">
        <v>802</v>
      </c>
      <c r="C13" s="6" t="s">
        <v>29</v>
      </c>
      <c r="D13" s="17" t="s">
        <v>768</v>
      </c>
      <c r="E13" s="9" t="s">
        <v>819</v>
      </c>
      <c r="F13" s="65">
        <v>378</v>
      </c>
      <c r="G13" s="4" t="s">
        <v>173</v>
      </c>
      <c r="H13" s="4" t="s">
        <v>31</v>
      </c>
      <c r="I13" s="4" t="s">
        <v>32</v>
      </c>
      <c r="J13" s="4" t="s">
        <v>820</v>
      </c>
      <c r="K13" s="4" t="s">
        <v>822</v>
      </c>
      <c r="L13" s="67"/>
      <c r="M13" s="67"/>
      <c r="N13" s="4" t="s">
        <v>821</v>
      </c>
      <c r="O13" s="66" t="s">
        <v>827</v>
      </c>
      <c r="P13" s="66"/>
      <c r="Q13" s="9" t="s">
        <v>773</v>
      </c>
      <c r="R13" s="17"/>
      <c r="S13" s="17"/>
      <c r="T13" s="17" t="s">
        <v>774</v>
      </c>
      <c r="U13" s="21">
        <v>200</v>
      </c>
      <c r="V13" s="21" t="s">
        <v>188</v>
      </c>
      <c r="W13" s="21" t="str">
        <f>O13</f>
        <v>AG300</v>
      </c>
      <c r="X13" s="21" t="s">
        <v>48</v>
      </c>
      <c r="Y13" s="63" t="b">
        <v>0</v>
      </c>
      <c r="Z13" s="21" t="s">
        <v>189</v>
      </c>
      <c r="AA13" s="21" t="s">
        <v>188</v>
      </c>
      <c r="AB13" s="21" t="s">
        <v>188</v>
      </c>
      <c r="AC13" s="21" t="s">
        <v>258</v>
      </c>
      <c r="AD13" s="63" t="b">
        <v>0</v>
      </c>
    </row>
    <row r="14" s="1" customFormat="1" ht="70" customHeight="1" spans="1:30">
      <c r="A14" s="4" t="s">
        <v>804</v>
      </c>
      <c r="B14" s="7" t="s">
        <v>805</v>
      </c>
      <c r="C14" s="6" t="s">
        <v>29</v>
      </c>
      <c r="D14" s="17" t="s">
        <v>768</v>
      </c>
      <c r="E14" s="9" t="s">
        <v>819</v>
      </c>
      <c r="F14" s="65">
        <v>378</v>
      </c>
      <c r="G14" s="4" t="s">
        <v>173</v>
      </c>
      <c r="H14" s="4" t="s">
        <v>31</v>
      </c>
      <c r="I14" s="4" t="s">
        <v>32</v>
      </c>
      <c r="J14" s="4" t="s">
        <v>820</v>
      </c>
      <c r="K14" s="4" t="s">
        <v>822</v>
      </c>
      <c r="L14" s="7"/>
      <c r="M14" s="7"/>
      <c r="N14" s="4" t="s">
        <v>821</v>
      </c>
      <c r="O14" s="66"/>
      <c r="P14" s="66">
        <v>1</v>
      </c>
      <c r="Q14" s="9" t="s">
        <v>773</v>
      </c>
      <c r="R14" s="17"/>
      <c r="S14" s="17"/>
      <c r="T14" s="17" t="s">
        <v>774</v>
      </c>
      <c r="U14" s="21">
        <v>200</v>
      </c>
      <c r="V14" s="21" t="s">
        <v>188</v>
      </c>
      <c r="W14" s="21"/>
      <c r="X14" s="21" t="s">
        <v>48</v>
      </c>
      <c r="Y14" s="63" t="b">
        <v>0</v>
      </c>
      <c r="Z14" s="21" t="s">
        <v>189</v>
      </c>
      <c r="AA14" s="21" t="s">
        <v>188</v>
      </c>
      <c r="AB14" s="21" t="s">
        <v>188</v>
      </c>
      <c r="AC14" s="21" t="s">
        <v>258</v>
      </c>
      <c r="AD14" s="63" t="b">
        <v>0</v>
      </c>
    </row>
    <row r="15" s="1" customFormat="1" ht="69" customHeight="1" spans="1:30">
      <c r="A15" s="4" t="s">
        <v>806</v>
      </c>
      <c r="B15" s="7" t="s">
        <v>807</v>
      </c>
      <c r="C15" s="6" t="s">
        <v>29</v>
      </c>
      <c r="D15" s="17" t="s">
        <v>768</v>
      </c>
      <c r="E15" s="9" t="s">
        <v>819</v>
      </c>
      <c r="F15" s="65">
        <v>378</v>
      </c>
      <c r="G15" s="4" t="s">
        <v>173</v>
      </c>
      <c r="H15" s="4" t="s">
        <v>31</v>
      </c>
      <c r="I15" s="4" t="s">
        <v>32</v>
      </c>
      <c r="J15" s="4" t="s">
        <v>820</v>
      </c>
      <c r="K15" s="4" t="s">
        <v>822</v>
      </c>
      <c r="L15" s="125" t="s">
        <v>51</v>
      </c>
      <c r="M15" s="7"/>
      <c r="N15" s="4" t="s">
        <v>821</v>
      </c>
      <c r="O15" s="66"/>
      <c r="P15" s="66"/>
      <c r="Q15" s="9" t="s">
        <v>773</v>
      </c>
      <c r="R15" s="17"/>
      <c r="S15" s="17"/>
      <c r="T15" s="17" t="s">
        <v>774</v>
      </c>
      <c r="U15" s="21">
        <v>200</v>
      </c>
      <c r="V15" s="21" t="s">
        <v>188</v>
      </c>
      <c r="W15" s="21"/>
      <c r="X15" s="21" t="s">
        <v>48</v>
      </c>
      <c r="Y15" s="63" t="b">
        <v>0</v>
      </c>
      <c r="Z15" s="21" t="s">
        <v>189</v>
      </c>
      <c r="AA15" s="21" t="s">
        <v>188</v>
      </c>
      <c r="AB15" s="21" t="s">
        <v>188</v>
      </c>
      <c r="AC15" s="21" t="s">
        <v>258</v>
      </c>
      <c r="AD15" s="63" t="b">
        <v>1</v>
      </c>
    </row>
    <row r="16" s="1" customFormat="1" ht="69" customHeight="1" spans="1:30">
      <c r="A16" s="4" t="s">
        <v>808</v>
      </c>
      <c r="B16" s="7" t="s">
        <v>809</v>
      </c>
      <c r="C16" s="6" t="s">
        <v>29</v>
      </c>
      <c r="D16" s="17" t="s">
        <v>768</v>
      </c>
      <c r="E16" s="9" t="s">
        <v>819</v>
      </c>
      <c r="F16" s="65">
        <v>378</v>
      </c>
      <c r="G16" s="4" t="s">
        <v>173</v>
      </c>
      <c r="H16" s="4" t="s">
        <v>31</v>
      </c>
      <c r="I16" s="4" t="s">
        <v>32</v>
      </c>
      <c r="J16" s="4" t="s">
        <v>820</v>
      </c>
      <c r="K16" s="4" t="s">
        <v>822</v>
      </c>
      <c r="L16" s="7"/>
      <c r="M16" s="7" t="s">
        <v>785</v>
      </c>
      <c r="N16" s="4" t="s">
        <v>821</v>
      </c>
      <c r="O16" s="66"/>
      <c r="P16" s="66"/>
      <c r="Q16" s="9" t="s">
        <v>773</v>
      </c>
      <c r="R16" s="17"/>
      <c r="S16" s="17"/>
      <c r="T16" s="17" t="s">
        <v>774</v>
      </c>
      <c r="U16" s="21">
        <v>200</v>
      </c>
      <c r="V16" s="21" t="s">
        <v>188</v>
      </c>
      <c r="W16" s="21"/>
      <c r="X16" s="21" t="s">
        <v>48</v>
      </c>
      <c r="Y16" s="63" t="b">
        <v>0</v>
      </c>
      <c r="Z16" s="21" t="s">
        <v>189</v>
      </c>
      <c r="AA16" s="21" t="s">
        <v>188</v>
      </c>
      <c r="AB16" s="21" t="s">
        <v>188</v>
      </c>
      <c r="AC16" s="21" t="s">
        <v>258</v>
      </c>
      <c r="AD16" s="63" t="b">
        <v>0</v>
      </c>
    </row>
  </sheetData>
  <pageMargins left="0.75" right="0.75" top="1" bottom="1" header="0.5" footer="0.5"/>
  <headerFooter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J1" workbookViewId="0">
      <selection activeCell="P7" sqref="P7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7.8571428571429" style="1" customWidth="1"/>
    <col min="11" max="11" width="27" style="1" customWidth="1"/>
    <col min="12" max="13" width="17.8380952380952" style="1" customWidth="1"/>
    <col min="14" max="14" width="22.4285714285714" style="1" customWidth="1"/>
    <col min="15" max="16" width="17.8380952380952" style="1" customWidth="1"/>
    <col min="17" max="17" width="17.8380952380952" style="23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64" t="s">
        <v>759</v>
      </c>
      <c r="F1" s="64" t="s">
        <v>760</v>
      </c>
      <c r="G1" s="64" t="s">
        <v>672</v>
      </c>
      <c r="H1" s="64" t="s">
        <v>4</v>
      </c>
      <c r="I1" s="64" t="s">
        <v>5</v>
      </c>
      <c r="J1" s="64" t="s">
        <v>673</v>
      </c>
      <c r="K1" s="64" t="s">
        <v>674</v>
      </c>
      <c r="L1" s="64" t="s">
        <v>675</v>
      </c>
      <c r="M1" s="64" t="s">
        <v>676</v>
      </c>
      <c r="N1" s="64" t="s">
        <v>761</v>
      </c>
      <c r="O1" s="64" t="s">
        <v>678</v>
      </c>
      <c r="P1" s="64" t="s">
        <v>679</v>
      </c>
      <c r="Q1" s="64" t="s">
        <v>762</v>
      </c>
      <c r="R1" s="64" t="s">
        <v>763</v>
      </c>
      <c r="S1" s="64" t="s">
        <v>764</v>
      </c>
      <c r="T1" s="68" t="s">
        <v>15</v>
      </c>
      <c r="U1" s="10" t="s">
        <v>16</v>
      </c>
      <c r="V1" s="10" t="s">
        <v>681</v>
      </c>
      <c r="W1" s="10" t="s">
        <v>765</v>
      </c>
      <c r="X1" s="10" t="s">
        <v>683</v>
      </c>
      <c r="Y1" s="18" t="s">
        <v>684</v>
      </c>
      <c r="Z1" s="10" t="s">
        <v>685</v>
      </c>
      <c r="AA1" s="10" t="s">
        <v>686</v>
      </c>
      <c r="AB1" s="10" t="s">
        <v>687</v>
      </c>
      <c r="AC1" s="10" t="s">
        <v>688</v>
      </c>
      <c r="AD1" s="18" t="s">
        <v>689</v>
      </c>
    </row>
    <row r="2" s="1" customFormat="1" ht="50" customHeight="1" spans="1:30">
      <c r="A2" s="4" t="s">
        <v>766</v>
      </c>
      <c r="B2" s="7" t="s">
        <v>767</v>
      </c>
      <c r="C2" s="6" t="s">
        <v>29</v>
      </c>
      <c r="D2" s="17" t="s">
        <v>768</v>
      </c>
      <c r="E2" s="9" t="s">
        <v>828</v>
      </c>
      <c r="F2" s="9">
        <v>0</v>
      </c>
      <c r="G2" s="4" t="s">
        <v>173</v>
      </c>
      <c r="H2" s="4" t="s">
        <v>31</v>
      </c>
      <c r="I2" s="4" t="s">
        <v>32</v>
      </c>
      <c r="J2" s="4" t="s">
        <v>829</v>
      </c>
      <c r="K2" s="9" t="s">
        <v>771</v>
      </c>
      <c r="L2" s="66"/>
      <c r="M2" s="66"/>
      <c r="N2" s="4" t="s">
        <v>830</v>
      </c>
      <c r="O2" s="66"/>
      <c r="P2" s="66"/>
      <c r="Q2" s="9" t="s">
        <v>773</v>
      </c>
      <c r="R2" s="17"/>
      <c r="S2" s="17"/>
      <c r="T2" s="17" t="s">
        <v>774</v>
      </c>
      <c r="U2" s="21">
        <v>200</v>
      </c>
      <c r="V2" s="21" t="s">
        <v>188</v>
      </c>
      <c r="W2" s="21"/>
      <c r="X2" s="21" t="s">
        <v>34</v>
      </c>
      <c r="Y2" s="63" t="b">
        <v>0</v>
      </c>
      <c r="Z2" s="21" t="s">
        <v>189</v>
      </c>
      <c r="AA2" s="21" t="s">
        <v>188</v>
      </c>
      <c r="AB2" s="21" t="s">
        <v>188</v>
      </c>
      <c r="AC2" s="69" t="s">
        <v>190</v>
      </c>
      <c r="AD2" s="63" t="b">
        <v>0</v>
      </c>
    </row>
    <row r="3" s="1" customFormat="1" ht="69" customHeight="1" spans="1:30">
      <c r="A3" s="4" t="s">
        <v>775</v>
      </c>
      <c r="B3" s="7" t="s">
        <v>776</v>
      </c>
      <c r="C3" s="6" t="s">
        <v>29</v>
      </c>
      <c r="D3" s="17" t="s">
        <v>768</v>
      </c>
      <c r="E3" s="9" t="s">
        <v>828</v>
      </c>
      <c r="F3" s="9">
        <v>0</v>
      </c>
      <c r="G3" s="4" t="s">
        <v>173</v>
      </c>
      <c r="H3" s="4" t="s">
        <v>31</v>
      </c>
      <c r="I3" s="4" t="s">
        <v>32</v>
      </c>
      <c r="J3" s="4" t="s">
        <v>829</v>
      </c>
      <c r="K3" s="4" t="s">
        <v>831</v>
      </c>
      <c r="L3" s="67"/>
      <c r="M3" s="67"/>
      <c r="N3" s="4" t="s">
        <v>830</v>
      </c>
      <c r="O3" s="66" t="s">
        <v>832</v>
      </c>
      <c r="P3" s="66"/>
      <c r="Q3" s="9" t="s">
        <v>773</v>
      </c>
      <c r="R3" s="17"/>
      <c r="S3" s="17"/>
      <c r="T3" s="17" t="s">
        <v>774</v>
      </c>
      <c r="U3" s="21">
        <v>200</v>
      </c>
      <c r="V3" s="21" t="s">
        <v>188</v>
      </c>
      <c r="W3" s="21" t="str">
        <f>O3</f>
        <v>VST400</v>
      </c>
      <c r="X3" s="21" t="s">
        <v>34</v>
      </c>
      <c r="Y3" s="63" t="b">
        <v>0</v>
      </c>
      <c r="Z3" s="21" t="s">
        <v>189</v>
      </c>
      <c r="AA3" s="21" t="s">
        <v>188</v>
      </c>
      <c r="AB3" s="21" t="s">
        <v>188</v>
      </c>
      <c r="AC3" s="69" t="s">
        <v>190</v>
      </c>
      <c r="AD3" s="63" t="b">
        <v>0</v>
      </c>
    </row>
    <row r="4" s="1" customFormat="1" ht="69" customHeight="1" spans="1:30">
      <c r="A4" s="4" t="s">
        <v>779</v>
      </c>
      <c r="B4" s="7" t="s">
        <v>780</v>
      </c>
      <c r="C4" s="6" t="s">
        <v>29</v>
      </c>
      <c r="D4" s="17" t="s">
        <v>768</v>
      </c>
      <c r="E4" s="9" t="s">
        <v>828</v>
      </c>
      <c r="F4" s="9">
        <v>0</v>
      </c>
      <c r="G4" s="4" t="s">
        <v>173</v>
      </c>
      <c r="H4" s="4" t="s">
        <v>31</v>
      </c>
      <c r="I4" s="4" t="s">
        <v>32</v>
      </c>
      <c r="J4" s="4" t="s">
        <v>829</v>
      </c>
      <c r="K4" s="4" t="s">
        <v>831</v>
      </c>
      <c r="L4" s="7"/>
      <c r="M4" s="7"/>
      <c r="N4" s="4" t="s">
        <v>830</v>
      </c>
      <c r="O4" s="66"/>
      <c r="P4" s="66">
        <v>1</v>
      </c>
      <c r="Q4" s="9" t="s">
        <v>773</v>
      </c>
      <c r="R4" s="17"/>
      <c r="S4" s="17"/>
      <c r="T4" s="17" t="s">
        <v>774</v>
      </c>
      <c r="U4" s="21">
        <v>200</v>
      </c>
      <c r="V4" s="21" t="s">
        <v>188</v>
      </c>
      <c r="W4" s="21"/>
      <c r="X4" s="21" t="s">
        <v>34</v>
      </c>
      <c r="Y4" s="63" t="b">
        <v>0</v>
      </c>
      <c r="Z4" s="21" t="s">
        <v>189</v>
      </c>
      <c r="AA4" s="21" t="s">
        <v>188</v>
      </c>
      <c r="AB4" s="21" t="s">
        <v>188</v>
      </c>
      <c r="AC4" s="69" t="s">
        <v>190</v>
      </c>
      <c r="AD4" s="63" t="b">
        <v>0</v>
      </c>
    </row>
    <row r="5" s="1" customFormat="1" ht="69" customHeight="1" spans="1:30">
      <c r="A5" s="4" t="s">
        <v>781</v>
      </c>
      <c r="B5" s="7" t="s">
        <v>782</v>
      </c>
      <c r="C5" s="6" t="s">
        <v>29</v>
      </c>
      <c r="D5" s="17" t="s">
        <v>768</v>
      </c>
      <c r="E5" s="9" t="s">
        <v>828</v>
      </c>
      <c r="F5" s="9">
        <v>0</v>
      </c>
      <c r="G5" s="4" t="s">
        <v>173</v>
      </c>
      <c r="H5" s="4" t="s">
        <v>31</v>
      </c>
      <c r="I5" s="4" t="s">
        <v>32</v>
      </c>
      <c r="J5" s="4" t="s">
        <v>829</v>
      </c>
      <c r="K5" s="4" t="s">
        <v>831</v>
      </c>
      <c r="L5" s="125" t="s">
        <v>51</v>
      </c>
      <c r="M5" s="7"/>
      <c r="N5" s="4" t="s">
        <v>830</v>
      </c>
      <c r="O5" s="66"/>
      <c r="P5" s="66"/>
      <c r="Q5" s="9" t="s">
        <v>773</v>
      </c>
      <c r="R5" s="17"/>
      <c r="S5" s="17"/>
      <c r="T5" s="17" t="s">
        <v>774</v>
      </c>
      <c r="U5" s="21">
        <v>200</v>
      </c>
      <c r="V5" s="21" t="s">
        <v>188</v>
      </c>
      <c r="W5" s="21"/>
      <c r="X5" s="21" t="s">
        <v>34</v>
      </c>
      <c r="Y5" s="63" t="b">
        <v>0</v>
      </c>
      <c r="Z5" s="21" t="s">
        <v>189</v>
      </c>
      <c r="AA5" s="21" t="s">
        <v>188</v>
      </c>
      <c r="AB5" s="21" t="s">
        <v>188</v>
      </c>
      <c r="AC5" s="69" t="s">
        <v>190</v>
      </c>
      <c r="AD5" s="63" t="b">
        <v>1</v>
      </c>
    </row>
    <row r="6" s="1" customFormat="1" ht="69" customHeight="1" spans="1:30">
      <c r="A6" s="4" t="s">
        <v>783</v>
      </c>
      <c r="B6" s="7" t="s">
        <v>784</v>
      </c>
      <c r="C6" s="6" t="s">
        <v>29</v>
      </c>
      <c r="D6" s="17" t="s">
        <v>768</v>
      </c>
      <c r="E6" s="9" t="s">
        <v>828</v>
      </c>
      <c r="F6" s="9">
        <v>0</v>
      </c>
      <c r="G6" s="4" t="s">
        <v>173</v>
      </c>
      <c r="H6" s="4" t="s">
        <v>31</v>
      </c>
      <c r="I6" s="4" t="s">
        <v>32</v>
      </c>
      <c r="J6" s="4" t="s">
        <v>829</v>
      </c>
      <c r="K6" s="4" t="s">
        <v>831</v>
      </c>
      <c r="L6" s="7"/>
      <c r="M6" s="7" t="s">
        <v>785</v>
      </c>
      <c r="N6" s="4" t="s">
        <v>830</v>
      </c>
      <c r="O6" s="66"/>
      <c r="P6" s="66"/>
      <c r="Q6" s="9" t="s">
        <v>773</v>
      </c>
      <c r="R6" s="17"/>
      <c r="S6" s="17"/>
      <c r="T6" s="17" t="s">
        <v>774</v>
      </c>
      <c r="U6" s="21">
        <v>200</v>
      </c>
      <c r="V6" s="21" t="s">
        <v>188</v>
      </c>
      <c r="W6" s="21"/>
      <c r="X6" s="21" t="s">
        <v>34</v>
      </c>
      <c r="Y6" s="63" t="b">
        <v>0</v>
      </c>
      <c r="Z6" s="21" t="s">
        <v>189</v>
      </c>
      <c r="AA6" s="21" t="s">
        <v>188</v>
      </c>
      <c r="AB6" s="21" t="s">
        <v>188</v>
      </c>
      <c r="AC6" s="69" t="s">
        <v>190</v>
      </c>
      <c r="AD6" s="63" t="b">
        <v>0</v>
      </c>
    </row>
    <row r="7" s="1" customFormat="1" ht="69" customHeight="1" spans="1:30">
      <c r="A7" s="4" t="s">
        <v>786</v>
      </c>
      <c r="B7" s="7" t="s">
        <v>787</v>
      </c>
      <c r="C7" s="6" t="s">
        <v>29</v>
      </c>
      <c r="D7" s="17" t="s">
        <v>768</v>
      </c>
      <c r="E7" s="9" t="s">
        <v>828</v>
      </c>
      <c r="F7" s="9">
        <v>0</v>
      </c>
      <c r="G7" s="4" t="s">
        <v>173</v>
      </c>
      <c r="H7" s="4" t="s">
        <v>31</v>
      </c>
      <c r="I7" s="4" t="s">
        <v>32</v>
      </c>
      <c r="J7" s="4" t="s">
        <v>829</v>
      </c>
      <c r="K7" s="9" t="s">
        <v>771</v>
      </c>
      <c r="L7" s="66"/>
      <c r="M7" s="66"/>
      <c r="N7" s="4" t="s">
        <v>830</v>
      </c>
      <c r="O7" s="66"/>
      <c r="P7" s="66"/>
      <c r="Q7" s="9" t="s">
        <v>773</v>
      </c>
      <c r="R7" s="4" t="s">
        <v>833</v>
      </c>
      <c r="S7" s="4" t="s">
        <v>834</v>
      </c>
      <c r="T7" s="17" t="s">
        <v>774</v>
      </c>
      <c r="U7" s="21">
        <v>200</v>
      </c>
      <c r="V7" s="21" t="s">
        <v>188</v>
      </c>
      <c r="W7" s="21"/>
      <c r="X7" s="21">
        <v>1</v>
      </c>
      <c r="Y7" s="63" t="b">
        <v>0</v>
      </c>
      <c r="Z7" s="21" t="s">
        <v>189</v>
      </c>
      <c r="AA7" s="21" t="s">
        <v>188</v>
      </c>
      <c r="AB7" s="21" t="s">
        <v>188</v>
      </c>
      <c r="AC7" s="21" t="s">
        <v>322</v>
      </c>
      <c r="AD7" s="63" t="b">
        <v>0</v>
      </c>
    </row>
    <row r="8" s="1" customFormat="1" ht="69" customHeight="1" spans="1:30">
      <c r="A8" s="4" t="s">
        <v>790</v>
      </c>
      <c r="B8" s="7" t="s">
        <v>791</v>
      </c>
      <c r="C8" s="6" t="s">
        <v>29</v>
      </c>
      <c r="D8" s="17" t="s">
        <v>768</v>
      </c>
      <c r="E8" s="9" t="s">
        <v>828</v>
      </c>
      <c r="F8" s="9">
        <v>0</v>
      </c>
      <c r="G8" s="4" t="s">
        <v>173</v>
      </c>
      <c r="H8" s="4" t="s">
        <v>31</v>
      </c>
      <c r="I8" s="4" t="s">
        <v>32</v>
      </c>
      <c r="J8" s="4" t="s">
        <v>829</v>
      </c>
      <c r="K8" s="4" t="s">
        <v>831</v>
      </c>
      <c r="L8" s="67"/>
      <c r="M8" s="67"/>
      <c r="N8" s="4" t="s">
        <v>830</v>
      </c>
      <c r="O8" s="66" t="s">
        <v>835</v>
      </c>
      <c r="P8" s="66"/>
      <c r="Q8" s="9" t="s">
        <v>773</v>
      </c>
      <c r="R8" s="4" t="s">
        <v>833</v>
      </c>
      <c r="S8" s="4" t="s">
        <v>834</v>
      </c>
      <c r="T8" s="17" t="s">
        <v>774</v>
      </c>
      <c r="U8" s="21">
        <v>200</v>
      </c>
      <c r="V8" s="21" t="s">
        <v>188</v>
      </c>
      <c r="W8" s="21" t="str">
        <f>O8</f>
        <v>MB400</v>
      </c>
      <c r="X8" s="21">
        <v>1</v>
      </c>
      <c r="Y8" s="63" t="b">
        <v>0</v>
      </c>
      <c r="Z8" s="21" t="s">
        <v>189</v>
      </c>
      <c r="AA8" s="21" t="s">
        <v>188</v>
      </c>
      <c r="AB8" s="21" t="s">
        <v>188</v>
      </c>
      <c r="AC8" s="21" t="s">
        <v>322</v>
      </c>
      <c r="AD8" s="63" t="b">
        <v>0</v>
      </c>
    </row>
    <row r="9" s="1" customFormat="1" ht="69" customHeight="1" spans="1:30">
      <c r="A9" s="4" t="s">
        <v>793</v>
      </c>
      <c r="B9" s="7" t="s">
        <v>794</v>
      </c>
      <c r="C9" s="6" t="s">
        <v>29</v>
      </c>
      <c r="D9" s="17" t="s">
        <v>768</v>
      </c>
      <c r="E9" s="9" t="s">
        <v>828</v>
      </c>
      <c r="F9" s="9">
        <v>0</v>
      </c>
      <c r="G9" s="4" t="s">
        <v>173</v>
      </c>
      <c r="H9" s="4" t="s">
        <v>31</v>
      </c>
      <c r="I9" s="4" t="s">
        <v>32</v>
      </c>
      <c r="J9" s="4" t="s">
        <v>829</v>
      </c>
      <c r="K9" s="4" t="s">
        <v>831</v>
      </c>
      <c r="L9" s="7"/>
      <c r="M9" s="7"/>
      <c r="N9" s="4" t="s">
        <v>830</v>
      </c>
      <c r="O9" s="66"/>
      <c r="P9" s="66">
        <v>1</v>
      </c>
      <c r="Q9" s="9" t="s">
        <v>773</v>
      </c>
      <c r="R9" s="4" t="s">
        <v>833</v>
      </c>
      <c r="S9" s="4" t="s">
        <v>834</v>
      </c>
      <c r="T9" s="17" t="s">
        <v>774</v>
      </c>
      <c r="U9" s="21">
        <v>200</v>
      </c>
      <c r="V9" s="21" t="s">
        <v>188</v>
      </c>
      <c r="W9" s="21"/>
      <c r="X9" s="21">
        <v>1</v>
      </c>
      <c r="Y9" s="63" t="b">
        <v>0</v>
      </c>
      <c r="Z9" s="21" t="s">
        <v>189</v>
      </c>
      <c r="AA9" s="21" t="s">
        <v>188</v>
      </c>
      <c r="AB9" s="21" t="s">
        <v>188</v>
      </c>
      <c r="AC9" s="21" t="s">
        <v>322</v>
      </c>
      <c r="AD9" s="63" t="b">
        <v>0</v>
      </c>
    </row>
    <row r="10" s="1" customFormat="1" ht="69" customHeight="1" spans="1:30">
      <c r="A10" s="4" t="s">
        <v>795</v>
      </c>
      <c r="B10" s="7" t="s">
        <v>796</v>
      </c>
      <c r="C10" s="6" t="s">
        <v>29</v>
      </c>
      <c r="D10" s="17" t="s">
        <v>768</v>
      </c>
      <c r="E10" s="9" t="s">
        <v>828</v>
      </c>
      <c r="F10" s="9">
        <v>0</v>
      </c>
      <c r="G10" s="4" t="s">
        <v>173</v>
      </c>
      <c r="H10" s="4" t="s">
        <v>31</v>
      </c>
      <c r="I10" s="4" t="s">
        <v>32</v>
      </c>
      <c r="J10" s="4" t="s">
        <v>829</v>
      </c>
      <c r="K10" s="4" t="s">
        <v>831</v>
      </c>
      <c r="L10" s="125" t="s">
        <v>51</v>
      </c>
      <c r="M10" s="7"/>
      <c r="N10" s="4" t="s">
        <v>830</v>
      </c>
      <c r="O10" s="66"/>
      <c r="P10" s="66"/>
      <c r="Q10" s="9" t="s">
        <v>773</v>
      </c>
      <c r="R10" s="4" t="s">
        <v>833</v>
      </c>
      <c r="S10" s="4" t="s">
        <v>834</v>
      </c>
      <c r="T10" s="17" t="s">
        <v>774</v>
      </c>
      <c r="U10" s="21">
        <v>200</v>
      </c>
      <c r="V10" s="21" t="s">
        <v>188</v>
      </c>
      <c r="W10" s="21"/>
      <c r="X10" s="21">
        <v>1</v>
      </c>
      <c r="Y10" s="63" t="b">
        <v>0</v>
      </c>
      <c r="Z10" s="21" t="s">
        <v>189</v>
      </c>
      <c r="AA10" s="21" t="s">
        <v>188</v>
      </c>
      <c r="AB10" s="21" t="s">
        <v>188</v>
      </c>
      <c r="AC10" s="21" t="s">
        <v>322</v>
      </c>
      <c r="AD10" s="63" t="b">
        <v>1</v>
      </c>
    </row>
    <row r="11" s="1" customFormat="1" ht="69" customHeight="1" spans="1:30">
      <c r="A11" s="4" t="s">
        <v>797</v>
      </c>
      <c r="B11" s="7" t="s">
        <v>798</v>
      </c>
      <c r="C11" s="6" t="s">
        <v>29</v>
      </c>
      <c r="D11" s="17" t="s">
        <v>768</v>
      </c>
      <c r="E11" s="9" t="s">
        <v>828</v>
      </c>
      <c r="F11" s="9">
        <v>0</v>
      </c>
      <c r="G11" s="4" t="s">
        <v>173</v>
      </c>
      <c r="H11" s="4" t="s">
        <v>31</v>
      </c>
      <c r="I11" s="4" t="s">
        <v>32</v>
      </c>
      <c r="J11" s="4" t="s">
        <v>829</v>
      </c>
      <c r="K11" s="4" t="s">
        <v>831</v>
      </c>
      <c r="L11" s="7"/>
      <c r="M11" s="7" t="s">
        <v>785</v>
      </c>
      <c r="N11" s="4" t="s">
        <v>830</v>
      </c>
      <c r="O11" s="66"/>
      <c r="P11" s="66"/>
      <c r="Q11" s="9" t="s">
        <v>773</v>
      </c>
      <c r="R11" s="4" t="s">
        <v>833</v>
      </c>
      <c r="S11" s="4" t="s">
        <v>834</v>
      </c>
      <c r="T11" s="17" t="s">
        <v>774</v>
      </c>
      <c r="U11" s="21">
        <v>200</v>
      </c>
      <c r="V11" s="21" t="s">
        <v>188</v>
      </c>
      <c r="W11" s="21"/>
      <c r="X11" s="21">
        <v>1</v>
      </c>
      <c r="Y11" s="63" t="b">
        <v>0</v>
      </c>
      <c r="Z11" s="21" t="s">
        <v>189</v>
      </c>
      <c r="AA11" s="21" t="s">
        <v>188</v>
      </c>
      <c r="AB11" s="21" t="s">
        <v>188</v>
      </c>
      <c r="AC11" s="21" t="s">
        <v>322</v>
      </c>
      <c r="AD11" s="63" t="b">
        <v>0</v>
      </c>
    </row>
    <row r="12" s="1" customFormat="1" ht="69" customHeight="1" spans="1:30">
      <c r="A12" s="4" t="s">
        <v>799</v>
      </c>
      <c r="B12" s="7" t="s">
        <v>800</v>
      </c>
      <c r="C12" s="6" t="s">
        <v>29</v>
      </c>
      <c r="D12" s="17" t="s">
        <v>768</v>
      </c>
      <c r="E12" s="9" t="s">
        <v>828</v>
      </c>
      <c r="F12" s="65">
        <v>378</v>
      </c>
      <c r="G12" s="4" t="s">
        <v>173</v>
      </c>
      <c r="H12" s="4" t="s">
        <v>31</v>
      </c>
      <c r="I12" s="4" t="s">
        <v>32</v>
      </c>
      <c r="J12" s="4" t="s">
        <v>829</v>
      </c>
      <c r="K12" s="9" t="s">
        <v>771</v>
      </c>
      <c r="L12" s="66"/>
      <c r="M12" s="66"/>
      <c r="N12" s="4" t="s">
        <v>830</v>
      </c>
      <c r="O12" s="66"/>
      <c r="P12" s="66"/>
      <c r="Q12" s="9" t="s">
        <v>773</v>
      </c>
      <c r="R12" s="17"/>
      <c r="S12" s="17"/>
      <c r="T12" s="17" t="s">
        <v>774</v>
      </c>
      <c r="U12" s="21">
        <v>200</v>
      </c>
      <c r="V12" s="21" t="s">
        <v>188</v>
      </c>
      <c r="W12" s="21"/>
      <c r="X12" s="21" t="s">
        <v>48</v>
      </c>
      <c r="Y12" s="63" t="b">
        <v>0</v>
      </c>
      <c r="Z12" s="21" t="s">
        <v>189</v>
      </c>
      <c r="AA12" s="21" t="s">
        <v>188</v>
      </c>
      <c r="AB12" s="21" t="s">
        <v>188</v>
      </c>
      <c r="AC12" s="21" t="s">
        <v>258</v>
      </c>
      <c r="AD12" s="63" t="b">
        <v>0</v>
      </c>
    </row>
    <row r="13" s="1" customFormat="1" ht="69" customHeight="1" spans="1:30">
      <c r="A13" s="4" t="s">
        <v>801</v>
      </c>
      <c r="B13" s="7" t="s">
        <v>802</v>
      </c>
      <c r="C13" s="6" t="s">
        <v>29</v>
      </c>
      <c r="D13" s="17" t="s">
        <v>768</v>
      </c>
      <c r="E13" s="9" t="s">
        <v>828</v>
      </c>
      <c r="F13" s="65">
        <v>378</v>
      </c>
      <c r="G13" s="4" t="s">
        <v>173</v>
      </c>
      <c r="H13" s="4" t="s">
        <v>31</v>
      </c>
      <c r="I13" s="4" t="s">
        <v>32</v>
      </c>
      <c r="J13" s="4" t="s">
        <v>829</v>
      </c>
      <c r="K13" s="4" t="s">
        <v>831</v>
      </c>
      <c r="L13" s="67"/>
      <c r="M13" s="67"/>
      <c r="N13" s="4" t="s">
        <v>830</v>
      </c>
      <c r="O13" s="66" t="s">
        <v>836</v>
      </c>
      <c r="P13" s="66"/>
      <c r="Q13" s="9" t="s">
        <v>773</v>
      </c>
      <c r="R13" s="17"/>
      <c r="S13" s="17"/>
      <c r="T13" s="17" t="s">
        <v>774</v>
      </c>
      <c r="U13" s="21">
        <v>200</v>
      </c>
      <c r="V13" s="21" t="s">
        <v>188</v>
      </c>
      <c r="W13" s="21" t="str">
        <f>O13</f>
        <v>AG400</v>
      </c>
      <c r="X13" s="21" t="s">
        <v>48</v>
      </c>
      <c r="Y13" s="63" t="b">
        <v>0</v>
      </c>
      <c r="Z13" s="21" t="s">
        <v>189</v>
      </c>
      <c r="AA13" s="21" t="s">
        <v>188</v>
      </c>
      <c r="AB13" s="21" t="s">
        <v>188</v>
      </c>
      <c r="AC13" s="21" t="s">
        <v>258</v>
      </c>
      <c r="AD13" s="63" t="b">
        <v>0</v>
      </c>
    </row>
    <row r="14" s="1" customFormat="1" ht="70" customHeight="1" spans="1:30">
      <c r="A14" s="4" t="s">
        <v>804</v>
      </c>
      <c r="B14" s="7" t="s">
        <v>805</v>
      </c>
      <c r="C14" s="6" t="s">
        <v>29</v>
      </c>
      <c r="D14" s="17" t="s">
        <v>768</v>
      </c>
      <c r="E14" s="9" t="s">
        <v>828</v>
      </c>
      <c r="F14" s="65">
        <v>378</v>
      </c>
      <c r="G14" s="4" t="s">
        <v>173</v>
      </c>
      <c r="H14" s="4" t="s">
        <v>31</v>
      </c>
      <c r="I14" s="4" t="s">
        <v>32</v>
      </c>
      <c r="J14" s="4" t="s">
        <v>829</v>
      </c>
      <c r="K14" s="4" t="s">
        <v>831</v>
      </c>
      <c r="L14" s="7"/>
      <c r="M14" s="7"/>
      <c r="N14" s="4" t="s">
        <v>830</v>
      </c>
      <c r="O14" s="66"/>
      <c r="P14" s="66">
        <v>1</v>
      </c>
      <c r="Q14" s="9" t="s">
        <v>773</v>
      </c>
      <c r="R14" s="17"/>
      <c r="S14" s="17"/>
      <c r="T14" s="17" t="s">
        <v>774</v>
      </c>
      <c r="U14" s="21">
        <v>200</v>
      </c>
      <c r="V14" s="21" t="s">
        <v>188</v>
      </c>
      <c r="W14" s="21"/>
      <c r="X14" s="21" t="s">
        <v>48</v>
      </c>
      <c r="Y14" s="63" t="b">
        <v>0</v>
      </c>
      <c r="Z14" s="21" t="s">
        <v>189</v>
      </c>
      <c r="AA14" s="21" t="s">
        <v>188</v>
      </c>
      <c r="AB14" s="21" t="s">
        <v>188</v>
      </c>
      <c r="AC14" s="21" t="s">
        <v>258</v>
      </c>
      <c r="AD14" s="63" t="b">
        <v>0</v>
      </c>
    </row>
    <row r="15" s="1" customFormat="1" ht="69" customHeight="1" spans="1:30">
      <c r="A15" s="4" t="s">
        <v>806</v>
      </c>
      <c r="B15" s="7" t="s">
        <v>807</v>
      </c>
      <c r="C15" s="6" t="s">
        <v>29</v>
      </c>
      <c r="D15" s="17" t="s">
        <v>768</v>
      </c>
      <c r="E15" s="9" t="s">
        <v>828</v>
      </c>
      <c r="F15" s="65">
        <v>378</v>
      </c>
      <c r="G15" s="4" t="s">
        <v>173</v>
      </c>
      <c r="H15" s="4" t="s">
        <v>31</v>
      </c>
      <c r="I15" s="4" t="s">
        <v>32</v>
      </c>
      <c r="J15" s="4" t="s">
        <v>829</v>
      </c>
      <c r="K15" s="4" t="s">
        <v>831</v>
      </c>
      <c r="L15" s="125" t="s">
        <v>51</v>
      </c>
      <c r="M15" s="7"/>
      <c r="N15" s="4" t="s">
        <v>830</v>
      </c>
      <c r="O15" s="66"/>
      <c r="P15" s="66"/>
      <c r="Q15" s="9" t="s">
        <v>773</v>
      </c>
      <c r="R15" s="17"/>
      <c r="S15" s="17"/>
      <c r="T15" s="17" t="s">
        <v>774</v>
      </c>
      <c r="U15" s="21">
        <v>200</v>
      </c>
      <c r="V15" s="21" t="s">
        <v>188</v>
      </c>
      <c r="W15" s="21"/>
      <c r="X15" s="21" t="s">
        <v>48</v>
      </c>
      <c r="Y15" s="63" t="b">
        <v>0</v>
      </c>
      <c r="Z15" s="21" t="s">
        <v>189</v>
      </c>
      <c r="AA15" s="21" t="s">
        <v>188</v>
      </c>
      <c r="AB15" s="21" t="s">
        <v>188</v>
      </c>
      <c r="AC15" s="21" t="s">
        <v>258</v>
      </c>
      <c r="AD15" s="63" t="b">
        <v>1</v>
      </c>
    </row>
    <row r="16" s="1" customFormat="1" ht="69" customHeight="1" spans="1:30">
      <c r="A16" s="4" t="s">
        <v>808</v>
      </c>
      <c r="B16" s="7" t="s">
        <v>809</v>
      </c>
      <c r="C16" s="6" t="s">
        <v>29</v>
      </c>
      <c r="D16" s="17" t="s">
        <v>768</v>
      </c>
      <c r="E16" s="9" t="s">
        <v>828</v>
      </c>
      <c r="F16" s="65">
        <v>378</v>
      </c>
      <c r="G16" s="4" t="s">
        <v>173</v>
      </c>
      <c r="H16" s="4" t="s">
        <v>31</v>
      </c>
      <c r="I16" s="4" t="s">
        <v>32</v>
      </c>
      <c r="J16" s="4" t="s">
        <v>829</v>
      </c>
      <c r="K16" s="4" t="s">
        <v>831</v>
      </c>
      <c r="L16" s="7"/>
      <c r="M16" s="7" t="s">
        <v>785</v>
      </c>
      <c r="N16" s="4" t="s">
        <v>830</v>
      </c>
      <c r="O16" s="66"/>
      <c r="P16" s="66"/>
      <c r="Q16" s="9" t="s">
        <v>773</v>
      </c>
      <c r="R16" s="17"/>
      <c r="S16" s="17"/>
      <c r="T16" s="17" t="s">
        <v>774</v>
      </c>
      <c r="U16" s="21">
        <v>200</v>
      </c>
      <c r="V16" s="21" t="s">
        <v>188</v>
      </c>
      <c r="W16" s="21"/>
      <c r="X16" s="21" t="s">
        <v>48</v>
      </c>
      <c r="Y16" s="63" t="b">
        <v>0</v>
      </c>
      <c r="Z16" s="21" t="s">
        <v>189</v>
      </c>
      <c r="AA16" s="21" t="s">
        <v>188</v>
      </c>
      <c r="AB16" s="21" t="s">
        <v>188</v>
      </c>
      <c r="AC16" s="21" t="s">
        <v>258</v>
      </c>
      <c r="AD16" s="63" t="b">
        <v>0</v>
      </c>
    </row>
  </sheetData>
  <pageMargins left="0.75" right="0.75" top="1" bottom="1" header="0.5" footer="0.5"/>
  <headerFooter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8"/>
  <sheetViews>
    <sheetView workbookViewId="0">
      <selection activeCell="H16" sqref="H16"/>
    </sheetView>
  </sheetViews>
  <sheetFormatPr defaultColWidth="9.14285714285714" defaultRowHeight="30" customHeight="1" outlineLevelRow="7"/>
  <cols>
    <col min="1" max="1" width="20.8571428571429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3" customWidth="1"/>
    <col min="14" max="16" width="17.8380952380952" style="1" customWidth="1"/>
    <col min="17" max="17" width="17.8380952380952" style="23" customWidth="1"/>
    <col min="18" max="20" width="17.8380952380952" style="1" customWidth="1"/>
    <col min="21" max="21" width="21.1428571428571" style="23" customWidth="1"/>
    <col min="22" max="22" width="24.7142857142857" style="1" customWidth="1"/>
    <col min="23" max="23" width="22.8571428571429" style="1" customWidth="1"/>
    <col min="24" max="24" width="27.2857142857143" style="1" customWidth="1"/>
    <col min="25" max="37" width="17.8380952380952" style="1" customWidth="1"/>
    <col min="38" max="38" width="17.8380952380952" style="23" customWidth="1"/>
    <col min="39" max="41" width="17.8380952380952" style="1" customWidth="1"/>
    <col min="42" max="42" width="31.4285714285714" style="1" customWidth="1"/>
    <col min="43" max="43" width="18.9428571428571" style="1" customWidth="1"/>
    <col min="44" max="16384" width="9.14285714285714" style="1"/>
  </cols>
  <sheetData>
    <row r="1" s="1" customFormat="1" ht="47" customHeight="1" spans="1:43">
      <c r="A1" s="2" t="s">
        <v>0</v>
      </c>
      <c r="B1" s="2" t="s">
        <v>1</v>
      </c>
      <c r="C1" s="2" t="s">
        <v>2</v>
      </c>
      <c r="D1" s="24" t="s">
        <v>3</v>
      </c>
      <c r="E1" s="30" t="s">
        <v>837</v>
      </c>
      <c r="F1" s="30" t="s">
        <v>838</v>
      </c>
      <c r="G1" s="30" t="s">
        <v>839</v>
      </c>
      <c r="H1" s="30" t="s">
        <v>840</v>
      </c>
      <c r="I1" s="30" t="s">
        <v>841</v>
      </c>
      <c r="J1" s="30" t="s">
        <v>842</v>
      </c>
      <c r="K1" s="30" t="s">
        <v>843</v>
      </c>
      <c r="L1" s="43" t="s">
        <v>844</v>
      </c>
      <c r="M1" s="44" t="s">
        <v>845</v>
      </c>
      <c r="N1" s="43" t="s">
        <v>846</v>
      </c>
      <c r="O1" s="43" t="s">
        <v>847</v>
      </c>
      <c r="P1" s="43" t="s">
        <v>848</v>
      </c>
      <c r="Q1" s="44" t="s">
        <v>849</v>
      </c>
      <c r="R1" s="47" t="s">
        <v>850</v>
      </c>
      <c r="S1" s="30" t="s">
        <v>851</v>
      </c>
      <c r="T1" s="30" t="s">
        <v>852</v>
      </c>
      <c r="U1" s="30" t="s">
        <v>853</v>
      </c>
      <c r="V1" s="48" t="s">
        <v>854</v>
      </c>
      <c r="W1" s="48" t="s">
        <v>855</v>
      </c>
      <c r="X1" s="30" t="s">
        <v>856</v>
      </c>
      <c r="Y1" s="30" t="s">
        <v>857</v>
      </c>
      <c r="Z1" s="30" t="s">
        <v>858</v>
      </c>
      <c r="AA1" s="48" t="s">
        <v>859</v>
      </c>
      <c r="AB1" s="48" t="s">
        <v>860</v>
      </c>
      <c r="AC1" s="48" t="s">
        <v>861</v>
      </c>
      <c r="AD1" s="30" t="s">
        <v>862</v>
      </c>
      <c r="AE1" s="30" t="s">
        <v>863</v>
      </c>
      <c r="AF1" s="30" t="s">
        <v>864</v>
      </c>
      <c r="AG1" s="30" t="s">
        <v>865</v>
      </c>
      <c r="AH1" s="30" t="s">
        <v>866</v>
      </c>
      <c r="AI1" s="30" t="s">
        <v>867</v>
      </c>
      <c r="AJ1" s="30" t="s">
        <v>868</v>
      </c>
      <c r="AK1" s="30" t="s">
        <v>869</v>
      </c>
      <c r="AL1" s="55" t="s">
        <v>870</v>
      </c>
      <c r="AM1" s="54" t="s">
        <v>871</v>
      </c>
      <c r="AN1" s="30" t="s">
        <v>872</v>
      </c>
      <c r="AO1" s="30" t="s">
        <v>873</v>
      </c>
      <c r="AP1" s="12" t="s">
        <v>15</v>
      </c>
      <c r="AQ1" s="10" t="s">
        <v>16</v>
      </c>
    </row>
    <row r="2" s="1" customFormat="1" customHeight="1" spans="1:43">
      <c r="A2" s="4" t="s">
        <v>874</v>
      </c>
      <c r="B2" s="7" t="s">
        <v>767</v>
      </c>
      <c r="C2" s="6" t="s">
        <v>29</v>
      </c>
      <c r="D2" s="17" t="s">
        <v>875</v>
      </c>
      <c r="E2" s="4" t="s">
        <v>173</v>
      </c>
      <c r="F2" s="4" t="s">
        <v>31</v>
      </c>
      <c r="G2" s="4" t="s">
        <v>32</v>
      </c>
      <c r="H2" s="4" t="s">
        <v>876</v>
      </c>
      <c r="I2" s="4" t="s">
        <v>770</v>
      </c>
      <c r="J2" s="4" t="s">
        <v>877</v>
      </c>
      <c r="K2" s="4" t="s">
        <v>878</v>
      </c>
      <c r="L2" s="4"/>
      <c r="M2" s="46"/>
      <c r="N2" s="4"/>
      <c r="O2" s="4"/>
      <c r="P2" s="4"/>
      <c r="Q2" s="46"/>
      <c r="R2" s="4"/>
      <c r="S2" s="4"/>
      <c r="T2" s="4" t="s">
        <v>179</v>
      </c>
      <c r="U2" s="4" t="s">
        <v>173</v>
      </c>
      <c r="V2" s="9" t="s">
        <v>769</v>
      </c>
      <c r="W2" s="4" t="s">
        <v>879</v>
      </c>
      <c r="X2" s="4" t="s">
        <v>880</v>
      </c>
      <c r="Y2" s="4" t="s">
        <v>881</v>
      </c>
      <c r="Z2" s="4" t="s">
        <v>881</v>
      </c>
      <c r="AA2" s="4" t="s">
        <v>882</v>
      </c>
      <c r="AB2" s="4" t="s">
        <v>883</v>
      </c>
      <c r="AC2" s="4" t="s">
        <v>884</v>
      </c>
      <c r="AD2" s="4" t="s">
        <v>885</v>
      </c>
      <c r="AE2" s="4" t="s">
        <v>185</v>
      </c>
      <c r="AF2" s="4" t="s">
        <v>773</v>
      </c>
      <c r="AG2" s="4" t="s">
        <v>772</v>
      </c>
      <c r="AH2" s="4" t="s">
        <v>886</v>
      </c>
      <c r="AI2" s="4" t="s">
        <v>33</v>
      </c>
      <c r="AJ2" s="4" t="s">
        <v>36</v>
      </c>
      <c r="AK2" s="4" t="s">
        <v>36</v>
      </c>
      <c r="AL2" s="46" t="s">
        <v>177</v>
      </c>
      <c r="AM2" s="4" t="s">
        <v>789</v>
      </c>
      <c r="AN2" s="4" t="s">
        <v>788</v>
      </c>
      <c r="AO2" s="4" t="s">
        <v>887</v>
      </c>
      <c r="AP2" s="17" t="s">
        <v>888</v>
      </c>
      <c r="AQ2" s="9">
        <v>200</v>
      </c>
    </row>
    <row r="3" customHeight="1" spans="1:43">
      <c r="A3" s="4" t="s">
        <v>889</v>
      </c>
      <c r="B3" s="7" t="s">
        <v>800</v>
      </c>
      <c r="C3" s="6" t="s">
        <v>29</v>
      </c>
      <c r="D3" s="17" t="s">
        <v>890</v>
      </c>
      <c r="E3" s="4" t="s">
        <v>173</v>
      </c>
      <c r="F3" s="4" t="s">
        <v>31</v>
      </c>
      <c r="G3" s="4" t="s">
        <v>32</v>
      </c>
      <c r="H3" s="4" t="s">
        <v>876</v>
      </c>
      <c r="I3" s="4" t="s">
        <v>770</v>
      </c>
      <c r="J3" s="4" t="s">
        <v>877</v>
      </c>
      <c r="K3" s="4" t="s">
        <v>878</v>
      </c>
      <c r="L3" s="4">
        <v>378</v>
      </c>
      <c r="M3" s="46" t="s">
        <v>177</v>
      </c>
      <c r="N3" s="46" t="s">
        <v>177</v>
      </c>
      <c r="O3" s="4">
        <v>1600000</v>
      </c>
      <c r="P3" s="4">
        <v>400000</v>
      </c>
      <c r="Q3" s="46" t="s">
        <v>256</v>
      </c>
      <c r="R3" s="4"/>
      <c r="S3" s="4"/>
      <c r="T3" s="4" t="s">
        <v>179</v>
      </c>
      <c r="U3" s="4" t="s">
        <v>173</v>
      </c>
      <c r="V3" s="9" t="s">
        <v>769</v>
      </c>
      <c r="W3" s="4" t="s">
        <v>879</v>
      </c>
      <c r="X3" s="4" t="s">
        <v>880</v>
      </c>
      <c r="Y3" s="4" t="s">
        <v>881</v>
      </c>
      <c r="Z3" s="4" t="s">
        <v>881</v>
      </c>
      <c r="AA3" s="4" t="s">
        <v>882</v>
      </c>
      <c r="AB3" s="4" t="s">
        <v>883</v>
      </c>
      <c r="AC3" s="4" t="s">
        <v>884</v>
      </c>
      <c r="AD3" s="4" t="s">
        <v>885</v>
      </c>
      <c r="AE3" s="4" t="s">
        <v>185</v>
      </c>
      <c r="AF3" s="4" t="s">
        <v>773</v>
      </c>
      <c r="AG3" s="4" t="s">
        <v>772</v>
      </c>
      <c r="AH3" s="4" t="s">
        <v>886</v>
      </c>
      <c r="AI3" s="4" t="s">
        <v>33</v>
      </c>
      <c r="AJ3" s="4" t="s">
        <v>36</v>
      </c>
      <c r="AK3" s="4" t="s">
        <v>36</v>
      </c>
      <c r="AL3" s="46" t="s">
        <v>177</v>
      </c>
      <c r="AM3" s="4" t="s">
        <v>789</v>
      </c>
      <c r="AN3" s="4" t="s">
        <v>788</v>
      </c>
      <c r="AO3" s="4" t="s">
        <v>891</v>
      </c>
      <c r="AP3" s="17" t="s">
        <v>888</v>
      </c>
      <c r="AQ3" s="9">
        <v>200</v>
      </c>
    </row>
    <row r="4" s="1" customFormat="1" customHeight="1" spans="1:43">
      <c r="A4" s="4" t="s">
        <v>892</v>
      </c>
      <c r="B4" s="7" t="s">
        <v>893</v>
      </c>
      <c r="C4" s="6" t="s">
        <v>29</v>
      </c>
      <c r="D4" s="17" t="s">
        <v>875</v>
      </c>
      <c r="E4" s="4" t="s">
        <v>173</v>
      </c>
      <c r="F4" s="4" t="s">
        <v>31</v>
      </c>
      <c r="G4" s="4" t="s">
        <v>32</v>
      </c>
      <c r="H4" s="4" t="s">
        <v>876</v>
      </c>
      <c r="I4" s="4" t="s">
        <v>770</v>
      </c>
      <c r="J4" s="4" t="s">
        <v>877</v>
      </c>
      <c r="K4" s="4" t="s">
        <v>878</v>
      </c>
      <c r="L4" s="4"/>
      <c r="M4" s="46"/>
      <c r="N4" s="4"/>
      <c r="O4" s="4"/>
      <c r="P4" s="4"/>
      <c r="Q4" s="46"/>
      <c r="R4" s="4"/>
      <c r="S4" s="4"/>
      <c r="T4" s="4" t="s">
        <v>179</v>
      </c>
      <c r="U4" s="4" t="s">
        <v>173</v>
      </c>
      <c r="V4" s="9" t="s">
        <v>769</v>
      </c>
      <c r="W4" s="4" t="s">
        <v>879</v>
      </c>
      <c r="X4" s="4" t="s">
        <v>777</v>
      </c>
      <c r="Y4" s="127" t="s">
        <v>51</v>
      </c>
      <c r="Z4" s="127" t="s">
        <v>51</v>
      </c>
      <c r="AA4" s="4" t="s">
        <v>882</v>
      </c>
      <c r="AB4" s="4" t="s">
        <v>883</v>
      </c>
      <c r="AC4" s="4" t="s">
        <v>884</v>
      </c>
      <c r="AD4" s="4" t="s">
        <v>885</v>
      </c>
      <c r="AE4" s="4" t="s">
        <v>185</v>
      </c>
      <c r="AF4" s="4" t="s">
        <v>773</v>
      </c>
      <c r="AG4" s="4" t="s">
        <v>772</v>
      </c>
      <c r="AH4" s="4" t="s">
        <v>886</v>
      </c>
      <c r="AI4" s="4" t="s">
        <v>33</v>
      </c>
      <c r="AJ4" s="4" t="s">
        <v>36</v>
      </c>
      <c r="AK4" s="4" t="s">
        <v>36</v>
      </c>
      <c r="AL4" s="46" t="s">
        <v>177</v>
      </c>
      <c r="AM4" s="4" t="s">
        <v>789</v>
      </c>
      <c r="AN4" s="4" t="s">
        <v>788</v>
      </c>
      <c r="AO4" s="4" t="s">
        <v>887</v>
      </c>
      <c r="AP4" s="17" t="s">
        <v>888</v>
      </c>
      <c r="AQ4" s="9">
        <v>200</v>
      </c>
    </row>
    <row r="5" customHeight="1" spans="1:43">
      <c r="A5" s="4" t="s">
        <v>894</v>
      </c>
      <c r="B5" s="7" t="s">
        <v>895</v>
      </c>
      <c r="C5" s="6" t="s">
        <v>29</v>
      </c>
      <c r="D5" s="17" t="s">
        <v>890</v>
      </c>
      <c r="E5" s="4" t="s">
        <v>173</v>
      </c>
      <c r="F5" s="4" t="s">
        <v>31</v>
      </c>
      <c r="G5" s="4" t="s">
        <v>32</v>
      </c>
      <c r="H5" s="4" t="s">
        <v>876</v>
      </c>
      <c r="I5" s="4" t="s">
        <v>770</v>
      </c>
      <c r="J5" s="4" t="s">
        <v>877</v>
      </c>
      <c r="K5" s="4" t="s">
        <v>878</v>
      </c>
      <c r="L5" s="4">
        <v>378</v>
      </c>
      <c r="M5" s="46" t="s">
        <v>177</v>
      </c>
      <c r="N5" s="46" t="s">
        <v>177</v>
      </c>
      <c r="O5" s="4">
        <v>1600000</v>
      </c>
      <c r="P5" s="4">
        <v>400000</v>
      </c>
      <c r="Q5" s="46" t="s">
        <v>256</v>
      </c>
      <c r="R5" s="4"/>
      <c r="S5" s="4"/>
      <c r="T5" s="4" t="s">
        <v>179</v>
      </c>
      <c r="U5" s="4" t="s">
        <v>173</v>
      </c>
      <c r="V5" s="9" t="s">
        <v>769</v>
      </c>
      <c r="W5" s="4" t="s">
        <v>879</v>
      </c>
      <c r="X5" s="4" t="s">
        <v>777</v>
      </c>
      <c r="Y5" s="127" t="s">
        <v>51</v>
      </c>
      <c r="Z5" s="127" t="s">
        <v>51</v>
      </c>
      <c r="AA5" s="4" t="s">
        <v>882</v>
      </c>
      <c r="AB5" s="4" t="s">
        <v>883</v>
      </c>
      <c r="AC5" s="4" t="s">
        <v>884</v>
      </c>
      <c r="AD5" s="4" t="s">
        <v>885</v>
      </c>
      <c r="AE5" s="4" t="s">
        <v>185</v>
      </c>
      <c r="AF5" s="4" t="s">
        <v>773</v>
      </c>
      <c r="AG5" s="4" t="s">
        <v>772</v>
      </c>
      <c r="AH5" s="4" t="s">
        <v>886</v>
      </c>
      <c r="AI5" s="4" t="s">
        <v>33</v>
      </c>
      <c r="AJ5" s="4" t="s">
        <v>36</v>
      </c>
      <c r="AK5" s="4" t="s">
        <v>36</v>
      </c>
      <c r="AL5" s="46" t="s">
        <v>177</v>
      </c>
      <c r="AM5" s="4" t="s">
        <v>789</v>
      </c>
      <c r="AN5" s="4" t="s">
        <v>788</v>
      </c>
      <c r="AO5" s="4" t="s">
        <v>891</v>
      </c>
      <c r="AP5" s="17" t="s">
        <v>888</v>
      </c>
      <c r="AQ5" s="9">
        <v>200</v>
      </c>
    </row>
    <row r="6" s="29" customFormat="1" ht="24" customHeight="1" spans="1:66">
      <c r="A6" s="35"/>
      <c r="B6" s="36" t="s">
        <v>896</v>
      </c>
      <c r="C6" s="37"/>
      <c r="D6" s="37"/>
      <c r="E6" s="38"/>
      <c r="F6" s="38"/>
      <c r="G6" s="38"/>
      <c r="H6" s="38"/>
      <c r="I6" s="38"/>
      <c r="J6" s="38"/>
      <c r="K6" s="38"/>
      <c r="L6" s="38"/>
      <c r="M6" s="45"/>
      <c r="N6" s="45"/>
      <c r="O6" s="38"/>
      <c r="P6" s="38"/>
      <c r="Q6" s="38"/>
      <c r="R6" s="38"/>
      <c r="S6" s="38"/>
      <c r="T6" s="38"/>
      <c r="U6" s="45"/>
      <c r="V6" s="38"/>
      <c r="W6" s="45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54"/>
      <c r="AL6" s="54"/>
      <c r="AM6" s="54"/>
      <c r="AN6" s="54"/>
      <c r="AO6" s="38"/>
      <c r="AP6" s="38"/>
      <c r="AQ6" s="38"/>
      <c r="AR6" s="38"/>
      <c r="AS6" s="38"/>
      <c r="AT6" s="38"/>
      <c r="AU6" s="38"/>
      <c r="AV6" s="38"/>
      <c r="AW6" s="38"/>
      <c r="AX6" s="38"/>
      <c r="AY6" s="38"/>
      <c r="AZ6" s="38"/>
      <c r="BA6" s="38"/>
      <c r="BB6" s="61"/>
      <c r="BC6" s="62"/>
      <c r="BD6" s="21"/>
      <c r="BE6" s="21"/>
      <c r="BF6" s="21"/>
      <c r="BG6" s="21"/>
      <c r="BH6" s="21"/>
      <c r="BI6" s="63"/>
      <c r="BJ6" s="21"/>
      <c r="BK6" s="21"/>
      <c r="BL6" s="21"/>
      <c r="BM6" s="21"/>
      <c r="BN6" s="63"/>
    </row>
    <row r="7" s="1" customFormat="1" customHeight="1" spans="1:43">
      <c r="A7" s="4" t="s">
        <v>897</v>
      </c>
      <c r="B7" s="7" t="s">
        <v>898</v>
      </c>
      <c r="C7" s="6" t="s">
        <v>29</v>
      </c>
      <c r="D7" s="17" t="s">
        <v>875</v>
      </c>
      <c r="E7" s="4" t="s">
        <v>173</v>
      </c>
      <c r="F7" s="4" t="s">
        <v>31</v>
      </c>
      <c r="G7" s="4" t="s">
        <v>32</v>
      </c>
      <c r="H7" s="4" t="s">
        <v>876</v>
      </c>
      <c r="I7" s="4" t="s">
        <v>770</v>
      </c>
      <c r="J7" s="4" t="s">
        <v>877</v>
      </c>
      <c r="K7" s="4" t="s">
        <v>878</v>
      </c>
      <c r="L7" s="4"/>
      <c r="M7" s="46"/>
      <c r="N7" s="4"/>
      <c r="O7" s="4"/>
      <c r="P7" s="4"/>
      <c r="Q7" s="46"/>
      <c r="R7" s="4"/>
      <c r="S7" s="4"/>
      <c r="T7" s="4" t="s">
        <v>179</v>
      </c>
      <c r="U7" s="4" t="s">
        <v>173</v>
      </c>
      <c r="V7" s="9" t="s">
        <v>769</v>
      </c>
      <c r="W7" s="4" t="s">
        <v>879</v>
      </c>
      <c r="X7" s="4" t="s">
        <v>777</v>
      </c>
      <c r="Y7" s="4" t="s">
        <v>881</v>
      </c>
      <c r="Z7" s="4" t="s">
        <v>881</v>
      </c>
      <c r="AA7" s="4" t="s">
        <v>882</v>
      </c>
      <c r="AB7" s="4" t="s">
        <v>883</v>
      </c>
      <c r="AC7" s="4" t="s">
        <v>884</v>
      </c>
      <c r="AD7" s="4" t="s">
        <v>885</v>
      </c>
      <c r="AE7" s="4" t="s">
        <v>185</v>
      </c>
      <c r="AF7" s="4" t="s">
        <v>773</v>
      </c>
      <c r="AG7" s="4" t="s">
        <v>772</v>
      </c>
      <c r="AH7" s="4" t="s">
        <v>886</v>
      </c>
      <c r="AI7" s="4" t="s">
        <v>33</v>
      </c>
      <c r="AJ7" s="4" t="s">
        <v>36</v>
      </c>
      <c r="AK7" s="4" t="s">
        <v>36</v>
      </c>
      <c r="AL7" s="46" t="s">
        <v>256</v>
      </c>
      <c r="AM7" s="4" t="s">
        <v>789</v>
      </c>
      <c r="AN7" s="4" t="s">
        <v>788</v>
      </c>
      <c r="AO7" s="4" t="s">
        <v>887</v>
      </c>
      <c r="AP7" s="17" t="s">
        <v>888</v>
      </c>
      <c r="AQ7" s="9">
        <v>200</v>
      </c>
    </row>
    <row r="8" s="1" customFormat="1" customHeight="1" spans="1:43">
      <c r="A8" s="4" t="s">
        <v>899</v>
      </c>
      <c r="B8" s="7" t="s">
        <v>900</v>
      </c>
      <c r="C8" s="6" t="s">
        <v>29</v>
      </c>
      <c r="D8" s="17" t="s">
        <v>890</v>
      </c>
      <c r="E8" s="4" t="s">
        <v>173</v>
      </c>
      <c r="F8" s="4" t="s">
        <v>31</v>
      </c>
      <c r="G8" s="4" t="s">
        <v>32</v>
      </c>
      <c r="H8" s="4" t="s">
        <v>876</v>
      </c>
      <c r="I8" s="4" t="s">
        <v>770</v>
      </c>
      <c r="J8" s="4" t="s">
        <v>877</v>
      </c>
      <c r="K8" s="4" t="s">
        <v>878</v>
      </c>
      <c r="L8" s="4">
        <v>378</v>
      </c>
      <c r="M8" s="46" t="s">
        <v>177</v>
      </c>
      <c r="N8" s="46" t="s">
        <v>177</v>
      </c>
      <c r="O8" s="4">
        <v>1600000</v>
      </c>
      <c r="P8" s="4">
        <v>400000</v>
      </c>
      <c r="Q8" s="46" t="s">
        <v>256</v>
      </c>
      <c r="R8" s="4">
        <v>100000</v>
      </c>
      <c r="S8" s="4"/>
      <c r="T8" s="4" t="s">
        <v>179</v>
      </c>
      <c r="U8" s="4" t="s">
        <v>173</v>
      </c>
      <c r="V8" s="9" t="s">
        <v>769</v>
      </c>
      <c r="W8" s="4" t="s">
        <v>879</v>
      </c>
      <c r="X8" s="4" t="s">
        <v>777</v>
      </c>
      <c r="Y8" s="4" t="s">
        <v>881</v>
      </c>
      <c r="Z8" s="4" t="s">
        <v>881</v>
      </c>
      <c r="AA8" s="4" t="s">
        <v>882</v>
      </c>
      <c r="AB8" s="4" t="s">
        <v>883</v>
      </c>
      <c r="AC8" s="4" t="s">
        <v>884</v>
      </c>
      <c r="AD8" s="4" t="s">
        <v>885</v>
      </c>
      <c r="AE8" s="4" t="s">
        <v>185</v>
      </c>
      <c r="AF8" s="4" t="s">
        <v>773</v>
      </c>
      <c r="AG8" s="4" t="s">
        <v>772</v>
      </c>
      <c r="AH8" s="4" t="s">
        <v>886</v>
      </c>
      <c r="AI8" s="4" t="s">
        <v>33</v>
      </c>
      <c r="AJ8" s="4" t="s">
        <v>36</v>
      </c>
      <c r="AK8" s="4" t="s">
        <v>36</v>
      </c>
      <c r="AL8" s="46" t="s">
        <v>256</v>
      </c>
      <c r="AM8" s="4" t="s">
        <v>789</v>
      </c>
      <c r="AN8" s="4" t="s">
        <v>788</v>
      </c>
      <c r="AO8" s="4" t="s">
        <v>891</v>
      </c>
      <c r="AP8" s="17" t="s">
        <v>888</v>
      </c>
      <c r="AQ8" s="9">
        <v>200</v>
      </c>
    </row>
  </sheetData>
  <mergeCells count="1">
    <mergeCell ref="B6:D6"/>
  </mergeCell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27"/>
  <sheetViews>
    <sheetView tabSelected="1" topLeftCell="AA1" workbookViewId="0">
      <pane ySplit="1" topLeftCell="A2" activePane="bottomLeft" state="frozen"/>
      <selection/>
      <selection pane="bottomLeft" activeCell="AK10" sqref="AK10"/>
    </sheetView>
  </sheetViews>
  <sheetFormatPr defaultColWidth="9.14285714285714" defaultRowHeight="30" customHeight="1"/>
  <cols>
    <col min="1" max="1" width="22.4285714285714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3" customWidth="1"/>
    <col min="14" max="16" width="17.8380952380952" style="1" customWidth="1"/>
    <col min="17" max="17" width="17.8380952380952" style="23" customWidth="1"/>
    <col min="18" max="20" width="17.8380952380952" style="1" customWidth="1"/>
    <col min="21" max="21" width="21.1428571428571" style="23" customWidth="1"/>
    <col min="22" max="22" width="24.7142857142857" style="1" customWidth="1"/>
    <col min="23" max="23" width="22.8571428571429" style="1" customWidth="1"/>
    <col min="24" max="24" width="27.2857142857143" style="1" customWidth="1"/>
    <col min="25" max="37" width="17.8380952380952" style="1" customWidth="1"/>
    <col min="38" max="39" width="17.8380952380952" style="23" customWidth="1"/>
    <col min="40" max="42" width="17.8380952380952" style="1" customWidth="1"/>
    <col min="43" max="43" width="31.4285714285714" style="1" customWidth="1"/>
    <col min="44" max="44" width="18.9428571428571" style="1" customWidth="1"/>
    <col min="45" max="16384" width="9.14285714285714" style="1"/>
  </cols>
  <sheetData>
    <row r="1" s="1" customFormat="1" ht="47" customHeight="1" spans="1:44">
      <c r="A1" s="2" t="s">
        <v>0</v>
      </c>
      <c r="B1" s="2" t="s">
        <v>1</v>
      </c>
      <c r="C1" s="2" t="s">
        <v>2</v>
      </c>
      <c r="D1" s="24" t="s">
        <v>3</v>
      </c>
      <c r="E1" s="30" t="s">
        <v>837</v>
      </c>
      <c r="F1" s="30" t="s">
        <v>838</v>
      </c>
      <c r="G1" s="30" t="s">
        <v>839</v>
      </c>
      <c r="H1" s="30" t="s">
        <v>840</v>
      </c>
      <c r="I1" s="30" t="s">
        <v>841</v>
      </c>
      <c r="J1" s="30" t="s">
        <v>842</v>
      </c>
      <c r="K1" s="30" t="s">
        <v>843</v>
      </c>
      <c r="L1" s="43" t="s">
        <v>844</v>
      </c>
      <c r="M1" s="44" t="s">
        <v>845</v>
      </c>
      <c r="N1" s="43" t="s">
        <v>846</v>
      </c>
      <c r="O1" s="43" t="s">
        <v>847</v>
      </c>
      <c r="P1" s="43" t="s">
        <v>848</v>
      </c>
      <c r="Q1" s="44" t="s">
        <v>849</v>
      </c>
      <c r="R1" s="47" t="s">
        <v>850</v>
      </c>
      <c r="S1" s="30" t="s">
        <v>851</v>
      </c>
      <c r="T1" s="30" t="s">
        <v>852</v>
      </c>
      <c r="U1" s="30" t="s">
        <v>853</v>
      </c>
      <c r="V1" s="48" t="s">
        <v>854</v>
      </c>
      <c r="W1" s="48" t="s">
        <v>855</v>
      </c>
      <c r="X1" s="30" t="s">
        <v>856</v>
      </c>
      <c r="Y1" s="30" t="s">
        <v>857</v>
      </c>
      <c r="Z1" s="30" t="s">
        <v>858</v>
      </c>
      <c r="AA1" s="48" t="s">
        <v>859</v>
      </c>
      <c r="AB1" s="48" t="s">
        <v>860</v>
      </c>
      <c r="AC1" s="48" t="s">
        <v>861</v>
      </c>
      <c r="AD1" s="30" t="s">
        <v>862</v>
      </c>
      <c r="AE1" s="30" t="s">
        <v>863</v>
      </c>
      <c r="AF1" s="30" t="s">
        <v>864</v>
      </c>
      <c r="AG1" s="30" t="s">
        <v>865</v>
      </c>
      <c r="AH1" s="30" t="s">
        <v>866</v>
      </c>
      <c r="AI1" s="30" t="s">
        <v>867</v>
      </c>
      <c r="AJ1" s="30" t="s">
        <v>868</v>
      </c>
      <c r="AK1" s="54" t="s">
        <v>901</v>
      </c>
      <c r="AL1" s="54" t="s">
        <v>902</v>
      </c>
      <c r="AM1" s="55" t="s">
        <v>870</v>
      </c>
      <c r="AN1" s="54" t="s">
        <v>871</v>
      </c>
      <c r="AO1" s="30" t="s">
        <v>872</v>
      </c>
      <c r="AP1" s="30" t="s">
        <v>873</v>
      </c>
      <c r="AQ1" s="12" t="s">
        <v>15</v>
      </c>
      <c r="AR1" s="10" t="s">
        <v>16</v>
      </c>
    </row>
    <row r="2" s="28" customFormat="1" ht="21" customHeight="1" spans="1:53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0"/>
      <c r="X2" s="51"/>
      <c r="Y2" s="50"/>
      <c r="Z2" s="50"/>
      <c r="AA2" s="50"/>
      <c r="AB2" s="50"/>
      <c r="AC2" s="52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</row>
    <row r="3" s="29" customFormat="1" ht="24" customHeight="1" spans="1:44">
      <c r="A3" s="35"/>
      <c r="B3" s="36" t="s">
        <v>69</v>
      </c>
      <c r="C3" s="37"/>
      <c r="D3" s="37"/>
      <c r="E3" s="38"/>
      <c r="F3" s="38"/>
      <c r="G3" s="38"/>
      <c r="H3" s="38"/>
      <c r="I3" s="38"/>
      <c r="J3" s="38"/>
      <c r="K3" s="38"/>
      <c r="L3" s="38"/>
      <c r="M3" s="45"/>
      <c r="N3" s="45"/>
      <c r="O3" s="38"/>
      <c r="P3" s="38"/>
      <c r="Q3" s="38"/>
      <c r="R3" s="38"/>
      <c r="S3" s="38"/>
      <c r="T3" s="38"/>
      <c r="U3" s="45"/>
      <c r="V3" s="38"/>
      <c r="W3" s="45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54"/>
      <c r="AL3" s="54"/>
      <c r="AM3" s="54"/>
      <c r="AN3" s="54"/>
      <c r="AO3" s="38"/>
      <c r="AP3" s="38"/>
      <c r="AQ3" s="38"/>
      <c r="AR3" s="38"/>
    </row>
    <row r="4" s="1" customFormat="1" customHeight="1" spans="1:44">
      <c r="A4" s="4" t="s">
        <v>903</v>
      </c>
      <c r="B4" s="7" t="s">
        <v>904</v>
      </c>
      <c r="C4" s="6" t="s">
        <v>29</v>
      </c>
      <c r="D4" s="17" t="s">
        <v>905</v>
      </c>
      <c r="E4" s="4" t="s">
        <v>173</v>
      </c>
      <c r="F4" s="4" t="s">
        <v>31</v>
      </c>
      <c r="G4" s="4" t="s">
        <v>32</v>
      </c>
      <c r="H4" s="4" t="s">
        <v>876</v>
      </c>
      <c r="I4" s="4" t="s">
        <v>770</v>
      </c>
      <c r="J4" s="4" t="s">
        <v>877</v>
      </c>
      <c r="K4" s="4" t="s">
        <v>878</v>
      </c>
      <c r="L4" s="4"/>
      <c r="M4" s="46"/>
      <c r="N4" s="4"/>
      <c r="O4" s="4"/>
      <c r="P4" s="4"/>
      <c r="Q4" s="46"/>
      <c r="R4" s="4"/>
      <c r="S4" s="4"/>
      <c r="T4" s="4" t="s">
        <v>179</v>
      </c>
      <c r="U4" s="4" t="s">
        <v>173</v>
      </c>
      <c r="V4" s="9" t="s">
        <v>769</v>
      </c>
      <c r="W4" s="4" t="s">
        <v>879</v>
      </c>
      <c r="X4" s="4" t="s">
        <v>777</v>
      </c>
      <c r="Y4" s="4" t="s">
        <v>881</v>
      </c>
      <c r="Z4" s="4" t="s">
        <v>881</v>
      </c>
      <c r="AA4" s="4" t="s">
        <v>882</v>
      </c>
      <c r="AB4" s="4" t="s">
        <v>883</v>
      </c>
      <c r="AC4" s="4" t="s">
        <v>884</v>
      </c>
      <c r="AD4" s="4" t="s">
        <v>885</v>
      </c>
      <c r="AE4" s="4" t="s">
        <v>185</v>
      </c>
      <c r="AF4" s="4" t="s">
        <v>773</v>
      </c>
      <c r="AG4" s="4" t="s">
        <v>772</v>
      </c>
      <c r="AH4" s="4" t="s">
        <v>886</v>
      </c>
      <c r="AI4" s="4" t="s">
        <v>33</v>
      </c>
      <c r="AJ4" s="4" t="s">
        <v>36</v>
      </c>
      <c r="AK4" s="56">
        <v>61373</v>
      </c>
      <c r="AL4" s="57" t="s">
        <v>73</v>
      </c>
      <c r="AM4" s="46" t="s">
        <v>256</v>
      </c>
      <c r="AN4" s="4" t="s">
        <v>789</v>
      </c>
      <c r="AO4" s="4" t="s">
        <v>788</v>
      </c>
      <c r="AP4" s="4" t="s">
        <v>887</v>
      </c>
      <c r="AQ4" s="17" t="s">
        <v>888</v>
      </c>
      <c r="AR4" s="9">
        <v>200</v>
      </c>
    </row>
    <row r="5" s="29" customFormat="1" ht="24" customHeight="1" spans="1:44">
      <c r="A5" s="35"/>
      <c r="B5" s="39" t="s">
        <v>74</v>
      </c>
      <c r="C5" s="40"/>
      <c r="D5" s="40"/>
      <c r="E5" s="40"/>
      <c r="F5" s="41"/>
      <c r="G5" s="38"/>
      <c r="H5" s="38"/>
      <c r="I5" s="38"/>
      <c r="J5" s="38"/>
      <c r="K5" s="38"/>
      <c r="L5" s="38"/>
      <c r="M5" s="45"/>
      <c r="N5" s="45"/>
      <c r="O5" s="38"/>
      <c r="P5" s="38"/>
      <c r="Q5" s="38"/>
      <c r="R5" s="38"/>
      <c r="S5" s="38"/>
      <c r="T5" s="38"/>
      <c r="U5" s="45"/>
      <c r="V5" s="38"/>
      <c r="W5" s="45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54"/>
      <c r="AL5" s="54"/>
      <c r="AM5" s="54"/>
      <c r="AN5" s="54"/>
      <c r="AO5" s="38"/>
      <c r="AP5" s="38"/>
      <c r="AQ5" s="38"/>
      <c r="AR5" s="38"/>
    </row>
    <row r="6" s="1" customFormat="1" customHeight="1" spans="1:44">
      <c r="A6" s="4" t="s">
        <v>906</v>
      </c>
      <c r="B6" s="7" t="s">
        <v>904</v>
      </c>
      <c r="C6" s="42" t="s">
        <v>29</v>
      </c>
      <c r="D6" s="7" t="s">
        <v>905</v>
      </c>
      <c r="E6" s="4" t="s">
        <v>173</v>
      </c>
      <c r="F6" s="4" t="s">
        <v>31</v>
      </c>
      <c r="G6" s="4" t="s">
        <v>32</v>
      </c>
      <c r="H6" s="4" t="s">
        <v>876</v>
      </c>
      <c r="I6" s="4" t="s">
        <v>770</v>
      </c>
      <c r="J6" s="4" t="s">
        <v>877</v>
      </c>
      <c r="K6" s="4" t="s">
        <v>878</v>
      </c>
      <c r="L6" s="4"/>
      <c r="M6" s="46"/>
      <c r="N6" s="4"/>
      <c r="O6" s="4"/>
      <c r="P6" s="4"/>
      <c r="Q6" s="46"/>
      <c r="R6" s="4"/>
      <c r="S6" s="4"/>
      <c r="T6" s="4" t="s">
        <v>179</v>
      </c>
      <c r="U6" s="4" t="s">
        <v>173</v>
      </c>
      <c r="V6" s="9" t="s">
        <v>769</v>
      </c>
      <c r="W6" s="4" t="s">
        <v>879</v>
      </c>
      <c r="X6" s="4" t="s">
        <v>777</v>
      </c>
      <c r="Y6" s="4" t="s">
        <v>881</v>
      </c>
      <c r="Z6" s="4" t="s">
        <v>881</v>
      </c>
      <c r="AA6" s="4" t="s">
        <v>882</v>
      </c>
      <c r="AB6" s="4" t="s">
        <v>883</v>
      </c>
      <c r="AC6" s="4" t="s">
        <v>884</v>
      </c>
      <c r="AD6" s="4" t="s">
        <v>885</v>
      </c>
      <c r="AE6" s="4" t="s">
        <v>185</v>
      </c>
      <c r="AF6" s="4" t="s">
        <v>773</v>
      </c>
      <c r="AG6" s="4" t="s">
        <v>772</v>
      </c>
      <c r="AH6" s="4" t="s">
        <v>886</v>
      </c>
      <c r="AI6" s="4" t="s">
        <v>33</v>
      </c>
      <c r="AJ6" s="4" t="s">
        <v>36</v>
      </c>
      <c r="AK6" s="58">
        <v>61375</v>
      </c>
      <c r="AL6" s="57" t="s">
        <v>77</v>
      </c>
      <c r="AM6" s="46" t="s">
        <v>256</v>
      </c>
      <c r="AN6" s="4" t="s">
        <v>789</v>
      </c>
      <c r="AO6" s="4" t="s">
        <v>788</v>
      </c>
      <c r="AP6" s="4" t="s">
        <v>887</v>
      </c>
      <c r="AQ6" s="17" t="s">
        <v>888</v>
      </c>
      <c r="AR6" s="9">
        <v>200</v>
      </c>
    </row>
    <row r="7" s="29" customFormat="1" ht="24" customHeight="1" spans="1:44">
      <c r="A7" s="35"/>
      <c r="B7" s="39" t="s">
        <v>369</v>
      </c>
      <c r="C7" s="40"/>
      <c r="D7" s="40"/>
      <c r="E7" s="40"/>
      <c r="F7" s="41"/>
      <c r="G7" s="38"/>
      <c r="H7" s="38"/>
      <c r="I7" s="38"/>
      <c r="J7" s="38"/>
      <c r="K7" s="38"/>
      <c r="L7" s="38"/>
      <c r="M7" s="45"/>
      <c r="N7" s="45"/>
      <c r="O7" s="38"/>
      <c r="P7" s="38"/>
      <c r="Q7" s="38"/>
      <c r="R7" s="38"/>
      <c r="S7" s="38"/>
      <c r="T7" s="38"/>
      <c r="U7" s="45"/>
      <c r="V7" s="38"/>
      <c r="W7" s="45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54"/>
      <c r="AL7" s="54"/>
      <c r="AM7" s="54"/>
      <c r="AN7" s="54"/>
      <c r="AO7" s="38"/>
      <c r="AP7" s="38"/>
      <c r="AQ7" s="38"/>
      <c r="AR7" s="38"/>
    </row>
    <row r="8" s="1" customFormat="1" customHeight="1" spans="1:44">
      <c r="A8" s="4" t="s">
        <v>907</v>
      </c>
      <c r="B8" s="7" t="s">
        <v>908</v>
      </c>
      <c r="C8" s="42" t="s">
        <v>29</v>
      </c>
      <c r="D8" s="7" t="s">
        <v>905</v>
      </c>
      <c r="E8" s="4" t="s">
        <v>173</v>
      </c>
      <c r="F8" s="4" t="s">
        <v>31</v>
      </c>
      <c r="G8" s="4" t="s">
        <v>32</v>
      </c>
      <c r="H8" s="4" t="s">
        <v>876</v>
      </c>
      <c r="I8" s="4" t="s">
        <v>770</v>
      </c>
      <c r="J8" s="4" t="s">
        <v>877</v>
      </c>
      <c r="K8" s="4" t="s">
        <v>878</v>
      </c>
      <c r="L8" s="4"/>
      <c r="M8" s="46"/>
      <c r="N8" s="4"/>
      <c r="O8" s="4"/>
      <c r="P8" s="4"/>
      <c r="Q8" s="46"/>
      <c r="R8" s="4"/>
      <c r="S8" s="4"/>
      <c r="T8" s="4" t="s">
        <v>179</v>
      </c>
      <c r="U8" s="4" t="s">
        <v>173</v>
      </c>
      <c r="V8" s="9" t="s">
        <v>769</v>
      </c>
      <c r="W8" s="4" t="s">
        <v>879</v>
      </c>
      <c r="X8" s="4" t="s">
        <v>777</v>
      </c>
      <c r="Y8" s="4" t="s">
        <v>881</v>
      </c>
      <c r="Z8" s="4" t="s">
        <v>881</v>
      </c>
      <c r="AA8" s="4" t="s">
        <v>882</v>
      </c>
      <c r="AB8" s="4" t="s">
        <v>883</v>
      </c>
      <c r="AC8" s="4" t="s">
        <v>884</v>
      </c>
      <c r="AD8" s="4" t="s">
        <v>885</v>
      </c>
      <c r="AE8" s="4" t="s">
        <v>185</v>
      </c>
      <c r="AF8" s="4" t="s">
        <v>773</v>
      </c>
      <c r="AG8" s="4" t="s">
        <v>772</v>
      </c>
      <c r="AH8" s="4" t="s">
        <v>886</v>
      </c>
      <c r="AI8" s="4" t="s">
        <v>33</v>
      </c>
      <c r="AJ8" s="4" t="s">
        <v>36</v>
      </c>
      <c r="AK8" s="59">
        <v>61377</v>
      </c>
      <c r="AL8" s="60" t="s">
        <v>81</v>
      </c>
      <c r="AM8" s="46" t="s">
        <v>256</v>
      </c>
      <c r="AN8" s="4" t="s">
        <v>789</v>
      </c>
      <c r="AO8" s="4" t="s">
        <v>788</v>
      </c>
      <c r="AP8" s="4" t="s">
        <v>887</v>
      </c>
      <c r="AQ8" s="17" t="s">
        <v>888</v>
      </c>
      <c r="AR8" s="9">
        <v>200</v>
      </c>
    </row>
    <row r="9" s="29" customFormat="1" ht="24" customHeight="1" spans="1:44">
      <c r="A9" s="35"/>
      <c r="B9" s="39" t="s">
        <v>376</v>
      </c>
      <c r="C9" s="40"/>
      <c r="D9" s="40"/>
      <c r="E9" s="40"/>
      <c r="F9" s="41"/>
      <c r="G9" s="38"/>
      <c r="H9" s="38"/>
      <c r="I9" s="38"/>
      <c r="J9" s="38"/>
      <c r="K9" s="38"/>
      <c r="L9" s="38"/>
      <c r="M9" s="45"/>
      <c r="N9" s="45"/>
      <c r="O9" s="38"/>
      <c r="P9" s="38"/>
      <c r="Q9" s="38"/>
      <c r="R9" s="38"/>
      <c r="S9" s="38"/>
      <c r="T9" s="38"/>
      <c r="U9" s="45"/>
      <c r="V9" s="38"/>
      <c r="W9" s="45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54"/>
      <c r="AL9" s="54"/>
      <c r="AM9" s="54"/>
      <c r="AN9" s="54"/>
      <c r="AO9" s="38"/>
      <c r="AP9" s="38"/>
      <c r="AQ9" s="38"/>
      <c r="AR9" s="38"/>
    </row>
    <row r="10" s="1" customFormat="1" customHeight="1" spans="1:44">
      <c r="A10" s="4" t="s">
        <v>909</v>
      </c>
      <c r="B10" s="7" t="s">
        <v>910</v>
      </c>
      <c r="C10" s="42" t="s">
        <v>29</v>
      </c>
      <c r="D10" s="7" t="s">
        <v>905</v>
      </c>
      <c r="E10" s="4" t="s">
        <v>173</v>
      </c>
      <c r="F10" s="4" t="s">
        <v>31</v>
      </c>
      <c r="G10" s="4" t="s">
        <v>32</v>
      </c>
      <c r="H10" s="4" t="s">
        <v>876</v>
      </c>
      <c r="I10" s="4" t="s">
        <v>770</v>
      </c>
      <c r="J10" s="4" t="s">
        <v>877</v>
      </c>
      <c r="K10" s="4" t="s">
        <v>878</v>
      </c>
      <c r="L10" s="4"/>
      <c r="M10" s="46"/>
      <c r="N10" s="4"/>
      <c r="O10" s="4"/>
      <c r="P10" s="4"/>
      <c r="Q10" s="46"/>
      <c r="R10" s="4"/>
      <c r="S10" s="4"/>
      <c r="T10" s="4" t="s">
        <v>179</v>
      </c>
      <c r="U10" s="4" t="s">
        <v>173</v>
      </c>
      <c r="V10" s="9" t="s">
        <v>769</v>
      </c>
      <c r="W10" s="4" t="s">
        <v>879</v>
      </c>
      <c r="X10" s="4" t="s">
        <v>777</v>
      </c>
      <c r="Y10" s="4" t="s">
        <v>881</v>
      </c>
      <c r="Z10" s="4" t="s">
        <v>881</v>
      </c>
      <c r="AA10" s="4" t="s">
        <v>882</v>
      </c>
      <c r="AB10" s="4" t="s">
        <v>883</v>
      </c>
      <c r="AC10" s="4" t="s">
        <v>884</v>
      </c>
      <c r="AD10" s="4" t="s">
        <v>885</v>
      </c>
      <c r="AE10" s="4" t="s">
        <v>185</v>
      </c>
      <c r="AF10" s="4" t="s">
        <v>773</v>
      </c>
      <c r="AG10" s="4" t="s">
        <v>772</v>
      </c>
      <c r="AH10" s="4" t="s">
        <v>886</v>
      </c>
      <c r="AI10" s="4" t="s">
        <v>33</v>
      </c>
      <c r="AJ10" s="4" t="s">
        <v>36</v>
      </c>
      <c r="AK10" s="58">
        <v>35540</v>
      </c>
      <c r="AL10" s="57" t="s">
        <v>85</v>
      </c>
      <c r="AM10" s="46" t="s">
        <v>256</v>
      </c>
      <c r="AN10" s="4" t="s">
        <v>789</v>
      </c>
      <c r="AO10" s="4" t="s">
        <v>788</v>
      </c>
      <c r="AP10" s="4" t="s">
        <v>887</v>
      </c>
      <c r="AQ10" s="17" t="s">
        <v>888</v>
      </c>
      <c r="AR10" s="9">
        <v>200</v>
      </c>
    </row>
    <row r="11" s="29" customFormat="1" ht="24" customHeight="1" spans="1:44">
      <c r="A11" s="35"/>
      <c r="B11" s="39" t="s">
        <v>742</v>
      </c>
      <c r="C11" s="40"/>
      <c r="D11" s="40"/>
      <c r="E11" s="40"/>
      <c r="F11" s="41"/>
      <c r="G11" s="38"/>
      <c r="H11" s="38"/>
      <c r="I11" s="38"/>
      <c r="J11" s="38"/>
      <c r="K11" s="38"/>
      <c r="L11" s="38"/>
      <c r="M11" s="45"/>
      <c r="N11" s="45"/>
      <c r="O11" s="38"/>
      <c r="P11" s="38"/>
      <c r="Q11" s="38"/>
      <c r="R11" s="38"/>
      <c r="S11" s="38"/>
      <c r="T11" s="38"/>
      <c r="U11" s="45"/>
      <c r="V11" s="38"/>
      <c r="W11" s="45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54"/>
      <c r="AL11" s="54"/>
      <c r="AM11" s="54"/>
      <c r="AN11" s="54"/>
      <c r="AO11" s="38"/>
      <c r="AP11" s="38"/>
      <c r="AQ11" s="38"/>
      <c r="AR11" s="38"/>
    </row>
    <row r="12" s="1" customFormat="1" ht="50" customHeight="1" spans="1:44">
      <c r="A12" s="4" t="s">
        <v>911</v>
      </c>
      <c r="B12" s="7" t="s">
        <v>912</v>
      </c>
      <c r="C12" s="42" t="s">
        <v>29</v>
      </c>
      <c r="D12" s="7" t="s">
        <v>905</v>
      </c>
      <c r="E12" s="4" t="s">
        <v>173</v>
      </c>
      <c r="F12" s="4" t="s">
        <v>31</v>
      </c>
      <c r="G12" s="4" t="s">
        <v>32</v>
      </c>
      <c r="H12" s="4" t="s">
        <v>876</v>
      </c>
      <c r="I12" s="4" t="s">
        <v>770</v>
      </c>
      <c r="J12" s="4" t="s">
        <v>877</v>
      </c>
      <c r="K12" s="4" t="s">
        <v>878</v>
      </c>
      <c r="L12" s="4"/>
      <c r="M12" s="46"/>
      <c r="N12" s="4"/>
      <c r="O12" s="4"/>
      <c r="P12" s="4"/>
      <c r="Q12" s="46"/>
      <c r="R12" s="4"/>
      <c r="S12" s="4"/>
      <c r="T12" s="4" t="s">
        <v>179</v>
      </c>
      <c r="U12" s="4" t="s">
        <v>173</v>
      </c>
      <c r="V12" s="9" t="s">
        <v>769</v>
      </c>
      <c r="W12" s="4" t="s">
        <v>879</v>
      </c>
      <c r="X12" s="4" t="s">
        <v>777</v>
      </c>
      <c r="Y12" s="4" t="s">
        <v>881</v>
      </c>
      <c r="Z12" s="4" t="s">
        <v>881</v>
      </c>
      <c r="AA12" s="4" t="s">
        <v>882</v>
      </c>
      <c r="AB12" s="4" t="s">
        <v>883</v>
      </c>
      <c r="AC12" s="4" t="s">
        <v>884</v>
      </c>
      <c r="AD12" s="4" t="s">
        <v>885</v>
      </c>
      <c r="AE12" s="4" t="s">
        <v>185</v>
      </c>
      <c r="AF12" s="4" t="s">
        <v>773</v>
      </c>
      <c r="AG12" s="4" t="s">
        <v>772</v>
      </c>
      <c r="AH12" s="4" t="s">
        <v>886</v>
      </c>
      <c r="AI12" s="4" t="s">
        <v>33</v>
      </c>
      <c r="AJ12" s="4" t="s">
        <v>36</v>
      </c>
      <c r="AK12" s="58">
        <v>61353</v>
      </c>
      <c r="AL12" s="57" t="s">
        <v>89</v>
      </c>
      <c r="AM12" s="46" t="s">
        <v>256</v>
      </c>
      <c r="AN12" s="4" t="s">
        <v>789</v>
      </c>
      <c r="AO12" s="4" t="s">
        <v>788</v>
      </c>
      <c r="AP12" s="4" t="s">
        <v>887</v>
      </c>
      <c r="AQ12" s="17" t="s">
        <v>888</v>
      </c>
      <c r="AR12" s="9">
        <v>200</v>
      </c>
    </row>
    <row r="13" s="29" customFormat="1" ht="24" customHeight="1" spans="1:44">
      <c r="A13" s="35"/>
      <c r="B13" s="39" t="s">
        <v>745</v>
      </c>
      <c r="C13" s="40"/>
      <c r="D13" s="40"/>
      <c r="E13" s="40"/>
      <c r="F13" s="41"/>
      <c r="G13" s="38"/>
      <c r="H13" s="38"/>
      <c r="I13" s="38"/>
      <c r="J13" s="38"/>
      <c r="K13" s="38"/>
      <c r="L13" s="38"/>
      <c r="M13" s="45"/>
      <c r="N13" s="45"/>
      <c r="O13" s="38"/>
      <c r="P13" s="38"/>
      <c r="Q13" s="38"/>
      <c r="R13" s="38"/>
      <c r="S13" s="38"/>
      <c r="T13" s="38"/>
      <c r="U13" s="45"/>
      <c r="V13" s="38"/>
      <c r="W13" s="45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54"/>
      <c r="AL13" s="54"/>
      <c r="AM13" s="54"/>
      <c r="AN13" s="54"/>
      <c r="AO13" s="38"/>
      <c r="AP13" s="38"/>
      <c r="AQ13" s="38"/>
      <c r="AR13" s="38"/>
    </row>
    <row r="14" s="1" customFormat="1" ht="50" customHeight="1" spans="1:44">
      <c r="A14" s="4" t="s">
        <v>913</v>
      </c>
      <c r="B14" s="7" t="s">
        <v>914</v>
      </c>
      <c r="C14" s="42" t="s">
        <v>29</v>
      </c>
      <c r="D14" s="7" t="s">
        <v>905</v>
      </c>
      <c r="E14" s="4" t="s">
        <v>173</v>
      </c>
      <c r="F14" s="4" t="s">
        <v>31</v>
      </c>
      <c r="G14" s="4" t="s">
        <v>32</v>
      </c>
      <c r="H14" s="4" t="s">
        <v>876</v>
      </c>
      <c r="I14" s="4" t="s">
        <v>770</v>
      </c>
      <c r="J14" s="4" t="s">
        <v>877</v>
      </c>
      <c r="K14" s="4" t="s">
        <v>878</v>
      </c>
      <c r="L14" s="4"/>
      <c r="M14" s="46"/>
      <c r="N14" s="4"/>
      <c r="O14" s="4"/>
      <c r="P14" s="4"/>
      <c r="Q14" s="46"/>
      <c r="R14" s="4"/>
      <c r="S14" s="4"/>
      <c r="T14" s="4" t="s">
        <v>179</v>
      </c>
      <c r="U14" s="4" t="s">
        <v>173</v>
      </c>
      <c r="V14" s="9" t="s">
        <v>769</v>
      </c>
      <c r="W14" s="4" t="s">
        <v>879</v>
      </c>
      <c r="X14" s="4" t="s">
        <v>777</v>
      </c>
      <c r="Y14" s="4" t="s">
        <v>881</v>
      </c>
      <c r="Z14" s="4" t="s">
        <v>881</v>
      </c>
      <c r="AA14" s="4" t="s">
        <v>882</v>
      </c>
      <c r="AB14" s="4" t="s">
        <v>883</v>
      </c>
      <c r="AC14" s="4" t="s">
        <v>884</v>
      </c>
      <c r="AD14" s="4" t="s">
        <v>885</v>
      </c>
      <c r="AE14" s="4" t="s">
        <v>185</v>
      </c>
      <c r="AF14" s="4" t="s">
        <v>773</v>
      </c>
      <c r="AG14" s="4" t="s">
        <v>772</v>
      </c>
      <c r="AH14" s="4" t="s">
        <v>886</v>
      </c>
      <c r="AI14" s="4" t="s">
        <v>33</v>
      </c>
      <c r="AJ14" s="4" t="s">
        <v>36</v>
      </c>
      <c r="AK14" s="58">
        <v>61357</v>
      </c>
      <c r="AL14" s="57" t="s">
        <v>93</v>
      </c>
      <c r="AM14" s="46" t="s">
        <v>256</v>
      </c>
      <c r="AN14" s="4" t="s">
        <v>789</v>
      </c>
      <c r="AO14" s="4" t="s">
        <v>788</v>
      </c>
      <c r="AP14" s="4" t="s">
        <v>887</v>
      </c>
      <c r="AQ14" s="17" t="s">
        <v>888</v>
      </c>
      <c r="AR14" s="9">
        <v>200</v>
      </c>
    </row>
    <row r="15" s="28" customFormat="1" ht="21" customHeight="1" spans="1:53">
      <c r="A15" s="31"/>
      <c r="B15" s="32" t="s">
        <v>94</v>
      </c>
      <c r="C15" s="33"/>
      <c r="D15" s="33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49"/>
      <c r="R15" s="50"/>
      <c r="S15" s="50"/>
      <c r="T15" s="50"/>
      <c r="U15" s="50"/>
      <c r="V15" s="50"/>
      <c r="W15" s="50"/>
      <c r="X15" s="51"/>
      <c r="Y15" s="50"/>
      <c r="Z15" s="50"/>
      <c r="AA15" s="50"/>
      <c r="AB15" s="50"/>
      <c r="AC15" s="52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53"/>
      <c r="AX15" s="53"/>
      <c r="AY15" s="53"/>
      <c r="AZ15" s="53"/>
      <c r="BA15" s="53"/>
    </row>
    <row r="16" s="29" customFormat="1" ht="24" customHeight="1" spans="1:44">
      <c r="A16" s="35"/>
      <c r="B16" s="36" t="s">
        <v>69</v>
      </c>
      <c r="C16" s="37"/>
      <c r="D16" s="37"/>
      <c r="E16" s="38"/>
      <c r="F16" s="38"/>
      <c r="G16" s="38"/>
      <c r="H16" s="38"/>
      <c r="I16" s="38"/>
      <c r="J16" s="38"/>
      <c r="K16" s="38"/>
      <c r="L16" s="38"/>
      <c r="M16" s="45"/>
      <c r="N16" s="45"/>
      <c r="O16" s="38"/>
      <c r="P16" s="38"/>
      <c r="Q16" s="38"/>
      <c r="R16" s="38"/>
      <c r="S16" s="38"/>
      <c r="T16" s="38"/>
      <c r="U16" s="45"/>
      <c r="V16" s="38"/>
      <c r="W16" s="45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54"/>
      <c r="AL16" s="54"/>
      <c r="AM16" s="54"/>
      <c r="AN16" s="54"/>
      <c r="AO16" s="38"/>
      <c r="AP16" s="38"/>
      <c r="AQ16" s="38"/>
      <c r="AR16" s="38"/>
    </row>
    <row r="17" s="1" customFormat="1" customHeight="1" spans="1:44">
      <c r="A17" s="4" t="s">
        <v>915</v>
      </c>
      <c r="B17" s="7" t="s">
        <v>916</v>
      </c>
      <c r="C17" s="6" t="s">
        <v>29</v>
      </c>
      <c r="D17" s="17" t="s">
        <v>917</v>
      </c>
      <c r="E17" s="4" t="s">
        <v>173</v>
      </c>
      <c r="F17" s="4" t="s">
        <v>31</v>
      </c>
      <c r="G17" s="4" t="s">
        <v>32</v>
      </c>
      <c r="H17" s="4" t="s">
        <v>876</v>
      </c>
      <c r="I17" s="4" t="s">
        <v>770</v>
      </c>
      <c r="J17" s="4" t="s">
        <v>877</v>
      </c>
      <c r="K17" s="4" t="s">
        <v>878</v>
      </c>
      <c r="L17" s="4">
        <v>378</v>
      </c>
      <c r="M17" s="46" t="s">
        <v>177</v>
      </c>
      <c r="N17" s="46" t="s">
        <v>177</v>
      </c>
      <c r="O17" s="4">
        <v>1600000</v>
      </c>
      <c r="P17" s="4">
        <v>400000</v>
      </c>
      <c r="Q17" s="46" t="s">
        <v>256</v>
      </c>
      <c r="R17" s="4">
        <v>100000</v>
      </c>
      <c r="S17" s="4"/>
      <c r="T17" s="4" t="s">
        <v>179</v>
      </c>
      <c r="U17" s="4" t="s">
        <v>173</v>
      </c>
      <c r="V17" s="9" t="s">
        <v>769</v>
      </c>
      <c r="W17" s="4" t="s">
        <v>879</v>
      </c>
      <c r="X17" s="4" t="s">
        <v>777</v>
      </c>
      <c r="Y17" s="4" t="s">
        <v>881</v>
      </c>
      <c r="Z17" s="4" t="s">
        <v>881</v>
      </c>
      <c r="AA17" s="4" t="s">
        <v>882</v>
      </c>
      <c r="AB17" s="4" t="s">
        <v>883</v>
      </c>
      <c r="AC17" s="4" t="s">
        <v>884</v>
      </c>
      <c r="AD17" s="4" t="s">
        <v>885</v>
      </c>
      <c r="AE17" s="4" t="s">
        <v>185</v>
      </c>
      <c r="AF17" s="4" t="s">
        <v>773</v>
      </c>
      <c r="AG17" s="4" t="s">
        <v>772</v>
      </c>
      <c r="AH17" s="4" t="s">
        <v>886</v>
      </c>
      <c r="AI17" s="4" t="s">
        <v>33</v>
      </c>
      <c r="AJ17" s="4" t="s">
        <v>36</v>
      </c>
      <c r="AK17" s="58">
        <v>61361</v>
      </c>
      <c r="AL17" s="57" t="s">
        <v>97</v>
      </c>
      <c r="AM17" s="46" t="s">
        <v>256</v>
      </c>
      <c r="AN17" s="4" t="s">
        <v>789</v>
      </c>
      <c r="AO17" s="4" t="s">
        <v>788</v>
      </c>
      <c r="AP17" s="4" t="s">
        <v>891</v>
      </c>
      <c r="AQ17" s="17" t="s">
        <v>888</v>
      </c>
      <c r="AR17" s="9">
        <v>200</v>
      </c>
    </row>
    <row r="18" s="29" customFormat="1" ht="24" customHeight="1" spans="1:44">
      <c r="A18" s="35"/>
      <c r="B18" s="39" t="s">
        <v>74</v>
      </c>
      <c r="C18" s="40"/>
      <c r="D18" s="40"/>
      <c r="E18" s="40"/>
      <c r="F18" s="41"/>
      <c r="G18" s="38"/>
      <c r="H18" s="38"/>
      <c r="I18" s="38"/>
      <c r="J18" s="38"/>
      <c r="K18" s="38"/>
      <c r="L18" s="38"/>
      <c r="M18" s="45"/>
      <c r="N18" s="45"/>
      <c r="O18" s="38"/>
      <c r="P18" s="38"/>
      <c r="Q18" s="38"/>
      <c r="R18" s="38"/>
      <c r="S18" s="38"/>
      <c r="T18" s="38"/>
      <c r="U18" s="45"/>
      <c r="V18" s="38"/>
      <c r="W18" s="45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54"/>
      <c r="AL18" s="54"/>
      <c r="AM18" s="54"/>
      <c r="AN18" s="54"/>
      <c r="AO18" s="38"/>
      <c r="AP18" s="38"/>
      <c r="AQ18" s="38"/>
      <c r="AR18" s="38"/>
    </row>
    <row r="19" s="1" customFormat="1" customHeight="1" spans="1:44">
      <c r="A19" s="4" t="s">
        <v>918</v>
      </c>
      <c r="B19" s="7" t="s">
        <v>916</v>
      </c>
      <c r="C19" s="42" t="s">
        <v>29</v>
      </c>
      <c r="D19" s="17" t="s">
        <v>917</v>
      </c>
      <c r="E19" s="4" t="s">
        <v>173</v>
      </c>
      <c r="F19" s="4" t="s">
        <v>31</v>
      </c>
      <c r="G19" s="4" t="s">
        <v>32</v>
      </c>
      <c r="H19" s="4" t="s">
        <v>876</v>
      </c>
      <c r="I19" s="4" t="s">
        <v>770</v>
      </c>
      <c r="J19" s="4" t="s">
        <v>877</v>
      </c>
      <c r="K19" s="4" t="s">
        <v>878</v>
      </c>
      <c r="L19" s="4">
        <v>378</v>
      </c>
      <c r="M19" s="46" t="s">
        <v>177</v>
      </c>
      <c r="N19" s="46" t="s">
        <v>177</v>
      </c>
      <c r="O19" s="4">
        <v>1600000</v>
      </c>
      <c r="P19" s="4">
        <v>400000</v>
      </c>
      <c r="Q19" s="46" t="s">
        <v>256</v>
      </c>
      <c r="R19" s="4">
        <v>100000</v>
      </c>
      <c r="S19" s="4"/>
      <c r="T19" s="4" t="s">
        <v>179</v>
      </c>
      <c r="U19" s="4" t="s">
        <v>173</v>
      </c>
      <c r="V19" s="9" t="s">
        <v>769</v>
      </c>
      <c r="W19" s="4" t="s">
        <v>879</v>
      </c>
      <c r="X19" s="4" t="s">
        <v>777</v>
      </c>
      <c r="Y19" s="4" t="s">
        <v>881</v>
      </c>
      <c r="Z19" s="4" t="s">
        <v>881</v>
      </c>
      <c r="AA19" s="4" t="s">
        <v>882</v>
      </c>
      <c r="AB19" s="4" t="s">
        <v>883</v>
      </c>
      <c r="AC19" s="4" t="s">
        <v>884</v>
      </c>
      <c r="AD19" s="4" t="s">
        <v>885</v>
      </c>
      <c r="AE19" s="4" t="s">
        <v>185</v>
      </c>
      <c r="AF19" s="4" t="s">
        <v>773</v>
      </c>
      <c r="AG19" s="4" t="s">
        <v>772</v>
      </c>
      <c r="AH19" s="4" t="s">
        <v>886</v>
      </c>
      <c r="AI19" s="4" t="s">
        <v>33</v>
      </c>
      <c r="AJ19" s="4" t="s">
        <v>36</v>
      </c>
      <c r="AK19" s="58">
        <v>61362</v>
      </c>
      <c r="AL19" s="57" t="s">
        <v>100</v>
      </c>
      <c r="AM19" s="46" t="s">
        <v>256</v>
      </c>
      <c r="AN19" s="4" t="s">
        <v>789</v>
      </c>
      <c r="AO19" s="4" t="s">
        <v>788</v>
      </c>
      <c r="AP19" s="4" t="s">
        <v>891</v>
      </c>
      <c r="AQ19" s="17" t="s">
        <v>888</v>
      </c>
      <c r="AR19" s="9">
        <v>200</v>
      </c>
    </row>
    <row r="20" s="29" customFormat="1" ht="24" customHeight="1" spans="1:44">
      <c r="A20" s="35"/>
      <c r="B20" s="39" t="s">
        <v>369</v>
      </c>
      <c r="C20" s="40"/>
      <c r="D20" s="40"/>
      <c r="E20" s="40"/>
      <c r="F20" s="41"/>
      <c r="G20" s="38"/>
      <c r="H20" s="38"/>
      <c r="I20" s="38"/>
      <c r="J20" s="38"/>
      <c r="K20" s="38"/>
      <c r="L20" s="38"/>
      <c r="M20" s="45"/>
      <c r="N20" s="45"/>
      <c r="O20" s="38"/>
      <c r="P20" s="38"/>
      <c r="Q20" s="38"/>
      <c r="R20" s="38"/>
      <c r="S20" s="38"/>
      <c r="T20" s="38"/>
      <c r="U20" s="45"/>
      <c r="V20" s="38"/>
      <c r="W20" s="45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54"/>
      <c r="AL20" s="54"/>
      <c r="AM20" s="54"/>
      <c r="AN20" s="54"/>
      <c r="AO20" s="38"/>
      <c r="AP20" s="38"/>
      <c r="AQ20" s="38"/>
      <c r="AR20" s="38"/>
    </row>
    <row r="21" s="1" customFormat="1" customHeight="1" spans="1:44">
      <c r="A21" s="4" t="s">
        <v>919</v>
      </c>
      <c r="B21" s="7" t="s">
        <v>920</v>
      </c>
      <c r="C21" s="42" t="s">
        <v>29</v>
      </c>
      <c r="D21" s="17" t="s">
        <v>917</v>
      </c>
      <c r="E21" s="4" t="s">
        <v>173</v>
      </c>
      <c r="F21" s="4" t="s">
        <v>31</v>
      </c>
      <c r="G21" s="4" t="s">
        <v>32</v>
      </c>
      <c r="H21" s="4" t="s">
        <v>876</v>
      </c>
      <c r="I21" s="4" t="s">
        <v>770</v>
      </c>
      <c r="J21" s="4" t="s">
        <v>877</v>
      </c>
      <c r="K21" s="4" t="s">
        <v>878</v>
      </c>
      <c r="L21" s="4">
        <v>378</v>
      </c>
      <c r="M21" s="46" t="s">
        <v>177</v>
      </c>
      <c r="N21" s="46" t="s">
        <v>177</v>
      </c>
      <c r="O21" s="4">
        <v>1600000</v>
      </c>
      <c r="P21" s="4">
        <v>400000</v>
      </c>
      <c r="Q21" s="46" t="s">
        <v>256</v>
      </c>
      <c r="R21" s="4">
        <v>100000</v>
      </c>
      <c r="S21" s="4"/>
      <c r="T21" s="4" t="s">
        <v>179</v>
      </c>
      <c r="U21" s="4" t="s">
        <v>173</v>
      </c>
      <c r="V21" s="9" t="s">
        <v>769</v>
      </c>
      <c r="W21" s="4" t="s">
        <v>879</v>
      </c>
      <c r="X21" s="4" t="s">
        <v>777</v>
      </c>
      <c r="Y21" s="4" t="s">
        <v>881</v>
      </c>
      <c r="Z21" s="4" t="s">
        <v>881</v>
      </c>
      <c r="AA21" s="4" t="s">
        <v>882</v>
      </c>
      <c r="AB21" s="4" t="s">
        <v>883</v>
      </c>
      <c r="AC21" s="4" t="s">
        <v>884</v>
      </c>
      <c r="AD21" s="4" t="s">
        <v>885</v>
      </c>
      <c r="AE21" s="4" t="s">
        <v>185</v>
      </c>
      <c r="AF21" s="4" t="s">
        <v>773</v>
      </c>
      <c r="AG21" s="4" t="s">
        <v>772</v>
      </c>
      <c r="AH21" s="4" t="s">
        <v>886</v>
      </c>
      <c r="AI21" s="4" t="s">
        <v>33</v>
      </c>
      <c r="AJ21" s="4" t="s">
        <v>36</v>
      </c>
      <c r="AK21" s="58">
        <v>61363</v>
      </c>
      <c r="AL21" s="57" t="s">
        <v>103</v>
      </c>
      <c r="AM21" s="46" t="s">
        <v>256</v>
      </c>
      <c r="AN21" s="4" t="s">
        <v>789</v>
      </c>
      <c r="AO21" s="4" t="s">
        <v>788</v>
      </c>
      <c r="AP21" s="4" t="s">
        <v>891</v>
      </c>
      <c r="AQ21" s="17" t="s">
        <v>888</v>
      </c>
      <c r="AR21" s="9">
        <v>200</v>
      </c>
    </row>
    <row r="22" s="29" customFormat="1" ht="24" customHeight="1" spans="1:44">
      <c r="A22" s="35"/>
      <c r="B22" s="39" t="s">
        <v>376</v>
      </c>
      <c r="C22" s="40"/>
      <c r="D22" s="40"/>
      <c r="E22" s="40"/>
      <c r="F22" s="41"/>
      <c r="G22" s="38"/>
      <c r="H22" s="38"/>
      <c r="I22" s="38"/>
      <c r="J22" s="38"/>
      <c r="K22" s="38"/>
      <c r="L22" s="38"/>
      <c r="M22" s="45"/>
      <c r="N22" s="45"/>
      <c r="O22" s="38"/>
      <c r="P22" s="38"/>
      <c r="Q22" s="38"/>
      <c r="R22" s="38"/>
      <c r="S22" s="38"/>
      <c r="T22" s="38"/>
      <c r="U22" s="45"/>
      <c r="V22" s="38"/>
      <c r="W22" s="45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54"/>
      <c r="AL22" s="54"/>
      <c r="AM22" s="54"/>
      <c r="AN22" s="54"/>
      <c r="AO22" s="38"/>
      <c r="AP22" s="38"/>
      <c r="AQ22" s="38"/>
      <c r="AR22" s="38"/>
    </row>
    <row r="23" s="1" customFormat="1" customHeight="1" spans="1:44">
      <c r="A23" s="4" t="s">
        <v>921</v>
      </c>
      <c r="B23" s="7" t="s">
        <v>922</v>
      </c>
      <c r="C23" s="42" t="s">
        <v>29</v>
      </c>
      <c r="D23" s="17" t="s">
        <v>917</v>
      </c>
      <c r="E23" s="4" t="s">
        <v>173</v>
      </c>
      <c r="F23" s="4" t="s">
        <v>31</v>
      </c>
      <c r="G23" s="4" t="s">
        <v>32</v>
      </c>
      <c r="H23" s="4" t="s">
        <v>876</v>
      </c>
      <c r="I23" s="4" t="s">
        <v>770</v>
      </c>
      <c r="J23" s="4" t="s">
        <v>877</v>
      </c>
      <c r="K23" s="4" t="s">
        <v>878</v>
      </c>
      <c r="L23" s="4">
        <v>378</v>
      </c>
      <c r="M23" s="46" t="s">
        <v>177</v>
      </c>
      <c r="N23" s="46" t="s">
        <v>177</v>
      </c>
      <c r="O23" s="4">
        <v>1600000</v>
      </c>
      <c r="P23" s="4">
        <v>400000</v>
      </c>
      <c r="Q23" s="46" t="s">
        <v>256</v>
      </c>
      <c r="R23" s="4">
        <v>100000</v>
      </c>
      <c r="S23" s="4"/>
      <c r="T23" s="4" t="s">
        <v>179</v>
      </c>
      <c r="U23" s="4" t="s">
        <v>173</v>
      </c>
      <c r="V23" s="9" t="s">
        <v>769</v>
      </c>
      <c r="W23" s="4" t="s">
        <v>879</v>
      </c>
      <c r="X23" s="4" t="s">
        <v>777</v>
      </c>
      <c r="Y23" s="4" t="s">
        <v>881</v>
      </c>
      <c r="Z23" s="4" t="s">
        <v>881</v>
      </c>
      <c r="AA23" s="4" t="s">
        <v>882</v>
      </c>
      <c r="AB23" s="4" t="s">
        <v>883</v>
      </c>
      <c r="AC23" s="4" t="s">
        <v>884</v>
      </c>
      <c r="AD23" s="4" t="s">
        <v>885</v>
      </c>
      <c r="AE23" s="4" t="s">
        <v>185</v>
      </c>
      <c r="AF23" s="4" t="s">
        <v>773</v>
      </c>
      <c r="AG23" s="4" t="s">
        <v>772</v>
      </c>
      <c r="AH23" s="4" t="s">
        <v>886</v>
      </c>
      <c r="AI23" s="4" t="s">
        <v>33</v>
      </c>
      <c r="AJ23" s="4" t="s">
        <v>36</v>
      </c>
      <c r="AK23" s="58">
        <v>61364</v>
      </c>
      <c r="AL23" s="57" t="s">
        <v>106</v>
      </c>
      <c r="AM23" s="46" t="s">
        <v>256</v>
      </c>
      <c r="AN23" s="4" t="s">
        <v>789</v>
      </c>
      <c r="AO23" s="4" t="s">
        <v>788</v>
      </c>
      <c r="AP23" s="4" t="s">
        <v>891</v>
      </c>
      <c r="AQ23" s="17" t="s">
        <v>888</v>
      </c>
      <c r="AR23" s="9">
        <v>200</v>
      </c>
    </row>
    <row r="24" s="29" customFormat="1" ht="24" customHeight="1" spans="1:44">
      <c r="A24" s="35"/>
      <c r="B24" s="39" t="s">
        <v>742</v>
      </c>
      <c r="C24" s="40"/>
      <c r="D24" s="40"/>
      <c r="E24" s="40"/>
      <c r="F24" s="41"/>
      <c r="G24" s="38"/>
      <c r="H24" s="38"/>
      <c r="I24" s="38"/>
      <c r="J24" s="38"/>
      <c r="K24" s="38"/>
      <c r="L24" s="38"/>
      <c r="M24" s="45"/>
      <c r="N24" s="45"/>
      <c r="O24" s="38"/>
      <c r="P24" s="38"/>
      <c r="Q24" s="38"/>
      <c r="R24" s="38"/>
      <c r="S24" s="38"/>
      <c r="T24" s="38"/>
      <c r="U24" s="45"/>
      <c r="V24" s="38"/>
      <c r="W24" s="45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54"/>
      <c r="AL24" s="54"/>
      <c r="AM24" s="54"/>
      <c r="AN24" s="54"/>
      <c r="AO24" s="38"/>
      <c r="AP24" s="38"/>
      <c r="AQ24" s="38"/>
      <c r="AR24" s="38"/>
    </row>
    <row r="25" s="1" customFormat="1" ht="50" customHeight="1" spans="1:44">
      <c r="A25" s="4" t="s">
        <v>923</v>
      </c>
      <c r="B25" s="7" t="s">
        <v>924</v>
      </c>
      <c r="C25" s="42" t="s">
        <v>29</v>
      </c>
      <c r="D25" s="17" t="s">
        <v>917</v>
      </c>
      <c r="E25" s="4" t="s">
        <v>173</v>
      </c>
      <c r="F25" s="4" t="s">
        <v>31</v>
      </c>
      <c r="G25" s="4" t="s">
        <v>32</v>
      </c>
      <c r="H25" s="4" t="s">
        <v>876</v>
      </c>
      <c r="I25" s="4" t="s">
        <v>770</v>
      </c>
      <c r="J25" s="4" t="s">
        <v>877</v>
      </c>
      <c r="K25" s="4" t="s">
        <v>878</v>
      </c>
      <c r="L25" s="4">
        <v>378</v>
      </c>
      <c r="M25" s="46" t="s">
        <v>177</v>
      </c>
      <c r="N25" s="46" t="s">
        <v>177</v>
      </c>
      <c r="O25" s="4">
        <v>1600000</v>
      </c>
      <c r="P25" s="4">
        <v>400000</v>
      </c>
      <c r="Q25" s="46" t="s">
        <v>256</v>
      </c>
      <c r="R25" s="4">
        <v>100000</v>
      </c>
      <c r="S25" s="4"/>
      <c r="T25" s="4" t="s">
        <v>179</v>
      </c>
      <c r="U25" s="4" t="s">
        <v>173</v>
      </c>
      <c r="V25" s="9" t="s">
        <v>769</v>
      </c>
      <c r="W25" s="4" t="s">
        <v>879</v>
      </c>
      <c r="X25" s="4" t="s">
        <v>777</v>
      </c>
      <c r="Y25" s="4" t="s">
        <v>881</v>
      </c>
      <c r="Z25" s="4" t="s">
        <v>881</v>
      </c>
      <c r="AA25" s="4" t="s">
        <v>882</v>
      </c>
      <c r="AB25" s="4" t="s">
        <v>883</v>
      </c>
      <c r="AC25" s="4" t="s">
        <v>884</v>
      </c>
      <c r="AD25" s="4" t="s">
        <v>885</v>
      </c>
      <c r="AE25" s="4" t="s">
        <v>185</v>
      </c>
      <c r="AF25" s="4" t="s">
        <v>773</v>
      </c>
      <c r="AG25" s="4" t="s">
        <v>772</v>
      </c>
      <c r="AH25" s="4" t="s">
        <v>886</v>
      </c>
      <c r="AI25" s="4" t="s">
        <v>33</v>
      </c>
      <c r="AJ25" s="4" t="s">
        <v>36</v>
      </c>
      <c r="AK25" s="58">
        <v>61365</v>
      </c>
      <c r="AL25" s="57" t="s">
        <v>109</v>
      </c>
      <c r="AM25" s="46" t="s">
        <v>256</v>
      </c>
      <c r="AN25" s="4" t="s">
        <v>789</v>
      </c>
      <c r="AO25" s="4" t="s">
        <v>788</v>
      </c>
      <c r="AP25" s="4" t="s">
        <v>891</v>
      </c>
      <c r="AQ25" s="17" t="s">
        <v>888</v>
      </c>
      <c r="AR25" s="9">
        <v>200</v>
      </c>
    </row>
    <row r="26" s="29" customFormat="1" ht="24" customHeight="1" spans="1:44">
      <c r="A26" s="35"/>
      <c r="B26" s="39" t="s">
        <v>745</v>
      </c>
      <c r="C26" s="40"/>
      <c r="D26" s="40"/>
      <c r="E26" s="40"/>
      <c r="F26" s="41"/>
      <c r="G26" s="38"/>
      <c r="H26" s="38"/>
      <c r="I26" s="38"/>
      <c r="J26" s="38"/>
      <c r="K26" s="38"/>
      <c r="L26" s="38"/>
      <c r="M26" s="45"/>
      <c r="N26" s="45"/>
      <c r="O26" s="38"/>
      <c r="P26" s="38"/>
      <c r="Q26" s="38"/>
      <c r="R26" s="38"/>
      <c r="S26" s="38"/>
      <c r="T26" s="38"/>
      <c r="U26" s="45"/>
      <c r="V26" s="38"/>
      <c r="W26" s="45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54"/>
      <c r="AL26" s="54"/>
      <c r="AM26" s="54"/>
      <c r="AN26" s="54"/>
      <c r="AO26" s="38"/>
      <c r="AP26" s="38"/>
      <c r="AQ26" s="38"/>
      <c r="AR26" s="38"/>
    </row>
    <row r="27" s="1" customFormat="1" ht="50" customHeight="1" spans="1:44">
      <c r="A27" s="4" t="s">
        <v>925</v>
      </c>
      <c r="B27" s="7" t="s">
        <v>926</v>
      </c>
      <c r="C27" s="42" t="s">
        <v>29</v>
      </c>
      <c r="D27" s="17" t="s">
        <v>917</v>
      </c>
      <c r="E27" s="4" t="s">
        <v>173</v>
      </c>
      <c r="F27" s="4" t="s">
        <v>31</v>
      </c>
      <c r="G27" s="4" t="s">
        <v>32</v>
      </c>
      <c r="H27" s="4" t="s">
        <v>876</v>
      </c>
      <c r="I27" s="4" t="s">
        <v>770</v>
      </c>
      <c r="J27" s="4" t="s">
        <v>877</v>
      </c>
      <c r="K27" s="4" t="s">
        <v>878</v>
      </c>
      <c r="L27" s="4">
        <v>378</v>
      </c>
      <c r="M27" s="46" t="s">
        <v>177</v>
      </c>
      <c r="N27" s="46" t="s">
        <v>177</v>
      </c>
      <c r="O27" s="4">
        <v>1600000</v>
      </c>
      <c r="P27" s="4">
        <v>400000</v>
      </c>
      <c r="Q27" s="46" t="s">
        <v>256</v>
      </c>
      <c r="R27" s="4">
        <v>100000</v>
      </c>
      <c r="S27" s="4"/>
      <c r="T27" s="4" t="s">
        <v>179</v>
      </c>
      <c r="U27" s="4" t="s">
        <v>173</v>
      </c>
      <c r="V27" s="9" t="s">
        <v>769</v>
      </c>
      <c r="W27" s="4" t="s">
        <v>879</v>
      </c>
      <c r="X27" s="4" t="s">
        <v>777</v>
      </c>
      <c r="Y27" s="4" t="s">
        <v>881</v>
      </c>
      <c r="Z27" s="4" t="s">
        <v>881</v>
      </c>
      <c r="AA27" s="4" t="s">
        <v>882</v>
      </c>
      <c r="AB27" s="4" t="s">
        <v>883</v>
      </c>
      <c r="AC27" s="4" t="s">
        <v>884</v>
      </c>
      <c r="AD27" s="4" t="s">
        <v>885</v>
      </c>
      <c r="AE27" s="4" t="s">
        <v>185</v>
      </c>
      <c r="AF27" s="4" t="s">
        <v>773</v>
      </c>
      <c r="AG27" s="4" t="s">
        <v>772</v>
      </c>
      <c r="AH27" s="4" t="s">
        <v>886</v>
      </c>
      <c r="AI27" s="4" t="s">
        <v>33</v>
      </c>
      <c r="AJ27" s="4" t="s">
        <v>36</v>
      </c>
      <c r="AK27" s="58">
        <v>61366</v>
      </c>
      <c r="AL27" s="57" t="s">
        <v>112</v>
      </c>
      <c r="AM27" s="46" t="s">
        <v>256</v>
      </c>
      <c r="AN27" s="4" t="s">
        <v>789</v>
      </c>
      <c r="AO27" s="4" t="s">
        <v>788</v>
      </c>
      <c r="AP27" s="4" t="s">
        <v>891</v>
      </c>
      <c r="AQ27" s="17" t="s">
        <v>888</v>
      </c>
      <c r="AR27" s="9">
        <v>200</v>
      </c>
    </row>
  </sheetData>
  <mergeCells count="14">
    <mergeCell ref="B2:D2"/>
    <mergeCell ref="B3:D3"/>
    <mergeCell ref="B5:F5"/>
    <mergeCell ref="B7:F7"/>
    <mergeCell ref="B9:F9"/>
    <mergeCell ref="B11:F11"/>
    <mergeCell ref="B13:F13"/>
    <mergeCell ref="B15:D15"/>
    <mergeCell ref="B16:D16"/>
    <mergeCell ref="B18:F18"/>
    <mergeCell ref="B20:F20"/>
    <mergeCell ref="B22:F22"/>
    <mergeCell ref="B24:F24"/>
    <mergeCell ref="B26:F26"/>
  </mergeCell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N9"/>
  <sheetViews>
    <sheetView workbookViewId="0">
      <selection activeCell="H12" sqref="H12"/>
    </sheetView>
  </sheetViews>
  <sheetFormatPr defaultColWidth="17.7142857142857" defaultRowHeight="30" customHeight="1"/>
  <cols>
    <col min="1" max="15" width="17.7142857142857" style="1" customWidth="1"/>
    <col min="16" max="16" width="17.7142857142857" style="23" customWidth="1"/>
    <col min="17" max="53" width="17.7142857142857" style="1" customWidth="1"/>
    <col min="54" max="54" width="17.7142857142857" style="16" customWidth="1"/>
    <col min="55" max="58" width="17.7142857142857" style="1" customWidth="1"/>
    <col min="59" max="59" width="17.7142857142857" style="16" customWidth="1"/>
    <col min="60" max="16384" width="17.7142857142857" style="1" customWidth="1"/>
  </cols>
  <sheetData>
    <row r="1" s="1" customFormat="1" ht="46" customHeight="1" spans="1:144">
      <c r="A1" s="2" t="s">
        <v>0</v>
      </c>
      <c r="B1" s="2" t="s">
        <v>1</v>
      </c>
      <c r="C1" s="2" t="s">
        <v>2</v>
      </c>
      <c r="D1" s="24" t="s">
        <v>3</v>
      </c>
      <c r="E1" s="25" t="s">
        <v>837</v>
      </c>
      <c r="F1" s="25" t="s">
        <v>838</v>
      </c>
      <c r="G1" s="25" t="s">
        <v>839</v>
      </c>
      <c r="H1" s="25" t="s">
        <v>840</v>
      </c>
      <c r="I1" s="25" t="s">
        <v>841</v>
      </c>
      <c r="J1" s="25" t="s">
        <v>842</v>
      </c>
      <c r="K1" s="25" t="s">
        <v>843</v>
      </c>
      <c r="L1" s="25" t="s">
        <v>844</v>
      </c>
      <c r="M1" s="25" t="s">
        <v>851</v>
      </c>
      <c r="N1" s="25" t="s">
        <v>846</v>
      </c>
      <c r="O1" s="25" t="s">
        <v>852</v>
      </c>
      <c r="P1" s="25" t="s">
        <v>853</v>
      </c>
      <c r="Q1" s="25" t="s">
        <v>854</v>
      </c>
      <c r="R1" s="25" t="s">
        <v>855</v>
      </c>
      <c r="S1" s="25" t="s">
        <v>856</v>
      </c>
      <c r="T1" s="25" t="s">
        <v>857</v>
      </c>
      <c r="U1" s="25" t="s">
        <v>858</v>
      </c>
      <c r="V1" s="25" t="s">
        <v>859</v>
      </c>
      <c r="W1" s="25" t="s">
        <v>860</v>
      </c>
      <c r="X1" s="25" t="s">
        <v>861</v>
      </c>
      <c r="Y1" s="25" t="s">
        <v>862</v>
      </c>
      <c r="Z1" s="25" t="s">
        <v>863</v>
      </c>
      <c r="AA1" s="25" t="s">
        <v>864</v>
      </c>
      <c r="AB1" s="25" t="s">
        <v>865</v>
      </c>
      <c r="AC1" s="25" t="s">
        <v>866</v>
      </c>
      <c r="AD1" s="25" t="s">
        <v>867</v>
      </c>
      <c r="AE1" s="25" t="s">
        <v>868</v>
      </c>
      <c r="AF1" s="25" t="s">
        <v>869</v>
      </c>
      <c r="AG1" s="25" t="s">
        <v>870</v>
      </c>
      <c r="AH1" s="25" t="s">
        <v>847</v>
      </c>
      <c r="AI1" s="25" t="s">
        <v>848</v>
      </c>
      <c r="AJ1" s="25" t="s">
        <v>849</v>
      </c>
      <c r="AK1" s="25" t="s">
        <v>845</v>
      </c>
      <c r="AL1" s="25" t="s">
        <v>872</v>
      </c>
      <c r="AM1" s="25" t="s">
        <v>873</v>
      </c>
      <c r="AN1" s="25" t="s">
        <v>927</v>
      </c>
      <c r="AO1" s="25" t="s">
        <v>928</v>
      </c>
      <c r="AP1" s="25" t="s">
        <v>929</v>
      </c>
      <c r="AQ1" s="25" t="s">
        <v>930</v>
      </c>
      <c r="AR1" s="25" t="s">
        <v>931</v>
      </c>
      <c r="AS1" s="25" t="s">
        <v>932</v>
      </c>
      <c r="AT1" s="25" t="s">
        <v>933</v>
      </c>
      <c r="AU1" s="25" t="s">
        <v>934</v>
      </c>
      <c r="AV1" s="25" t="s">
        <v>935</v>
      </c>
      <c r="AW1" s="25" t="s">
        <v>936</v>
      </c>
      <c r="AX1" s="25" t="s">
        <v>937</v>
      </c>
      <c r="AY1" s="25" t="s">
        <v>938</v>
      </c>
      <c r="AZ1" s="25" t="s">
        <v>939</v>
      </c>
      <c r="BA1" s="25" t="s">
        <v>940</v>
      </c>
      <c r="BB1" s="25" t="s">
        <v>941</v>
      </c>
      <c r="BC1" s="25" t="s">
        <v>942</v>
      </c>
      <c r="BD1" s="25" t="s">
        <v>943</v>
      </c>
      <c r="BE1" s="25" t="s">
        <v>944</v>
      </c>
      <c r="BF1" s="25" t="s">
        <v>945</v>
      </c>
      <c r="BG1" s="25" t="s">
        <v>946</v>
      </c>
      <c r="BH1" s="25" t="s">
        <v>947</v>
      </c>
      <c r="BI1" s="25" t="s">
        <v>948</v>
      </c>
      <c r="BJ1" s="25" t="s">
        <v>949</v>
      </c>
      <c r="BK1" s="25" t="s">
        <v>950</v>
      </c>
      <c r="BL1" s="25" t="s">
        <v>951</v>
      </c>
      <c r="BM1" s="25" t="s">
        <v>952</v>
      </c>
      <c r="BN1" s="25" t="s">
        <v>953</v>
      </c>
      <c r="BO1" s="25" t="s">
        <v>954</v>
      </c>
      <c r="BP1" s="25" t="s">
        <v>955</v>
      </c>
      <c r="BQ1" s="25" t="s">
        <v>956</v>
      </c>
      <c r="BR1" s="25" t="s">
        <v>957</v>
      </c>
      <c r="BS1" s="25" t="s">
        <v>958</v>
      </c>
      <c r="BT1" s="25" t="s">
        <v>959</v>
      </c>
      <c r="BU1" s="25" t="s">
        <v>960</v>
      </c>
      <c r="BV1" s="25" t="s">
        <v>961</v>
      </c>
      <c r="BW1" s="25" t="s">
        <v>962</v>
      </c>
      <c r="BX1" s="25" t="s">
        <v>963</v>
      </c>
      <c r="BY1" s="25" t="s">
        <v>964</v>
      </c>
      <c r="BZ1" s="25" t="s">
        <v>965</v>
      </c>
      <c r="CA1" s="25" t="s">
        <v>966</v>
      </c>
      <c r="CB1" s="25" t="s">
        <v>967</v>
      </c>
      <c r="CC1" s="25" t="s">
        <v>968</v>
      </c>
      <c r="CD1" s="25" t="s">
        <v>969</v>
      </c>
      <c r="CE1" s="25" t="s">
        <v>970</v>
      </c>
      <c r="CF1" s="25" t="s">
        <v>971</v>
      </c>
      <c r="CG1" s="25" t="s">
        <v>972</v>
      </c>
      <c r="CH1" s="25" t="s">
        <v>973</v>
      </c>
      <c r="CI1" s="25" t="s">
        <v>974</v>
      </c>
      <c r="CJ1" s="25" t="s">
        <v>975</v>
      </c>
      <c r="CK1" s="25" t="s">
        <v>976</v>
      </c>
      <c r="CL1" s="25" t="s">
        <v>977</v>
      </c>
      <c r="CM1" s="25" t="s">
        <v>978</v>
      </c>
      <c r="CN1" s="25" t="s">
        <v>979</v>
      </c>
      <c r="CO1" s="25" t="s">
        <v>980</v>
      </c>
      <c r="CP1" s="25" t="s">
        <v>981</v>
      </c>
      <c r="CQ1" s="25" t="s">
        <v>982</v>
      </c>
      <c r="CR1" s="25" t="s">
        <v>983</v>
      </c>
      <c r="CS1" s="25" t="s">
        <v>984</v>
      </c>
      <c r="CT1" s="25" t="s">
        <v>985</v>
      </c>
      <c r="CU1" s="25" t="s">
        <v>986</v>
      </c>
      <c r="CV1" s="25" t="s">
        <v>987</v>
      </c>
      <c r="CW1" s="25" t="s">
        <v>988</v>
      </c>
      <c r="CX1" s="25" t="s">
        <v>989</v>
      </c>
      <c r="CY1" s="25" t="s">
        <v>990</v>
      </c>
      <c r="CZ1" s="25" t="s">
        <v>991</v>
      </c>
      <c r="DA1" s="25" t="s">
        <v>992</v>
      </c>
      <c r="DB1" s="25" t="s">
        <v>993</v>
      </c>
      <c r="DC1" s="25" t="s">
        <v>994</v>
      </c>
      <c r="DD1" s="25" t="s">
        <v>995</v>
      </c>
      <c r="DE1" s="25" t="s">
        <v>996</v>
      </c>
      <c r="DF1" s="25" t="s">
        <v>997</v>
      </c>
      <c r="DG1" s="25" t="s">
        <v>998</v>
      </c>
      <c r="DH1" s="25" t="s">
        <v>999</v>
      </c>
      <c r="DI1" s="25" t="s">
        <v>1000</v>
      </c>
      <c r="DJ1" s="25" t="s">
        <v>1001</v>
      </c>
      <c r="DK1" s="25" t="s">
        <v>1002</v>
      </c>
      <c r="DL1" s="25" t="s">
        <v>1003</v>
      </c>
      <c r="DM1" s="25" t="s">
        <v>1004</v>
      </c>
      <c r="DN1" s="25" t="s">
        <v>1005</v>
      </c>
      <c r="DO1" s="25" t="s">
        <v>1006</v>
      </c>
      <c r="DP1" s="25" t="s">
        <v>1007</v>
      </c>
      <c r="DQ1" s="25" t="s">
        <v>1008</v>
      </c>
      <c r="DR1" s="25" t="s">
        <v>1009</v>
      </c>
      <c r="DS1" s="25" t="s">
        <v>1010</v>
      </c>
      <c r="DT1" s="25" t="s">
        <v>1011</v>
      </c>
      <c r="DU1" s="25" t="s">
        <v>1012</v>
      </c>
      <c r="DV1" s="25" t="s">
        <v>1013</v>
      </c>
      <c r="DW1" s="25" t="s">
        <v>1014</v>
      </c>
      <c r="DX1" s="25" t="s">
        <v>1015</v>
      </c>
      <c r="DY1" s="25" t="s">
        <v>1016</v>
      </c>
      <c r="DZ1" s="25" t="s">
        <v>1017</v>
      </c>
      <c r="EA1" s="25" t="s">
        <v>1018</v>
      </c>
      <c r="EB1" s="25" t="s">
        <v>1019</v>
      </c>
      <c r="EC1" s="25" t="s">
        <v>1020</v>
      </c>
      <c r="ED1" s="25" t="s">
        <v>1021</v>
      </c>
      <c r="EE1" s="25" t="s">
        <v>1022</v>
      </c>
      <c r="EF1" s="25" t="s">
        <v>1023</v>
      </c>
      <c r="EG1" s="25" t="s">
        <v>1024</v>
      </c>
      <c r="EH1" s="25" t="s">
        <v>1025</v>
      </c>
      <c r="EI1" s="25" t="s">
        <v>1026</v>
      </c>
      <c r="EJ1" s="25" t="s">
        <v>1027</v>
      </c>
      <c r="EK1" s="25" t="s">
        <v>1028</v>
      </c>
      <c r="EL1" s="25" t="s">
        <v>1029</v>
      </c>
      <c r="EM1" s="25" t="s">
        <v>1030</v>
      </c>
      <c r="EN1" s="25" t="s">
        <v>1031</v>
      </c>
    </row>
    <row r="2" s="1" customFormat="1" ht="50" customHeight="1" spans="1:144">
      <c r="A2" s="4" t="s">
        <v>1032</v>
      </c>
      <c r="B2" s="7" t="s">
        <v>171</v>
      </c>
      <c r="C2" s="6" t="s">
        <v>29</v>
      </c>
      <c r="D2" s="17"/>
      <c r="E2" s="26" t="s">
        <v>1033</v>
      </c>
      <c r="F2" s="26" t="s">
        <v>640</v>
      </c>
      <c r="G2" s="26" t="s">
        <v>641</v>
      </c>
      <c r="H2" s="26">
        <v>18</v>
      </c>
      <c r="I2" s="26" t="s">
        <v>253</v>
      </c>
      <c r="J2" s="26" t="s">
        <v>1034</v>
      </c>
      <c r="K2" s="26" t="s">
        <v>255</v>
      </c>
      <c r="L2" s="26">
        <v>378</v>
      </c>
      <c r="M2" s="26"/>
      <c r="N2" s="26" t="b">
        <v>0</v>
      </c>
      <c r="O2" s="26" t="s">
        <v>638</v>
      </c>
      <c r="P2" s="26" t="s">
        <v>1033</v>
      </c>
      <c r="Q2" s="26" t="s">
        <v>1035</v>
      </c>
      <c r="R2" s="26" t="s">
        <v>189</v>
      </c>
      <c r="S2" s="26" t="s">
        <v>1036</v>
      </c>
      <c r="T2" s="26"/>
      <c r="U2" s="26"/>
      <c r="V2" s="26" t="s">
        <v>181</v>
      </c>
      <c r="W2" s="26" t="s">
        <v>182</v>
      </c>
      <c r="X2" s="26" t="s">
        <v>451</v>
      </c>
      <c r="Y2" s="26"/>
      <c r="Z2" s="26" t="s">
        <v>185</v>
      </c>
      <c r="AA2" s="26" t="s">
        <v>773</v>
      </c>
      <c r="AB2" s="26" t="s">
        <v>48</v>
      </c>
      <c r="AC2" s="26">
        <v>18</v>
      </c>
      <c r="AD2" s="26" t="s">
        <v>1037</v>
      </c>
      <c r="AE2" s="26" t="s">
        <v>36</v>
      </c>
      <c r="AF2" s="26" t="s">
        <v>36</v>
      </c>
      <c r="AG2" s="26" t="b">
        <v>0</v>
      </c>
      <c r="AH2" s="26">
        <v>1600000</v>
      </c>
      <c r="AI2" s="26">
        <v>400000</v>
      </c>
      <c r="AJ2" s="26" t="b">
        <v>1</v>
      </c>
      <c r="AK2" s="26" t="b">
        <v>0</v>
      </c>
      <c r="AL2" s="26"/>
      <c r="AM2" s="26" t="s">
        <v>891</v>
      </c>
      <c r="AN2" s="26" t="s">
        <v>1033</v>
      </c>
      <c r="AO2" s="26" t="s">
        <v>640</v>
      </c>
      <c r="AP2" s="26" t="s">
        <v>641</v>
      </c>
      <c r="AQ2" s="26">
        <v>18</v>
      </c>
      <c r="AR2" s="26" t="s">
        <v>253</v>
      </c>
      <c r="AS2" s="26" t="s">
        <v>1034</v>
      </c>
      <c r="AT2" s="26" t="s">
        <v>255</v>
      </c>
      <c r="AU2" s="26">
        <v>378</v>
      </c>
      <c r="AV2" s="26"/>
      <c r="AW2" s="26" t="b">
        <v>0</v>
      </c>
      <c r="AX2" s="26" t="s">
        <v>638</v>
      </c>
      <c r="AY2" s="26" t="s">
        <v>1033</v>
      </c>
      <c r="AZ2" s="26" t="s">
        <v>1038</v>
      </c>
      <c r="BA2" s="26" t="s">
        <v>189</v>
      </c>
      <c r="BB2" s="26" t="s">
        <v>1039</v>
      </c>
      <c r="BC2" s="26"/>
      <c r="BD2" s="26"/>
      <c r="BE2" s="26" t="s">
        <v>181</v>
      </c>
      <c r="BF2" s="26" t="s">
        <v>182</v>
      </c>
      <c r="BG2" s="26" t="s">
        <v>451</v>
      </c>
      <c r="BH2" s="26"/>
      <c r="BI2" s="26" t="s">
        <v>185</v>
      </c>
      <c r="BJ2" s="26" t="s">
        <v>773</v>
      </c>
      <c r="BK2" s="26" t="s">
        <v>48</v>
      </c>
      <c r="BL2" s="26">
        <v>18</v>
      </c>
      <c r="BM2" s="26" t="s">
        <v>1037</v>
      </c>
      <c r="BN2" s="26" t="s">
        <v>36</v>
      </c>
      <c r="BO2" s="26" t="s">
        <v>36</v>
      </c>
      <c r="BP2" s="26" t="b">
        <v>0</v>
      </c>
      <c r="BQ2" s="26">
        <v>1600000</v>
      </c>
      <c r="BR2" s="26">
        <v>400000</v>
      </c>
      <c r="BS2" s="26" t="b">
        <v>1</v>
      </c>
      <c r="BT2" s="26" t="b">
        <v>0</v>
      </c>
      <c r="BU2" s="26"/>
      <c r="BV2" s="26" t="s">
        <v>891</v>
      </c>
      <c r="BW2" s="26" t="s">
        <v>1033</v>
      </c>
      <c r="BX2" s="26" t="s">
        <v>640</v>
      </c>
      <c r="BY2" s="26" t="s">
        <v>1040</v>
      </c>
      <c r="BZ2" s="26">
        <v>28</v>
      </c>
      <c r="CA2" s="26" t="s">
        <v>253</v>
      </c>
      <c r="CB2" s="26" t="s">
        <v>1034</v>
      </c>
      <c r="CC2" s="26" t="s">
        <v>255</v>
      </c>
      <c r="CD2" s="26">
        <v>378</v>
      </c>
      <c r="CE2" s="26"/>
      <c r="CF2" s="26" t="b">
        <v>0</v>
      </c>
      <c r="CG2" s="26" t="s">
        <v>638</v>
      </c>
      <c r="CH2" s="26" t="s">
        <v>1033</v>
      </c>
      <c r="CI2" s="26" t="s">
        <v>1041</v>
      </c>
      <c r="CJ2" s="26" t="s">
        <v>189</v>
      </c>
      <c r="CK2" s="26" t="s">
        <v>1039</v>
      </c>
      <c r="CL2" s="26"/>
      <c r="CM2" s="26"/>
      <c r="CN2" s="26">
        <v>2</v>
      </c>
      <c r="CO2" s="26" t="s">
        <v>182</v>
      </c>
      <c r="CP2" s="27">
        <v>1.18333333333333</v>
      </c>
      <c r="CQ2" s="26"/>
      <c r="CR2" s="26" t="s">
        <v>185</v>
      </c>
      <c r="CS2" s="26" t="s">
        <v>773</v>
      </c>
      <c r="CT2" s="26" t="s">
        <v>48</v>
      </c>
      <c r="CU2" s="26">
        <v>28</v>
      </c>
      <c r="CV2" s="26" t="s">
        <v>1042</v>
      </c>
      <c r="CW2" s="26" t="s">
        <v>36</v>
      </c>
      <c r="CX2" s="26" t="s">
        <v>36</v>
      </c>
      <c r="CY2" s="26" t="b">
        <v>0</v>
      </c>
      <c r="CZ2" s="26">
        <v>2600000</v>
      </c>
      <c r="DA2" s="26">
        <v>400000</v>
      </c>
      <c r="DB2" s="26" t="b">
        <v>1</v>
      </c>
      <c r="DC2" s="26" t="b">
        <v>0</v>
      </c>
      <c r="DD2" s="26"/>
      <c r="DE2" s="26" t="s">
        <v>891</v>
      </c>
      <c r="DF2" s="26" t="s">
        <v>1033</v>
      </c>
      <c r="DG2" s="26" t="s">
        <v>640</v>
      </c>
      <c r="DH2" s="26" t="s">
        <v>1043</v>
      </c>
      <c r="DI2" s="26">
        <v>38</v>
      </c>
      <c r="DJ2" s="26" t="s">
        <v>253</v>
      </c>
      <c r="DK2" s="26" t="s">
        <v>1034</v>
      </c>
      <c r="DL2" s="26" t="s">
        <v>255</v>
      </c>
      <c r="DM2" s="26">
        <v>378</v>
      </c>
      <c r="DN2" s="26"/>
      <c r="DO2" s="26" t="b">
        <v>0</v>
      </c>
      <c r="DP2" s="26" t="s">
        <v>638</v>
      </c>
      <c r="DQ2" s="26" t="s">
        <v>1033</v>
      </c>
      <c r="DR2" s="26" t="s">
        <v>1044</v>
      </c>
      <c r="DS2" s="26" t="s">
        <v>189</v>
      </c>
      <c r="DT2" s="26" t="s">
        <v>1045</v>
      </c>
      <c r="DU2" s="26"/>
      <c r="DV2" s="26"/>
      <c r="DW2" s="26">
        <v>3</v>
      </c>
      <c r="DX2" s="26" t="s">
        <v>182</v>
      </c>
      <c r="DY2" s="27" t="s">
        <v>1046</v>
      </c>
      <c r="DZ2" s="26"/>
      <c r="EA2" s="26" t="s">
        <v>185</v>
      </c>
      <c r="EB2" s="26" t="s">
        <v>773</v>
      </c>
      <c r="EC2" s="26" t="s">
        <v>48</v>
      </c>
      <c r="ED2" s="26">
        <v>38</v>
      </c>
      <c r="EE2" s="26" t="s">
        <v>1047</v>
      </c>
      <c r="EF2" s="26" t="s">
        <v>36</v>
      </c>
      <c r="EG2" s="26" t="s">
        <v>36</v>
      </c>
      <c r="EH2" s="26" t="b">
        <v>0</v>
      </c>
      <c r="EI2" s="26">
        <v>3600000</v>
      </c>
      <c r="EJ2" s="26">
        <v>400000</v>
      </c>
      <c r="EK2" s="26" t="b">
        <v>1</v>
      </c>
      <c r="EL2" s="26" t="b">
        <v>0</v>
      </c>
      <c r="EM2" s="26"/>
      <c r="EN2" s="26" t="s">
        <v>891</v>
      </c>
    </row>
    <row r="8" customHeight="1" spans="39:39">
      <c r="AM8"/>
    </row>
    <row r="9" customHeight="1" spans="39:39">
      <c r="AM9"/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1"/>
  <sheetViews>
    <sheetView workbookViewId="0">
      <selection activeCell="D8" sqref="D8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672</v>
      </c>
      <c r="F1" s="3" t="s">
        <v>4</v>
      </c>
      <c r="G1" s="3" t="s">
        <v>5</v>
      </c>
      <c r="H1" s="3" t="s">
        <v>677</v>
      </c>
      <c r="I1" s="3" t="s">
        <v>673</v>
      </c>
      <c r="J1" s="3" t="s">
        <v>1048</v>
      </c>
      <c r="K1" s="3" t="s">
        <v>1049</v>
      </c>
      <c r="L1" s="3" t="s">
        <v>760</v>
      </c>
      <c r="M1" s="3" t="s">
        <v>1050</v>
      </c>
      <c r="N1" s="3" t="s">
        <v>1051</v>
      </c>
      <c r="O1" s="3" t="s">
        <v>1052</v>
      </c>
      <c r="P1" s="3" t="s">
        <v>1053</v>
      </c>
      <c r="Q1" s="3" t="s">
        <v>1054</v>
      </c>
      <c r="R1" s="3" t="s">
        <v>676</v>
      </c>
      <c r="S1" s="3" t="s">
        <v>1055</v>
      </c>
      <c r="T1" s="3" t="s">
        <v>1056</v>
      </c>
      <c r="U1" s="3" t="s">
        <v>1057</v>
      </c>
      <c r="V1" s="3" t="s">
        <v>674</v>
      </c>
      <c r="W1" s="3" t="s">
        <v>675</v>
      </c>
      <c r="X1" s="3" t="s">
        <v>1058</v>
      </c>
      <c r="Y1" s="3" t="s">
        <v>670</v>
      </c>
      <c r="Z1" s="3" t="s">
        <v>671</v>
      </c>
      <c r="AA1" s="3" t="s">
        <v>669</v>
      </c>
      <c r="AB1" s="3" t="s">
        <v>668</v>
      </c>
      <c r="AC1" s="3" t="s">
        <v>667</v>
      </c>
      <c r="AD1" s="3" t="s">
        <v>666</v>
      </c>
      <c r="AE1" s="3" t="s">
        <v>1059</v>
      </c>
      <c r="AF1" s="3" t="s">
        <v>1060</v>
      </c>
      <c r="AG1" s="3" t="s">
        <v>762</v>
      </c>
      <c r="AH1" s="3" t="s">
        <v>761</v>
      </c>
      <c r="AI1" s="3" t="s">
        <v>1061</v>
      </c>
      <c r="AJ1" s="3" t="s">
        <v>680</v>
      </c>
      <c r="AK1" s="3" t="s">
        <v>1062</v>
      </c>
      <c r="AL1" s="3" t="s">
        <v>1063</v>
      </c>
      <c r="AM1" s="3" t="s">
        <v>764</v>
      </c>
      <c r="AN1" s="3" t="s">
        <v>763</v>
      </c>
      <c r="AO1" s="12" t="s">
        <v>15</v>
      </c>
      <c r="AP1" s="10" t="s">
        <v>16</v>
      </c>
      <c r="AQ1" s="10" t="s">
        <v>17</v>
      </c>
      <c r="AR1" s="10" t="s">
        <v>161</v>
      </c>
      <c r="AS1" s="10" t="s">
        <v>162</v>
      </c>
      <c r="AT1" s="10" t="s">
        <v>163</v>
      </c>
      <c r="AU1" s="18" t="s">
        <v>164</v>
      </c>
      <c r="AV1" s="10" t="s">
        <v>165</v>
      </c>
      <c r="AW1" s="10" t="s">
        <v>166</v>
      </c>
      <c r="AX1" s="10" t="s">
        <v>167</v>
      </c>
      <c r="AY1" s="10" t="s">
        <v>168</v>
      </c>
      <c r="AZ1" s="18" t="s">
        <v>169</v>
      </c>
    </row>
    <row r="2" s="1" customFormat="1" ht="50" customHeight="1" spans="1:52">
      <c r="A2" s="4" t="s">
        <v>1064</v>
      </c>
      <c r="B2" s="7" t="s">
        <v>1065</v>
      </c>
      <c r="C2" s="6"/>
      <c r="D2" s="1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13"/>
      <c r="AP2" s="9"/>
      <c r="AQ2" s="9"/>
      <c r="AR2" s="9"/>
      <c r="AS2" s="9"/>
      <c r="AT2" s="9"/>
      <c r="AU2" s="19"/>
      <c r="AV2" s="9"/>
      <c r="AW2" s="9"/>
      <c r="AX2" s="9"/>
      <c r="AY2" s="9"/>
      <c r="AZ2" s="19"/>
    </row>
    <row r="3" s="1" customFormat="1" ht="69" customHeight="1" spans="1:52">
      <c r="A3" s="4" t="s">
        <v>1066</v>
      </c>
      <c r="B3" s="7" t="s">
        <v>1067</v>
      </c>
      <c r="C3" s="8"/>
      <c r="D3" s="1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13"/>
      <c r="AP3" s="9"/>
      <c r="AQ3" s="9"/>
      <c r="AR3" s="9"/>
      <c r="AS3" s="9"/>
      <c r="AT3" s="9"/>
      <c r="AU3" s="19"/>
      <c r="AV3" s="9"/>
      <c r="AW3" s="9"/>
      <c r="AX3" s="9"/>
      <c r="AY3" s="9"/>
      <c r="AZ3" s="19"/>
    </row>
    <row r="4" s="1" customFormat="1" ht="69" customHeight="1" spans="1:52">
      <c r="A4" s="4" t="s">
        <v>1068</v>
      </c>
      <c r="B4" s="7" t="s">
        <v>1069</v>
      </c>
      <c r="C4" s="8"/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13"/>
      <c r="AP4" s="9"/>
      <c r="AQ4" s="9"/>
      <c r="AR4" s="9"/>
      <c r="AS4" s="9"/>
      <c r="AT4" s="9"/>
      <c r="AU4" s="19"/>
      <c r="AV4" s="9"/>
      <c r="AW4" s="9"/>
      <c r="AX4" s="9"/>
      <c r="AY4" s="9"/>
      <c r="AZ4" s="19"/>
    </row>
    <row r="5" s="1" customFormat="1" ht="69" customHeight="1" spans="1:52">
      <c r="A5" s="4" t="s">
        <v>1070</v>
      </c>
      <c r="B5" s="20" t="s">
        <v>1071</v>
      </c>
      <c r="C5" s="8"/>
      <c r="D5" s="1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13"/>
      <c r="AP5" s="9"/>
      <c r="AQ5" s="9"/>
      <c r="AR5" s="9"/>
      <c r="AS5" s="9"/>
      <c r="AT5" s="9"/>
      <c r="AU5" s="19"/>
      <c r="AV5" s="9"/>
      <c r="AW5" s="9"/>
      <c r="AX5" s="9"/>
      <c r="AY5" s="9"/>
      <c r="AZ5" s="19"/>
    </row>
    <row r="6" s="1" customFormat="1" ht="69" customHeight="1" spans="1:52">
      <c r="A6" s="4" t="s">
        <v>1072</v>
      </c>
      <c r="B6" s="21" t="s">
        <v>1073</v>
      </c>
      <c r="C6" s="8"/>
      <c r="D6" s="1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13"/>
      <c r="AP6" s="9"/>
      <c r="AQ6" s="9"/>
      <c r="AR6" s="9"/>
      <c r="AS6" s="9"/>
      <c r="AT6" s="9"/>
      <c r="AU6" s="19"/>
      <c r="AV6" s="9"/>
      <c r="AW6" s="9"/>
      <c r="AX6" s="9"/>
      <c r="AY6" s="9"/>
      <c r="AZ6" s="19"/>
    </row>
    <row r="7" s="1" customFormat="1" ht="69" customHeight="1" spans="1:52">
      <c r="A7" s="4" t="s">
        <v>1074</v>
      </c>
      <c r="B7" s="21" t="s">
        <v>1075</v>
      </c>
      <c r="C7" s="8"/>
      <c r="D7" s="1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13"/>
      <c r="AP7" s="9"/>
      <c r="AQ7" s="9"/>
      <c r="AR7" s="9"/>
      <c r="AS7" s="9"/>
      <c r="AT7" s="9"/>
      <c r="AU7" s="19"/>
      <c r="AV7" s="9"/>
      <c r="AW7" s="9"/>
      <c r="AX7" s="9"/>
      <c r="AY7" s="9"/>
      <c r="AZ7" s="19"/>
    </row>
    <row r="8" s="1" customFormat="1" ht="69" customHeight="1" spans="1:52">
      <c r="A8" s="4" t="s">
        <v>1076</v>
      </c>
      <c r="B8" s="21" t="s">
        <v>1077</v>
      </c>
      <c r="C8" s="8"/>
      <c r="D8" s="1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13"/>
      <c r="AP8" s="9"/>
      <c r="AQ8" s="9"/>
      <c r="AR8" s="9"/>
      <c r="AS8" s="9"/>
      <c r="AT8" s="9"/>
      <c r="AU8" s="19"/>
      <c r="AV8" s="9"/>
      <c r="AW8" s="9"/>
      <c r="AX8" s="9"/>
      <c r="AY8" s="9"/>
      <c r="AZ8" s="19"/>
    </row>
    <row r="9" s="1" customFormat="1" ht="80" customHeight="1" spans="1:52">
      <c r="A9" s="4" t="s">
        <v>1078</v>
      </c>
      <c r="B9" s="21" t="s">
        <v>1079</v>
      </c>
      <c r="C9" s="8"/>
      <c r="D9" s="1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13"/>
      <c r="AP9" s="9"/>
      <c r="AQ9" s="9"/>
      <c r="AR9" s="9"/>
      <c r="AS9" s="9"/>
      <c r="AT9" s="9"/>
      <c r="AU9" s="19"/>
      <c r="AV9" s="9"/>
      <c r="AW9" s="9"/>
      <c r="AX9" s="9"/>
      <c r="AY9" s="9"/>
      <c r="AZ9" s="19"/>
    </row>
    <row r="10" s="1" customFormat="1" ht="68" customHeight="1" spans="1:52">
      <c r="A10" s="4" t="s">
        <v>1080</v>
      </c>
      <c r="B10" s="21" t="s">
        <v>1081</v>
      </c>
      <c r="C10" s="8"/>
      <c r="D10" s="1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13"/>
      <c r="AP10" s="9"/>
      <c r="AQ10" s="9"/>
      <c r="AR10" s="9"/>
      <c r="AS10" s="9"/>
      <c r="AT10" s="9"/>
      <c r="AU10" s="19"/>
      <c r="AV10" s="9"/>
      <c r="AW10" s="9"/>
      <c r="AX10" s="9"/>
      <c r="AY10" s="9"/>
      <c r="AZ10" s="19"/>
    </row>
    <row r="11" s="1" customFormat="1" ht="86" customHeight="1" spans="1:52">
      <c r="A11" s="4" t="s">
        <v>1082</v>
      </c>
      <c r="B11" s="21" t="s">
        <v>1083</v>
      </c>
      <c r="C11" s="8"/>
      <c r="D11" s="1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13"/>
      <c r="AP11" s="9"/>
      <c r="AQ11" s="9"/>
      <c r="AR11" s="9"/>
      <c r="AS11" s="9"/>
      <c r="AT11" s="9"/>
      <c r="AU11" s="19"/>
      <c r="AV11" s="9"/>
      <c r="AW11" s="9"/>
      <c r="AX11" s="9"/>
      <c r="AY11" s="9"/>
      <c r="AZ11" s="19"/>
    </row>
    <row r="12" s="1" customFormat="1" ht="67" customHeight="1" spans="1:52">
      <c r="A12" s="4" t="s">
        <v>1084</v>
      </c>
      <c r="B12" s="21" t="s">
        <v>1085</v>
      </c>
      <c r="C12" s="8"/>
      <c r="D12" s="1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13"/>
      <c r="AP12" s="9"/>
      <c r="AQ12" s="9"/>
      <c r="AR12" s="9"/>
      <c r="AS12" s="9"/>
      <c r="AT12" s="9"/>
      <c r="AU12" s="19"/>
      <c r="AV12" s="9"/>
      <c r="AW12" s="9"/>
      <c r="AX12" s="9"/>
      <c r="AY12" s="9"/>
      <c r="AZ12" s="19"/>
    </row>
    <row r="13" s="1" customFormat="1" ht="58" customHeight="1" spans="1:52">
      <c r="A13" s="4" t="s">
        <v>1086</v>
      </c>
      <c r="B13" s="21" t="s">
        <v>1087</v>
      </c>
      <c r="C13" s="8"/>
      <c r="D13" s="1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13"/>
      <c r="AP13" s="9"/>
      <c r="AQ13" s="9"/>
      <c r="AR13" s="9"/>
      <c r="AS13" s="9"/>
      <c r="AT13" s="9"/>
      <c r="AU13" s="19"/>
      <c r="AV13" s="9"/>
      <c r="AW13" s="9"/>
      <c r="AX13" s="9"/>
      <c r="AY13" s="9"/>
      <c r="AZ13" s="19"/>
    </row>
    <row r="14" s="1" customFormat="1" ht="69" customHeight="1" spans="1:52">
      <c r="A14" s="4" t="s">
        <v>1088</v>
      </c>
      <c r="B14" s="22"/>
      <c r="C14" s="8"/>
      <c r="D14" s="1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13"/>
      <c r="AP14" s="9"/>
      <c r="AQ14" s="9"/>
      <c r="AR14" s="9"/>
      <c r="AS14" s="9"/>
      <c r="AT14" s="9"/>
      <c r="AU14" s="19"/>
      <c r="AV14" s="9"/>
      <c r="AW14" s="9"/>
      <c r="AX14" s="9"/>
      <c r="AY14" s="9"/>
      <c r="AZ14" s="19"/>
    </row>
    <row r="15" s="1" customFormat="1" ht="69" customHeight="1" spans="1:52">
      <c r="A15" s="4" t="s">
        <v>1089</v>
      </c>
      <c r="B15" s="21"/>
      <c r="C15" s="8"/>
      <c r="D15" s="1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13"/>
      <c r="AP15" s="9"/>
      <c r="AQ15" s="9"/>
      <c r="AR15" s="9"/>
      <c r="AS15" s="9"/>
      <c r="AT15" s="9"/>
      <c r="AU15" s="19"/>
      <c r="AV15" s="9"/>
      <c r="AW15" s="9"/>
      <c r="AX15" s="9"/>
      <c r="AY15" s="9"/>
      <c r="AZ15" s="19"/>
    </row>
    <row r="16" s="1" customFormat="1" ht="69" customHeight="1" spans="1:52">
      <c r="A16" s="4" t="s">
        <v>1090</v>
      </c>
      <c r="B16" s="21"/>
      <c r="C16" s="8"/>
      <c r="D16" s="1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13"/>
      <c r="AP16" s="9"/>
      <c r="AQ16" s="9"/>
      <c r="AR16" s="9"/>
      <c r="AS16" s="9"/>
      <c r="AT16" s="9"/>
      <c r="AU16" s="19"/>
      <c r="AV16" s="9"/>
      <c r="AW16" s="9"/>
      <c r="AX16" s="9"/>
      <c r="AY16" s="9"/>
      <c r="AZ16" s="19"/>
    </row>
    <row r="17" s="1" customFormat="1" ht="69" customHeight="1" spans="1:52">
      <c r="A17" s="4" t="s">
        <v>1091</v>
      </c>
      <c r="B17" s="21"/>
      <c r="C17" s="8"/>
      <c r="D17" s="1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13"/>
      <c r="AP17" s="9"/>
      <c r="AQ17" s="9"/>
      <c r="AR17" s="9"/>
      <c r="AS17" s="9"/>
      <c r="AT17" s="9"/>
      <c r="AU17" s="19"/>
      <c r="AV17" s="9"/>
      <c r="AW17" s="9"/>
      <c r="AX17" s="9"/>
      <c r="AY17" s="9"/>
      <c r="AZ17" s="19"/>
    </row>
    <row r="18" s="1" customFormat="1" ht="69" customHeight="1" spans="1:52">
      <c r="A18" s="4" t="s">
        <v>1092</v>
      </c>
      <c r="B18" s="21"/>
      <c r="C18" s="8"/>
      <c r="D18" s="1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13"/>
      <c r="AP18" s="9"/>
      <c r="AQ18" s="9"/>
      <c r="AR18" s="9"/>
      <c r="AS18" s="9"/>
      <c r="AT18" s="9"/>
      <c r="AU18" s="19"/>
      <c r="AV18" s="9"/>
      <c r="AW18" s="9"/>
      <c r="AX18" s="9"/>
      <c r="AY18" s="9"/>
      <c r="AZ18" s="19"/>
    </row>
    <row r="19" s="1" customFormat="1" ht="69" customHeight="1" spans="1:52">
      <c r="A19" s="4" t="s">
        <v>1093</v>
      </c>
      <c r="B19" s="21"/>
      <c r="C19" s="8"/>
      <c r="D19" s="1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13"/>
      <c r="AP19" s="9"/>
      <c r="AQ19" s="9"/>
      <c r="AR19" s="9"/>
      <c r="AS19" s="9"/>
      <c r="AT19" s="9"/>
      <c r="AU19" s="19"/>
      <c r="AV19" s="9"/>
      <c r="AW19" s="9"/>
      <c r="AX19" s="9"/>
      <c r="AY19" s="9"/>
      <c r="AZ19" s="19"/>
    </row>
    <row r="20" s="1" customFormat="1" ht="69" customHeight="1" spans="1:52">
      <c r="A20" s="4" t="s">
        <v>1094</v>
      </c>
      <c r="B20" s="21"/>
      <c r="C20" s="8"/>
      <c r="D20" s="1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13"/>
      <c r="AP20" s="9"/>
      <c r="AQ20" s="9"/>
      <c r="AR20" s="9"/>
      <c r="AS20" s="9"/>
      <c r="AT20" s="9"/>
      <c r="AU20" s="19"/>
      <c r="AV20" s="9"/>
      <c r="AW20" s="9"/>
      <c r="AX20" s="9"/>
      <c r="AY20" s="9"/>
      <c r="AZ20" s="19"/>
    </row>
    <row r="21" s="1" customFormat="1" ht="69" customHeight="1" spans="1:52">
      <c r="A21" s="4" t="s">
        <v>1095</v>
      </c>
      <c r="B21" s="9"/>
      <c r="C21" s="8"/>
      <c r="D21" s="1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13"/>
      <c r="AP21" s="9"/>
      <c r="AQ21" s="9"/>
      <c r="AR21" s="9"/>
      <c r="AS21" s="9"/>
      <c r="AT21" s="9"/>
      <c r="AU21" s="19"/>
      <c r="AV21" s="9"/>
      <c r="AW21" s="9"/>
      <c r="AX21" s="9"/>
      <c r="AY21" s="9"/>
      <c r="AZ21" s="19"/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"/>
  <sheetViews>
    <sheetView zoomScale="85" zoomScaleNormal="85" workbookViewId="0">
      <pane ySplit="1" topLeftCell="A22" activePane="bottomLeft" state="frozen"/>
      <selection/>
      <selection pane="bottomLeft" activeCell="AL6" sqref="AL6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672</v>
      </c>
      <c r="F1" s="3" t="s">
        <v>4</v>
      </c>
      <c r="G1" s="3" t="s">
        <v>5</v>
      </c>
      <c r="H1" s="3" t="s">
        <v>677</v>
      </c>
      <c r="I1" s="3" t="s">
        <v>673</v>
      </c>
      <c r="J1" s="3" t="s">
        <v>1048</v>
      </c>
      <c r="K1" s="3" t="s">
        <v>1049</v>
      </c>
      <c r="L1" s="3" t="s">
        <v>760</v>
      </c>
      <c r="M1" s="3" t="s">
        <v>1050</v>
      </c>
      <c r="N1" s="3" t="s">
        <v>1051</v>
      </c>
      <c r="O1" s="3" t="s">
        <v>1052</v>
      </c>
      <c r="P1" s="3" t="s">
        <v>1053</v>
      </c>
      <c r="Q1" s="3" t="s">
        <v>1054</v>
      </c>
      <c r="R1" s="3" t="s">
        <v>676</v>
      </c>
      <c r="S1" s="3" t="s">
        <v>1055</v>
      </c>
      <c r="T1" s="3" t="s">
        <v>1056</v>
      </c>
      <c r="U1" s="3" t="s">
        <v>1057</v>
      </c>
      <c r="V1" s="3" t="s">
        <v>674</v>
      </c>
      <c r="W1" s="3" t="s">
        <v>675</v>
      </c>
      <c r="X1" s="3" t="s">
        <v>1058</v>
      </c>
      <c r="Y1" s="3" t="s">
        <v>670</v>
      </c>
      <c r="Z1" s="3" t="s">
        <v>671</v>
      </c>
      <c r="AA1" s="3" t="s">
        <v>669</v>
      </c>
      <c r="AB1" s="3" t="s">
        <v>668</v>
      </c>
      <c r="AC1" s="3" t="s">
        <v>667</v>
      </c>
      <c r="AD1" s="3" t="s">
        <v>666</v>
      </c>
      <c r="AE1" s="3" t="s">
        <v>1059</v>
      </c>
      <c r="AF1" s="3" t="s">
        <v>1060</v>
      </c>
      <c r="AG1" s="3" t="s">
        <v>762</v>
      </c>
      <c r="AH1" s="3" t="s">
        <v>761</v>
      </c>
      <c r="AI1" s="3" t="s">
        <v>1061</v>
      </c>
      <c r="AJ1" s="3" t="s">
        <v>680</v>
      </c>
      <c r="AK1" s="3" t="s">
        <v>1062</v>
      </c>
      <c r="AL1" s="3" t="s">
        <v>1063</v>
      </c>
      <c r="AM1" s="3" t="s">
        <v>764</v>
      </c>
      <c r="AN1" s="3" t="s">
        <v>763</v>
      </c>
      <c r="AO1" s="12" t="s">
        <v>15</v>
      </c>
      <c r="AP1" s="10" t="s">
        <v>16</v>
      </c>
      <c r="AQ1" s="10" t="s">
        <v>17</v>
      </c>
      <c r="AR1" s="10" t="s">
        <v>161</v>
      </c>
      <c r="AS1" s="10" t="s">
        <v>162</v>
      </c>
      <c r="AT1" s="10" t="s">
        <v>163</v>
      </c>
      <c r="AU1" s="18" t="s">
        <v>164</v>
      </c>
      <c r="AV1" s="10" t="s">
        <v>165</v>
      </c>
      <c r="AW1" s="10" t="s">
        <v>166</v>
      </c>
      <c r="AX1" s="10" t="s">
        <v>167</v>
      </c>
      <c r="AY1" s="10" t="s">
        <v>168</v>
      </c>
      <c r="AZ1" s="18" t="s">
        <v>169</v>
      </c>
    </row>
    <row r="2" ht="50" customHeight="1" spans="1:52">
      <c r="A2" s="4" t="s">
        <v>1096</v>
      </c>
      <c r="B2" s="5" t="s">
        <v>1097</v>
      </c>
      <c r="C2" s="6" t="s">
        <v>29</v>
      </c>
      <c r="D2" s="17" t="s">
        <v>172</v>
      </c>
      <c r="E2" s="7" t="s">
        <v>1098</v>
      </c>
      <c r="F2" s="7" t="s">
        <v>640</v>
      </c>
      <c r="G2" s="7" t="s">
        <v>1099</v>
      </c>
      <c r="H2" s="7" t="s">
        <v>174</v>
      </c>
      <c r="I2" s="7" t="s">
        <v>175</v>
      </c>
      <c r="J2" s="7"/>
      <c r="K2" s="7" t="s">
        <v>176</v>
      </c>
      <c r="L2" s="7" t="s">
        <v>178</v>
      </c>
      <c r="M2" s="7" t="s">
        <v>177</v>
      </c>
      <c r="N2" s="7" t="s">
        <v>178</v>
      </c>
      <c r="O2" s="7" t="s">
        <v>177</v>
      </c>
      <c r="P2" s="7" t="s">
        <v>178</v>
      </c>
      <c r="Q2" s="7" t="s">
        <v>178</v>
      </c>
      <c r="R2" s="7"/>
      <c r="S2" s="7" t="s">
        <v>177</v>
      </c>
      <c r="T2" s="7" t="s">
        <v>638</v>
      </c>
      <c r="U2" s="7" t="s">
        <v>1098</v>
      </c>
      <c r="V2" s="7" t="s">
        <v>68</v>
      </c>
      <c r="W2" s="7"/>
      <c r="X2" s="7"/>
      <c r="Y2" s="7" t="s">
        <v>181</v>
      </c>
      <c r="Z2" s="7" t="s">
        <v>639</v>
      </c>
      <c r="AA2" s="7" t="s">
        <v>183</v>
      </c>
      <c r="AB2" s="7" t="s">
        <v>1100</v>
      </c>
      <c r="AC2" s="7" t="s">
        <v>1101</v>
      </c>
      <c r="AD2" s="7" t="s">
        <v>178</v>
      </c>
      <c r="AE2" s="7"/>
      <c r="AF2" s="7" t="s">
        <v>1102</v>
      </c>
      <c r="AG2" s="7" t="s">
        <v>773</v>
      </c>
      <c r="AH2" s="7" t="s">
        <v>34</v>
      </c>
      <c r="AI2" s="7" t="s">
        <v>174</v>
      </c>
      <c r="AJ2" s="7" t="s">
        <v>33</v>
      </c>
      <c r="AK2" s="7" t="s">
        <v>36</v>
      </c>
      <c r="AL2" s="7" t="s">
        <v>36</v>
      </c>
      <c r="AM2" s="7"/>
      <c r="AN2" s="7"/>
      <c r="AO2" s="13" t="s">
        <v>187</v>
      </c>
      <c r="AP2" s="9">
        <v>200</v>
      </c>
      <c r="AQ2" s="9">
        <v>1</v>
      </c>
      <c r="AR2" s="9" t="s">
        <v>188</v>
      </c>
      <c r="AS2" s="9" t="s">
        <v>175</v>
      </c>
      <c r="AT2" s="9" t="s">
        <v>34</v>
      </c>
      <c r="AU2" s="19" t="b">
        <v>0</v>
      </c>
      <c r="AV2" s="9" t="s">
        <v>189</v>
      </c>
      <c r="AW2" s="9" t="s">
        <v>188</v>
      </c>
      <c r="AX2" s="9" t="s">
        <v>188</v>
      </c>
      <c r="AY2" s="9" t="s">
        <v>190</v>
      </c>
      <c r="AZ2" s="19" t="b">
        <v>0</v>
      </c>
    </row>
    <row r="3" ht="69" customHeight="1" spans="1:52">
      <c r="A3" s="4" t="s">
        <v>1103</v>
      </c>
      <c r="B3" s="5" t="s">
        <v>1104</v>
      </c>
      <c r="C3" s="8" t="s">
        <v>29</v>
      </c>
      <c r="D3" s="17" t="s">
        <v>172</v>
      </c>
      <c r="E3" s="7" t="s">
        <v>1098</v>
      </c>
      <c r="F3" s="7" t="s">
        <v>640</v>
      </c>
      <c r="G3" s="7" t="s">
        <v>1099</v>
      </c>
      <c r="H3" s="7" t="s">
        <v>174</v>
      </c>
      <c r="I3" s="7" t="s">
        <v>175</v>
      </c>
      <c r="J3" s="7"/>
      <c r="K3" s="7" t="s">
        <v>176</v>
      </c>
      <c r="L3" s="7" t="s">
        <v>178</v>
      </c>
      <c r="M3" s="7" t="s">
        <v>177</v>
      </c>
      <c r="N3" s="7" t="s">
        <v>178</v>
      </c>
      <c r="O3" s="7" t="s">
        <v>177</v>
      </c>
      <c r="P3" s="7" t="s">
        <v>178</v>
      </c>
      <c r="Q3" s="7" t="s">
        <v>178</v>
      </c>
      <c r="R3" s="7"/>
      <c r="S3" s="7" t="s">
        <v>177</v>
      </c>
      <c r="T3" s="7" t="s">
        <v>638</v>
      </c>
      <c r="U3" s="7" t="s">
        <v>1098</v>
      </c>
      <c r="V3" s="7" t="s">
        <v>1105</v>
      </c>
      <c r="W3" s="7"/>
      <c r="X3" s="7"/>
      <c r="Y3" s="7" t="s">
        <v>181</v>
      </c>
      <c r="Z3" s="7" t="s">
        <v>639</v>
      </c>
      <c r="AA3" s="7" t="s">
        <v>183</v>
      </c>
      <c r="AB3" s="7" t="s">
        <v>1100</v>
      </c>
      <c r="AC3" s="7" t="s">
        <v>1101</v>
      </c>
      <c r="AD3" s="7" t="s">
        <v>1106</v>
      </c>
      <c r="AE3" s="7"/>
      <c r="AF3" s="7" t="s">
        <v>1102</v>
      </c>
      <c r="AG3" s="7" t="s">
        <v>773</v>
      </c>
      <c r="AH3" s="7" t="s">
        <v>1107</v>
      </c>
      <c r="AI3" s="7" t="s">
        <v>174</v>
      </c>
      <c r="AJ3" s="7" t="s">
        <v>33</v>
      </c>
      <c r="AK3" s="7" t="s">
        <v>36</v>
      </c>
      <c r="AL3" s="7" t="s">
        <v>36</v>
      </c>
      <c r="AM3" s="7"/>
      <c r="AN3" s="7"/>
      <c r="AO3" s="13" t="s">
        <v>187</v>
      </c>
      <c r="AP3" s="9">
        <v>200</v>
      </c>
      <c r="AQ3" s="9">
        <v>1</v>
      </c>
      <c r="AR3" s="9" t="s">
        <v>188</v>
      </c>
      <c r="AS3" s="9" t="s">
        <v>175</v>
      </c>
      <c r="AT3" s="9" t="s">
        <v>1107</v>
      </c>
      <c r="AU3" s="19" t="b">
        <v>0</v>
      </c>
      <c r="AV3" s="9" t="s">
        <v>189</v>
      </c>
      <c r="AW3" s="9" t="s">
        <v>188</v>
      </c>
      <c r="AX3" s="9" t="s">
        <v>188</v>
      </c>
      <c r="AY3" s="9" t="s">
        <v>190</v>
      </c>
      <c r="AZ3" s="19" t="b">
        <v>0</v>
      </c>
    </row>
    <row r="4" ht="69" customHeight="1" spans="1:52">
      <c r="A4" s="4" t="s">
        <v>1108</v>
      </c>
      <c r="B4" s="9" t="s">
        <v>1109</v>
      </c>
      <c r="C4" s="8" t="s">
        <v>29</v>
      </c>
      <c r="D4" s="17" t="s">
        <v>172</v>
      </c>
      <c r="E4" s="7" t="s">
        <v>1098</v>
      </c>
      <c r="F4" s="7" t="s">
        <v>640</v>
      </c>
      <c r="G4" s="7" t="s">
        <v>1099</v>
      </c>
      <c r="H4" s="7" t="s">
        <v>174</v>
      </c>
      <c r="I4" s="7" t="s">
        <v>175</v>
      </c>
      <c r="J4" s="7"/>
      <c r="K4" s="7" t="s">
        <v>176</v>
      </c>
      <c r="L4" s="7" t="s">
        <v>178</v>
      </c>
      <c r="M4" s="7" t="s">
        <v>177</v>
      </c>
      <c r="N4" s="7" t="s">
        <v>178</v>
      </c>
      <c r="O4" s="7" t="s">
        <v>177</v>
      </c>
      <c r="P4" s="7" t="s">
        <v>178</v>
      </c>
      <c r="Q4" s="7" t="s">
        <v>178</v>
      </c>
      <c r="R4" s="7"/>
      <c r="S4" s="7" t="s">
        <v>177</v>
      </c>
      <c r="T4" s="7" t="s">
        <v>638</v>
      </c>
      <c r="U4" s="7" t="s">
        <v>1098</v>
      </c>
      <c r="V4" s="7" t="s">
        <v>1110</v>
      </c>
      <c r="W4" s="7" t="s">
        <v>1111</v>
      </c>
      <c r="X4" s="7" t="s">
        <v>1111</v>
      </c>
      <c r="Y4" s="7" t="s">
        <v>181</v>
      </c>
      <c r="Z4" s="7" t="s">
        <v>639</v>
      </c>
      <c r="AA4" s="7" t="s">
        <v>183</v>
      </c>
      <c r="AB4" s="7" t="s">
        <v>1112</v>
      </c>
      <c r="AC4" s="7" t="s">
        <v>1113</v>
      </c>
      <c r="AD4" s="7" t="s">
        <v>178</v>
      </c>
      <c r="AE4" s="7"/>
      <c r="AF4" s="7" t="s">
        <v>1102</v>
      </c>
      <c r="AG4" s="7" t="s">
        <v>773</v>
      </c>
      <c r="AH4" s="7" t="s">
        <v>34</v>
      </c>
      <c r="AI4" s="7" t="s">
        <v>174</v>
      </c>
      <c r="AJ4" s="7" t="s">
        <v>33</v>
      </c>
      <c r="AK4" s="7" t="s">
        <v>36</v>
      </c>
      <c r="AL4" s="7" t="s">
        <v>36</v>
      </c>
      <c r="AM4" s="7"/>
      <c r="AN4" s="7"/>
      <c r="AO4" s="13" t="s">
        <v>187</v>
      </c>
      <c r="AP4" s="9">
        <v>200</v>
      </c>
      <c r="AQ4" s="9">
        <v>1</v>
      </c>
      <c r="AR4" s="9" t="s">
        <v>188</v>
      </c>
      <c r="AS4" s="9" t="s">
        <v>175</v>
      </c>
      <c r="AT4" s="9" t="s">
        <v>34</v>
      </c>
      <c r="AU4" s="19" t="b">
        <v>0</v>
      </c>
      <c r="AV4" s="9" t="s">
        <v>189</v>
      </c>
      <c r="AW4" s="9" t="s">
        <v>188</v>
      </c>
      <c r="AX4" s="9" t="s">
        <v>188</v>
      </c>
      <c r="AY4" s="9" t="s">
        <v>190</v>
      </c>
      <c r="AZ4" s="19" t="b">
        <v>1</v>
      </c>
    </row>
    <row r="5" ht="69" customHeight="1" spans="1:52">
      <c r="A5" s="4" t="s">
        <v>1114</v>
      </c>
      <c r="B5" s="9" t="s">
        <v>1115</v>
      </c>
      <c r="C5" s="8" t="s">
        <v>29</v>
      </c>
      <c r="D5" s="17" t="s">
        <v>172</v>
      </c>
      <c r="E5" s="7" t="s">
        <v>1098</v>
      </c>
      <c r="F5" s="7" t="s">
        <v>640</v>
      </c>
      <c r="G5" s="7" t="s">
        <v>1099</v>
      </c>
      <c r="H5" s="7" t="s">
        <v>174</v>
      </c>
      <c r="I5" s="7" t="s">
        <v>175</v>
      </c>
      <c r="J5" s="7"/>
      <c r="K5" s="7" t="s">
        <v>176</v>
      </c>
      <c r="L5" s="7" t="s">
        <v>178</v>
      </c>
      <c r="M5" s="7" t="s">
        <v>177</v>
      </c>
      <c r="N5" s="7" t="s">
        <v>178</v>
      </c>
      <c r="O5" s="7" t="s">
        <v>177</v>
      </c>
      <c r="P5" s="7" t="s">
        <v>178</v>
      </c>
      <c r="Q5" s="7" t="s">
        <v>178</v>
      </c>
      <c r="R5" s="7"/>
      <c r="S5" s="7" t="s">
        <v>177</v>
      </c>
      <c r="T5" s="7" t="s">
        <v>638</v>
      </c>
      <c r="U5" s="7" t="s">
        <v>1098</v>
      </c>
      <c r="V5" s="7" t="s">
        <v>1116</v>
      </c>
      <c r="W5" s="7" t="s">
        <v>1117</v>
      </c>
      <c r="X5" s="7" t="s">
        <v>1117</v>
      </c>
      <c r="Y5" s="7" t="s">
        <v>181</v>
      </c>
      <c r="Z5" s="7" t="s">
        <v>639</v>
      </c>
      <c r="AA5" s="7" t="s">
        <v>183</v>
      </c>
      <c r="AB5" s="7" t="s">
        <v>1112</v>
      </c>
      <c r="AC5" s="7" t="s">
        <v>1113</v>
      </c>
      <c r="AD5" s="7" t="s">
        <v>181</v>
      </c>
      <c r="AE5" s="7"/>
      <c r="AF5" s="7" t="s">
        <v>1102</v>
      </c>
      <c r="AG5" s="7" t="s">
        <v>773</v>
      </c>
      <c r="AH5" s="7" t="s">
        <v>1107</v>
      </c>
      <c r="AI5" s="7" t="s">
        <v>174</v>
      </c>
      <c r="AJ5" s="7" t="s">
        <v>33</v>
      </c>
      <c r="AK5" s="7" t="s">
        <v>36</v>
      </c>
      <c r="AL5" s="7" t="s">
        <v>36</v>
      </c>
      <c r="AM5" s="7"/>
      <c r="AN5" s="7"/>
      <c r="AO5" s="13" t="s">
        <v>187</v>
      </c>
      <c r="AP5" s="9">
        <v>200</v>
      </c>
      <c r="AQ5" s="9">
        <v>1</v>
      </c>
      <c r="AR5" s="9" t="s">
        <v>188</v>
      </c>
      <c r="AS5" s="9" t="s">
        <v>175</v>
      </c>
      <c r="AT5" s="9" t="s">
        <v>1107</v>
      </c>
      <c r="AU5" s="19" t="b">
        <v>0</v>
      </c>
      <c r="AV5" s="9" t="s">
        <v>189</v>
      </c>
      <c r="AW5" s="9" t="s">
        <v>188</v>
      </c>
      <c r="AX5" s="9" t="s">
        <v>188</v>
      </c>
      <c r="AY5" s="9" t="s">
        <v>190</v>
      </c>
      <c r="AZ5" s="19" t="b">
        <v>1</v>
      </c>
    </row>
    <row r="6" ht="234" customHeight="1" spans="1:52">
      <c r="A6" s="4" t="s">
        <v>1118</v>
      </c>
      <c r="B6" s="10" t="s">
        <v>1119</v>
      </c>
      <c r="C6" s="8" t="s">
        <v>29</v>
      </c>
      <c r="D6" s="17" t="s">
        <v>172</v>
      </c>
      <c r="E6" s="7" t="s">
        <v>1098</v>
      </c>
      <c r="F6" s="7" t="s">
        <v>640</v>
      </c>
      <c r="G6" s="7" t="s">
        <v>1099</v>
      </c>
      <c r="H6" s="7" t="s">
        <v>174</v>
      </c>
      <c r="I6" s="7" t="s">
        <v>175</v>
      </c>
      <c r="J6" s="7"/>
      <c r="K6" s="7" t="s">
        <v>176</v>
      </c>
      <c r="L6" s="7" t="s">
        <v>178</v>
      </c>
      <c r="M6" s="7" t="s">
        <v>177</v>
      </c>
      <c r="N6" s="7" t="s">
        <v>178</v>
      </c>
      <c r="O6" s="7" t="s">
        <v>177</v>
      </c>
      <c r="P6" s="7" t="s">
        <v>178</v>
      </c>
      <c r="Q6" s="7" t="s">
        <v>178</v>
      </c>
      <c r="R6" s="7"/>
      <c r="S6" s="7" t="s">
        <v>177</v>
      </c>
      <c r="T6" s="7" t="s">
        <v>638</v>
      </c>
      <c r="U6" s="7" t="s">
        <v>1098</v>
      </c>
      <c r="V6" s="7" t="s">
        <v>1120</v>
      </c>
      <c r="W6" s="7"/>
      <c r="X6" s="7"/>
      <c r="Y6" s="7" t="s">
        <v>181</v>
      </c>
      <c r="Z6" s="7" t="s">
        <v>639</v>
      </c>
      <c r="AA6" s="7" t="s">
        <v>183</v>
      </c>
      <c r="AB6" s="7" t="s">
        <v>1112</v>
      </c>
      <c r="AC6" s="7" t="s">
        <v>1113</v>
      </c>
      <c r="AD6" s="7" t="s">
        <v>1121</v>
      </c>
      <c r="AE6" s="7"/>
      <c r="AF6" s="7" t="s">
        <v>1102</v>
      </c>
      <c r="AG6" s="7" t="s">
        <v>773</v>
      </c>
      <c r="AH6" s="7" t="s">
        <v>34</v>
      </c>
      <c r="AI6" s="7" t="s">
        <v>174</v>
      </c>
      <c r="AJ6" s="7" t="s">
        <v>33</v>
      </c>
      <c r="AK6" s="7" t="s">
        <v>36</v>
      </c>
      <c r="AL6" s="7" t="s">
        <v>1122</v>
      </c>
      <c r="AM6" s="7"/>
      <c r="AN6" s="7"/>
      <c r="AO6" s="13" t="s">
        <v>187</v>
      </c>
      <c r="AP6" s="9">
        <v>200</v>
      </c>
      <c r="AQ6" s="9">
        <v>1</v>
      </c>
      <c r="AR6" s="9" t="s">
        <v>188</v>
      </c>
      <c r="AS6" s="9" t="s">
        <v>175</v>
      </c>
      <c r="AT6" s="9" t="s">
        <v>34</v>
      </c>
      <c r="AU6" s="19" t="b">
        <v>0</v>
      </c>
      <c r="AV6" s="9" t="s">
        <v>189</v>
      </c>
      <c r="AW6" s="9" t="s">
        <v>188</v>
      </c>
      <c r="AX6" s="9" t="s">
        <v>188</v>
      </c>
      <c r="AY6" s="9" t="s">
        <v>190</v>
      </c>
      <c r="AZ6" s="19" t="b">
        <v>0</v>
      </c>
    </row>
    <row r="7" ht="69" customHeight="1" spans="1:52">
      <c r="A7" s="4" t="s">
        <v>1123</v>
      </c>
      <c r="B7" s="10" t="s">
        <v>1124</v>
      </c>
      <c r="C7" s="8" t="s">
        <v>29</v>
      </c>
      <c r="D7" s="17" t="s">
        <v>172</v>
      </c>
      <c r="E7" s="7" t="s">
        <v>1098</v>
      </c>
      <c r="F7" s="7" t="s">
        <v>640</v>
      </c>
      <c r="G7" s="7" t="s">
        <v>1099</v>
      </c>
      <c r="H7" s="7" t="s">
        <v>174</v>
      </c>
      <c r="I7" s="7" t="s">
        <v>175</v>
      </c>
      <c r="J7" s="7"/>
      <c r="K7" s="7" t="s">
        <v>176</v>
      </c>
      <c r="L7" s="7" t="s">
        <v>178</v>
      </c>
      <c r="M7" s="7" t="s">
        <v>177</v>
      </c>
      <c r="N7" s="7" t="s">
        <v>178</v>
      </c>
      <c r="O7" s="7" t="s">
        <v>177</v>
      </c>
      <c r="P7" s="7" t="s">
        <v>178</v>
      </c>
      <c r="Q7" s="7" t="s">
        <v>178</v>
      </c>
      <c r="R7" s="7"/>
      <c r="S7" s="7" t="s">
        <v>177</v>
      </c>
      <c r="T7" s="7" t="s">
        <v>638</v>
      </c>
      <c r="U7" s="7" t="s">
        <v>1098</v>
      </c>
      <c r="V7" s="7" t="s">
        <v>1125</v>
      </c>
      <c r="W7" s="7"/>
      <c r="X7" s="7"/>
      <c r="Y7" s="7" t="s">
        <v>181</v>
      </c>
      <c r="Z7" s="7" t="s">
        <v>639</v>
      </c>
      <c r="AA7" s="7" t="s">
        <v>183</v>
      </c>
      <c r="AB7" s="7" t="s">
        <v>1112</v>
      </c>
      <c r="AC7" s="7" t="s">
        <v>1113</v>
      </c>
      <c r="AD7" s="7" t="s">
        <v>1106</v>
      </c>
      <c r="AE7" s="7"/>
      <c r="AF7" s="7" t="s">
        <v>1102</v>
      </c>
      <c r="AG7" s="7" t="s">
        <v>773</v>
      </c>
      <c r="AH7" s="7" t="s">
        <v>34</v>
      </c>
      <c r="AI7" s="7" t="s">
        <v>174</v>
      </c>
      <c r="AJ7" s="7" t="s">
        <v>33</v>
      </c>
      <c r="AK7" s="7" t="s">
        <v>36</v>
      </c>
      <c r="AL7" s="7" t="s">
        <v>1126</v>
      </c>
      <c r="AM7" s="7"/>
      <c r="AN7" s="7"/>
      <c r="AO7" s="13" t="s">
        <v>187</v>
      </c>
      <c r="AP7" s="9">
        <v>200</v>
      </c>
      <c r="AQ7" s="9">
        <v>1</v>
      </c>
      <c r="AR7" s="9" t="s">
        <v>188</v>
      </c>
      <c r="AS7" s="9" t="s">
        <v>175</v>
      </c>
      <c r="AT7" s="9" t="s">
        <v>34</v>
      </c>
      <c r="AU7" s="19" t="b">
        <v>0</v>
      </c>
      <c r="AV7" s="9" t="s">
        <v>189</v>
      </c>
      <c r="AW7" s="9" t="s">
        <v>188</v>
      </c>
      <c r="AX7" s="9" t="s">
        <v>188</v>
      </c>
      <c r="AY7" s="9" t="s">
        <v>190</v>
      </c>
      <c r="AZ7" s="19" t="b">
        <v>0</v>
      </c>
    </row>
    <row r="8" ht="69" customHeight="1" spans="1:52">
      <c r="A8" s="4" t="s">
        <v>1127</v>
      </c>
      <c r="B8" s="10" t="s">
        <v>1128</v>
      </c>
      <c r="C8" s="8" t="s">
        <v>29</v>
      </c>
      <c r="D8" s="17" t="s">
        <v>172</v>
      </c>
      <c r="E8" s="7" t="s">
        <v>1098</v>
      </c>
      <c r="F8" s="7" t="s">
        <v>640</v>
      </c>
      <c r="G8" s="7" t="s">
        <v>1099</v>
      </c>
      <c r="H8" s="7" t="s">
        <v>174</v>
      </c>
      <c r="I8" s="7" t="s">
        <v>175</v>
      </c>
      <c r="J8" s="7"/>
      <c r="K8" s="7" t="s">
        <v>176</v>
      </c>
      <c r="L8" s="7" t="s">
        <v>178</v>
      </c>
      <c r="M8" s="7" t="s">
        <v>177</v>
      </c>
      <c r="N8" s="7" t="s">
        <v>178</v>
      </c>
      <c r="O8" s="7" t="s">
        <v>177</v>
      </c>
      <c r="P8" s="7" t="s">
        <v>178</v>
      </c>
      <c r="Q8" s="7" t="s">
        <v>178</v>
      </c>
      <c r="R8" s="7"/>
      <c r="S8" s="7" t="s">
        <v>177</v>
      </c>
      <c r="T8" s="7" t="s">
        <v>638</v>
      </c>
      <c r="U8" s="7" t="s">
        <v>1098</v>
      </c>
      <c r="V8" s="7" t="s">
        <v>1129</v>
      </c>
      <c r="W8" s="7"/>
      <c r="X8" s="7"/>
      <c r="Y8" s="7" t="s">
        <v>181</v>
      </c>
      <c r="Z8" s="7" t="s">
        <v>639</v>
      </c>
      <c r="AA8" s="7" t="s">
        <v>183</v>
      </c>
      <c r="AB8" s="7" t="s">
        <v>1130</v>
      </c>
      <c r="AC8" s="7" t="s">
        <v>1131</v>
      </c>
      <c r="AD8" s="7" t="s">
        <v>178</v>
      </c>
      <c r="AE8" s="7"/>
      <c r="AF8" s="7" t="s">
        <v>1102</v>
      </c>
      <c r="AG8" s="7" t="s">
        <v>773</v>
      </c>
      <c r="AH8" s="7" t="s">
        <v>34</v>
      </c>
      <c r="AI8" s="7" t="s">
        <v>174</v>
      </c>
      <c r="AJ8" s="7" t="s">
        <v>33</v>
      </c>
      <c r="AK8" s="7" t="s">
        <v>36</v>
      </c>
      <c r="AL8" s="7" t="s">
        <v>1132</v>
      </c>
      <c r="AM8" s="7"/>
      <c r="AN8" s="7"/>
      <c r="AO8" s="13" t="s">
        <v>187</v>
      </c>
      <c r="AP8" s="9">
        <v>200</v>
      </c>
      <c r="AQ8" s="9">
        <v>1</v>
      </c>
      <c r="AR8" s="9" t="s">
        <v>188</v>
      </c>
      <c r="AS8" s="9" t="s">
        <v>175</v>
      </c>
      <c r="AT8" s="9" t="s">
        <v>34</v>
      </c>
      <c r="AU8" s="19" t="b">
        <v>0</v>
      </c>
      <c r="AV8" s="9" t="s">
        <v>189</v>
      </c>
      <c r="AW8" s="9" t="s">
        <v>188</v>
      </c>
      <c r="AX8" s="9" t="s">
        <v>188</v>
      </c>
      <c r="AY8" s="9" t="s">
        <v>190</v>
      </c>
      <c r="AZ8" s="19" t="b">
        <v>0</v>
      </c>
    </row>
    <row r="9" ht="69" customHeight="1" spans="1:52">
      <c r="A9" s="4" t="s">
        <v>1133</v>
      </c>
      <c r="B9" s="10" t="s">
        <v>428</v>
      </c>
      <c r="C9" s="8" t="s">
        <v>29</v>
      </c>
      <c r="D9" s="17" t="s">
        <v>172</v>
      </c>
      <c r="E9" s="7" t="s">
        <v>1098</v>
      </c>
      <c r="F9" s="7" t="s">
        <v>640</v>
      </c>
      <c r="G9" s="7" t="s">
        <v>1099</v>
      </c>
      <c r="H9" s="7" t="s">
        <v>174</v>
      </c>
      <c r="I9" s="7" t="s">
        <v>175</v>
      </c>
      <c r="J9" s="7"/>
      <c r="K9" s="7" t="s">
        <v>176</v>
      </c>
      <c r="L9" s="7" t="s">
        <v>178</v>
      </c>
      <c r="M9" s="7" t="s">
        <v>177</v>
      </c>
      <c r="N9" s="7" t="s">
        <v>178</v>
      </c>
      <c r="O9" s="7" t="s">
        <v>177</v>
      </c>
      <c r="P9" s="7" t="s">
        <v>178</v>
      </c>
      <c r="Q9" s="7" t="s">
        <v>178</v>
      </c>
      <c r="R9" s="7"/>
      <c r="S9" s="7" t="s">
        <v>177</v>
      </c>
      <c r="T9" s="7" t="s">
        <v>638</v>
      </c>
      <c r="U9" s="7" t="s">
        <v>1098</v>
      </c>
      <c r="V9" s="7" t="s">
        <v>1134</v>
      </c>
      <c r="W9" s="7"/>
      <c r="X9" s="7"/>
      <c r="Y9" s="7" t="s">
        <v>181</v>
      </c>
      <c r="Z9" s="7" t="s">
        <v>639</v>
      </c>
      <c r="AA9" s="7" t="s">
        <v>183</v>
      </c>
      <c r="AB9" s="7" t="s">
        <v>1130</v>
      </c>
      <c r="AC9" s="7" t="s">
        <v>1131</v>
      </c>
      <c r="AD9" s="7" t="s">
        <v>181</v>
      </c>
      <c r="AE9" s="7"/>
      <c r="AF9" s="7" t="s">
        <v>1102</v>
      </c>
      <c r="AG9" s="7" t="s">
        <v>773</v>
      </c>
      <c r="AH9" s="7" t="s">
        <v>34</v>
      </c>
      <c r="AI9" s="7" t="s">
        <v>174</v>
      </c>
      <c r="AJ9" s="7" t="s">
        <v>33</v>
      </c>
      <c r="AK9" s="7" t="s">
        <v>36</v>
      </c>
      <c r="AL9" s="7" t="s">
        <v>1135</v>
      </c>
      <c r="AM9" s="7"/>
      <c r="AN9" s="7"/>
      <c r="AO9" s="13" t="s">
        <v>187</v>
      </c>
      <c r="AP9" s="9">
        <v>200</v>
      </c>
      <c r="AQ9" s="9">
        <v>1</v>
      </c>
      <c r="AR9" s="9" t="s">
        <v>188</v>
      </c>
      <c r="AS9" s="9" t="s">
        <v>175</v>
      </c>
      <c r="AT9" s="9" t="s">
        <v>34</v>
      </c>
      <c r="AU9" s="19" t="b">
        <v>0</v>
      </c>
      <c r="AV9" s="9" t="s">
        <v>189</v>
      </c>
      <c r="AW9" s="9" t="s">
        <v>188</v>
      </c>
      <c r="AX9" s="9" t="s">
        <v>188</v>
      </c>
      <c r="AY9" s="9" t="s">
        <v>190</v>
      </c>
      <c r="AZ9" s="19" t="b">
        <v>0</v>
      </c>
    </row>
    <row r="10" ht="69" customHeight="1" spans="1:52">
      <c r="A10" s="4" t="s">
        <v>1136</v>
      </c>
      <c r="B10" s="10" t="s">
        <v>430</v>
      </c>
      <c r="C10" s="8" t="s">
        <v>29</v>
      </c>
      <c r="D10" s="17" t="s">
        <v>172</v>
      </c>
      <c r="E10" s="7" t="s">
        <v>1098</v>
      </c>
      <c r="F10" s="7" t="s">
        <v>640</v>
      </c>
      <c r="G10" s="7" t="s">
        <v>1099</v>
      </c>
      <c r="H10" s="7" t="s">
        <v>174</v>
      </c>
      <c r="I10" s="7" t="s">
        <v>175</v>
      </c>
      <c r="J10" s="7"/>
      <c r="K10" s="7" t="s">
        <v>176</v>
      </c>
      <c r="L10" s="7" t="s">
        <v>178</v>
      </c>
      <c r="M10" s="7" t="s">
        <v>177</v>
      </c>
      <c r="N10" s="7" t="s">
        <v>178</v>
      </c>
      <c r="O10" s="7" t="s">
        <v>177</v>
      </c>
      <c r="P10" s="7" t="s">
        <v>178</v>
      </c>
      <c r="Q10" s="7" t="s">
        <v>178</v>
      </c>
      <c r="R10" s="7"/>
      <c r="S10" s="7" t="s">
        <v>177</v>
      </c>
      <c r="T10" s="7" t="s">
        <v>638</v>
      </c>
      <c r="U10" s="7" t="s">
        <v>1098</v>
      </c>
      <c r="V10" s="7" t="s">
        <v>1137</v>
      </c>
      <c r="W10" s="7"/>
      <c r="X10" s="7"/>
      <c r="Y10" s="7" t="s">
        <v>181</v>
      </c>
      <c r="Z10" s="7" t="s">
        <v>639</v>
      </c>
      <c r="AA10" s="7" t="s">
        <v>183</v>
      </c>
      <c r="AB10" s="7" t="s">
        <v>1130</v>
      </c>
      <c r="AC10" s="7" t="s">
        <v>1131</v>
      </c>
      <c r="AD10" s="7" t="s">
        <v>1121</v>
      </c>
      <c r="AE10" s="7"/>
      <c r="AF10" s="7" t="s">
        <v>1102</v>
      </c>
      <c r="AG10" s="7" t="s">
        <v>773</v>
      </c>
      <c r="AH10" s="7" t="s">
        <v>34</v>
      </c>
      <c r="AI10" s="7" t="s">
        <v>174</v>
      </c>
      <c r="AJ10" s="7" t="s">
        <v>33</v>
      </c>
      <c r="AK10" s="7" t="s">
        <v>36</v>
      </c>
      <c r="AL10" s="7" t="s">
        <v>1138</v>
      </c>
      <c r="AM10" s="7"/>
      <c r="AN10" s="7"/>
      <c r="AO10" s="13" t="s">
        <v>187</v>
      </c>
      <c r="AP10" s="9">
        <v>200</v>
      </c>
      <c r="AQ10" s="9">
        <v>1</v>
      </c>
      <c r="AR10" s="9" t="s">
        <v>188</v>
      </c>
      <c r="AS10" s="9" t="s">
        <v>175</v>
      </c>
      <c r="AT10" s="9" t="s">
        <v>34</v>
      </c>
      <c r="AU10" s="19" t="b">
        <v>0</v>
      </c>
      <c r="AV10" s="9" t="s">
        <v>189</v>
      </c>
      <c r="AW10" s="9" t="s">
        <v>188</v>
      </c>
      <c r="AX10" s="9" t="s">
        <v>188</v>
      </c>
      <c r="AY10" s="9" t="s">
        <v>190</v>
      </c>
      <c r="AZ10" s="19" t="b">
        <v>0</v>
      </c>
    </row>
    <row r="11" ht="69" customHeight="1" spans="1:52">
      <c r="A11" s="4" t="s">
        <v>1139</v>
      </c>
      <c r="B11" s="10" t="s">
        <v>433</v>
      </c>
      <c r="C11" s="8" t="s">
        <v>29</v>
      </c>
      <c r="D11" s="17" t="s">
        <v>172</v>
      </c>
      <c r="E11" s="7" t="s">
        <v>1098</v>
      </c>
      <c r="F11" s="7" t="s">
        <v>640</v>
      </c>
      <c r="G11" s="7" t="s">
        <v>1099</v>
      </c>
      <c r="H11" s="7" t="s">
        <v>174</v>
      </c>
      <c r="I11" s="7" t="s">
        <v>175</v>
      </c>
      <c r="J11" s="7"/>
      <c r="K11" s="7" t="s">
        <v>176</v>
      </c>
      <c r="L11" s="7" t="s">
        <v>178</v>
      </c>
      <c r="M11" s="7" t="s">
        <v>177</v>
      </c>
      <c r="N11" s="7" t="s">
        <v>178</v>
      </c>
      <c r="O11" s="7" t="s">
        <v>177</v>
      </c>
      <c r="P11" s="7" t="s">
        <v>178</v>
      </c>
      <c r="Q11" s="7" t="s">
        <v>178</v>
      </c>
      <c r="R11" s="7"/>
      <c r="S11" s="7" t="s">
        <v>177</v>
      </c>
      <c r="T11" s="7" t="s">
        <v>638</v>
      </c>
      <c r="U11" s="7" t="s">
        <v>1098</v>
      </c>
      <c r="V11" s="7" t="s">
        <v>1140</v>
      </c>
      <c r="W11" s="7"/>
      <c r="X11" s="7"/>
      <c r="Y11" s="7" t="s">
        <v>181</v>
      </c>
      <c r="Z11" s="7" t="s">
        <v>639</v>
      </c>
      <c r="AA11" s="7" t="s">
        <v>183</v>
      </c>
      <c r="AB11" s="7" t="s">
        <v>1130</v>
      </c>
      <c r="AC11" s="7" t="s">
        <v>1131</v>
      </c>
      <c r="AD11" s="7" t="s">
        <v>1106</v>
      </c>
      <c r="AE11" s="7"/>
      <c r="AF11" s="7" t="s">
        <v>1102</v>
      </c>
      <c r="AG11" s="7" t="s">
        <v>773</v>
      </c>
      <c r="AH11" s="7" t="s">
        <v>34</v>
      </c>
      <c r="AI11" s="7" t="s">
        <v>174</v>
      </c>
      <c r="AJ11" s="7" t="s">
        <v>33</v>
      </c>
      <c r="AK11" s="7" t="s">
        <v>36</v>
      </c>
      <c r="AL11" s="7" t="s">
        <v>1141</v>
      </c>
      <c r="AM11" s="7"/>
      <c r="AN11" s="7"/>
      <c r="AO11" s="13" t="s">
        <v>187</v>
      </c>
      <c r="AP11" s="9">
        <v>200</v>
      </c>
      <c r="AQ11" s="9">
        <v>1</v>
      </c>
      <c r="AR11" s="9" t="s">
        <v>188</v>
      </c>
      <c r="AS11" s="9" t="s">
        <v>175</v>
      </c>
      <c r="AT11" s="9" t="s">
        <v>34</v>
      </c>
      <c r="AU11" s="19" t="b">
        <v>0</v>
      </c>
      <c r="AV11" s="9" t="s">
        <v>189</v>
      </c>
      <c r="AW11" s="9" t="s">
        <v>188</v>
      </c>
      <c r="AX11" s="9" t="s">
        <v>188</v>
      </c>
      <c r="AY11" s="9" t="s">
        <v>190</v>
      </c>
      <c r="AZ11" s="19" t="b">
        <v>0</v>
      </c>
    </row>
    <row r="12" ht="69" customHeight="1" spans="1:52">
      <c r="A12" s="4" t="s">
        <v>1142</v>
      </c>
      <c r="B12" s="9" t="s">
        <v>438</v>
      </c>
      <c r="C12" s="8" t="s">
        <v>29</v>
      </c>
      <c r="D12" s="17" t="s">
        <v>172</v>
      </c>
      <c r="E12" s="7" t="s">
        <v>1098</v>
      </c>
      <c r="F12" s="7" t="s">
        <v>640</v>
      </c>
      <c r="G12" s="7" t="s">
        <v>1099</v>
      </c>
      <c r="H12" s="7" t="s">
        <v>174</v>
      </c>
      <c r="I12" s="7" t="s">
        <v>175</v>
      </c>
      <c r="J12" s="7"/>
      <c r="K12" s="7" t="s">
        <v>176</v>
      </c>
      <c r="L12" s="7" t="s">
        <v>178</v>
      </c>
      <c r="M12" s="7" t="s">
        <v>177</v>
      </c>
      <c r="N12" s="7" t="s">
        <v>178</v>
      </c>
      <c r="O12" s="7" t="s">
        <v>177</v>
      </c>
      <c r="P12" s="7" t="s">
        <v>178</v>
      </c>
      <c r="Q12" s="7" t="s">
        <v>178</v>
      </c>
      <c r="R12" s="7"/>
      <c r="S12" s="7" t="s">
        <v>177</v>
      </c>
      <c r="T12" s="7" t="s">
        <v>638</v>
      </c>
      <c r="U12" s="7" t="s">
        <v>1098</v>
      </c>
      <c r="V12" s="7" t="s">
        <v>1143</v>
      </c>
      <c r="W12" s="7"/>
      <c r="X12" s="7"/>
      <c r="Y12" s="7" t="s">
        <v>181</v>
      </c>
      <c r="Z12" s="7" t="s">
        <v>639</v>
      </c>
      <c r="AA12" s="7" t="s">
        <v>183</v>
      </c>
      <c r="AB12" s="7" t="s">
        <v>1144</v>
      </c>
      <c r="AC12" s="7" t="s">
        <v>1145</v>
      </c>
      <c r="AD12" s="7" t="s">
        <v>178</v>
      </c>
      <c r="AE12" s="7"/>
      <c r="AF12" s="7" t="s">
        <v>1102</v>
      </c>
      <c r="AG12" s="7" t="s">
        <v>773</v>
      </c>
      <c r="AH12" s="7" t="s">
        <v>34</v>
      </c>
      <c r="AI12" s="7" t="s">
        <v>174</v>
      </c>
      <c r="AJ12" s="7" t="s">
        <v>33</v>
      </c>
      <c r="AK12" s="7" t="s">
        <v>36</v>
      </c>
      <c r="AL12" s="7" t="s">
        <v>1146</v>
      </c>
      <c r="AM12" s="7"/>
      <c r="AN12" s="7"/>
      <c r="AO12" s="13" t="s">
        <v>187</v>
      </c>
      <c r="AP12" s="9">
        <v>200</v>
      </c>
      <c r="AQ12" s="9">
        <v>1</v>
      </c>
      <c r="AR12" s="9" t="s">
        <v>188</v>
      </c>
      <c r="AS12" s="9" t="s">
        <v>175</v>
      </c>
      <c r="AT12" s="9" t="s">
        <v>34</v>
      </c>
      <c r="AU12" s="19" t="b">
        <v>0</v>
      </c>
      <c r="AV12" s="9" t="s">
        <v>189</v>
      </c>
      <c r="AW12" s="9" t="s">
        <v>188</v>
      </c>
      <c r="AX12" s="9" t="s">
        <v>188</v>
      </c>
      <c r="AY12" s="9" t="s">
        <v>190</v>
      </c>
      <c r="AZ12" s="19" t="b">
        <v>0</v>
      </c>
    </row>
    <row r="13" ht="69" customHeight="1" spans="1:52">
      <c r="A13" s="4" t="s">
        <v>1147</v>
      </c>
      <c r="B13" s="9" t="s">
        <v>441</v>
      </c>
      <c r="C13" s="8" t="s">
        <v>29</v>
      </c>
      <c r="D13" s="17" t="s">
        <v>172</v>
      </c>
      <c r="E13" s="7" t="s">
        <v>1098</v>
      </c>
      <c r="F13" s="7" t="s">
        <v>640</v>
      </c>
      <c r="G13" s="7" t="s">
        <v>1099</v>
      </c>
      <c r="H13" s="7" t="s">
        <v>174</v>
      </c>
      <c r="I13" s="7" t="s">
        <v>175</v>
      </c>
      <c r="J13" s="7"/>
      <c r="K13" s="7" t="s">
        <v>176</v>
      </c>
      <c r="L13" s="7" t="s">
        <v>178</v>
      </c>
      <c r="M13" s="7" t="s">
        <v>177</v>
      </c>
      <c r="N13" s="7" t="s">
        <v>178</v>
      </c>
      <c r="O13" s="7" t="s">
        <v>177</v>
      </c>
      <c r="P13" s="7" t="s">
        <v>178</v>
      </c>
      <c r="Q13" s="7" t="s">
        <v>178</v>
      </c>
      <c r="R13" s="7"/>
      <c r="S13" s="7" t="s">
        <v>177</v>
      </c>
      <c r="T13" s="7" t="s">
        <v>638</v>
      </c>
      <c r="U13" s="7" t="s">
        <v>1098</v>
      </c>
      <c r="V13" s="7" t="s">
        <v>1148</v>
      </c>
      <c r="W13" s="7"/>
      <c r="X13" s="7"/>
      <c r="Y13" s="7" t="s">
        <v>181</v>
      </c>
      <c r="Z13" s="7" t="s">
        <v>639</v>
      </c>
      <c r="AA13" s="7" t="s">
        <v>183</v>
      </c>
      <c r="AB13" s="7" t="s">
        <v>1144</v>
      </c>
      <c r="AC13" s="7" t="s">
        <v>1145</v>
      </c>
      <c r="AD13" s="7" t="s">
        <v>181</v>
      </c>
      <c r="AE13" s="7"/>
      <c r="AF13" s="7" t="s">
        <v>1102</v>
      </c>
      <c r="AG13" s="7" t="s">
        <v>773</v>
      </c>
      <c r="AH13" s="7" t="s">
        <v>34</v>
      </c>
      <c r="AI13" s="7" t="s">
        <v>174</v>
      </c>
      <c r="AJ13" s="7" t="s">
        <v>33</v>
      </c>
      <c r="AK13" s="7" t="s">
        <v>36</v>
      </c>
      <c r="AL13" s="7" t="s">
        <v>1149</v>
      </c>
      <c r="AM13" s="7"/>
      <c r="AN13" s="7"/>
      <c r="AO13" s="13" t="s">
        <v>187</v>
      </c>
      <c r="AP13" s="9">
        <v>200</v>
      </c>
      <c r="AQ13" s="9">
        <v>1</v>
      </c>
      <c r="AR13" s="9" t="s">
        <v>188</v>
      </c>
      <c r="AS13" s="9" t="s">
        <v>175</v>
      </c>
      <c r="AT13" s="9" t="s">
        <v>34</v>
      </c>
      <c r="AU13" s="19" t="b">
        <v>0</v>
      </c>
      <c r="AV13" s="9" t="s">
        <v>189</v>
      </c>
      <c r="AW13" s="9" t="s">
        <v>188</v>
      </c>
      <c r="AX13" s="9" t="s">
        <v>188</v>
      </c>
      <c r="AY13" s="9" t="s">
        <v>190</v>
      </c>
      <c r="AZ13" s="19" t="b">
        <v>0</v>
      </c>
    </row>
    <row r="14" ht="69" customHeight="1" spans="1:52">
      <c r="A14" s="4" t="s">
        <v>1150</v>
      </c>
      <c r="B14" s="9" t="s">
        <v>444</v>
      </c>
      <c r="C14" s="8" t="s">
        <v>29</v>
      </c>
      <c r="D14" s="17" t="s">
        <v>172</v>
      </c>
      <c r="E14" s="7" t="s">
        <v>1098</v>
      </c>
      <c r="F14" s="7" t="s">
        <v>640</v>
      </c>
      <c r="G14" s="7" t="s">
        <v>1099</v>
      </c>
      <c r="H14" s="7" t="s">
        <v>174</v>
      </c>
      <c r="I14" s="7" t="s">
        <v>175</v>
      </c>
      <c r="J14" s="7"/>
      <c r="K14" s="7" t="s">
        <v>176</v>
      </c>
      <c r="L14" s="7" t="s">
        <v>178</v>
      </c>
      <c r="M14" s="7" t="s">
        <v>177</v>
      </c>
      <c r="N14" s="7" t="s">
        <v>178</v>
      </c>
      <c r="O14" s="7" t="s">
        <v>177</v>
      </c>
      <c r="P14" s="7" t="s">
        <v>178</v>
      </c>
      <c r="Q14" s="7" t="s">
        <v>178</v>
      </c>
      <c r="R14" s="7"/>
      <c r="S14" s="7" t="s">
        <v>177</v>
      </c>
      <c r="T14" s="7" t="s">
        <v>638</v>
      </c>
      <c r="U14" s="7" t="s">
        <v>1098</v>
      </c>
      <c r="V14" s="7" t="s">
        <v>1151</v>
      </c>
      <c r="W14" s="7"/>
      <c r="X14" s="7"/>
      <c r="Y14" s="7" t="s">
        <v>181</v>
      </c>
      <c r="Z14" s="7" t="s">
        <v>639</v>
      </c>
      <c r="AA14" s="7" t="s">
        <v>183</v>
      </c>
      <c r="AB14" s="7" t="s">
        <v>1144</v>
      </c>
      <c r="AC14" s="7" t="s">
        <v>1145</v>
      </c>
      <c r="AD14" s="7" t="s">
        <v>1121</v>
      </c>
      <c r="AE14" s="7"/>
      <c r="AF14" s="7" t="s">
        <v>1102</v>
      </c>
      <c r="AG14" s="7" t="s">
        <v>773</v>
      </c>
      <c r="AH14" s="7" t="s">
        <v>34</v>
      </c>
      <c r="AI14" s="7" t="s">
        <v>174</v>
      </c>
      <c r="AJ14" s="7" t="s">
        <v>33</v>
      </c>
      <c r="AK14" s="7" t="s">
        <v>36</v>
      </c>
      <c r="AL14" s="7" t="s">
        <v>1152</v>
      </c>
      <c r="AM14" s="7"/>
      <c r="AN14" s="7"/>
      <c r="AO14" s="13" t="s">
        <v>187</v>
      </c>
      <c r="AP14" s="9">
        <v>200</v>
      </c>
      <c r="AQ14" s="9">
        <v>1</v>
      </c>
      <c r="AR14" s="9" t="s">
        <v>188</v>
      </c>
      <c r="AS14" s="9" t="s">
        <v>175</v>
      </c>
      <c r="AT14" s="9" t="s">
        <v>34</v>
      </c>
      <c r="AU14" s="19" t="b">
        <v>0</v>
      </c>
      <c r="AV14" s="9" t="s">
        <v>189</v>
      </c>
      <c r="AW14" s="9" t="s">
        <v>188</v>
      </c>
      <c r="AX14" s="9" t="s">
        <v>188</v>
      </c>
      <c r="AY14" s="9" t="s">
        <v>190</v>
      </c>
      <c r="AZ14" s="19" t="b">
        <v>0</v>
      </c>
    </row>
    <row r="15" ht="69" customHeight="1" spans="1:52">
      <c r="A15" s="4" t="s">
        <v>1153</v>
      </c>
      <c r="B15" s="9" t="s">
        <v>447</v>
      </c>
      <c r="C15" s="8" t="s">
        <v>29</v>
      </c>
      <c r="D15" s="17" t="s">
        <v>172</v>
      </c>
      <c r="E15" s="7" t="s">
        <v>1098</v>
      </c>
      <c r="F15" s="7" t="s">
        <v>640</v>
      </c>
      <c r="G15" s="7" t="s">
        <v>1099</v>
      </c>
      <c r="H15" s="7" t="s">
        <v>174</v>
      </c>
      <c r="I15" s="7" t="s">
        <v>175</v>
      </c>
      <c r="J15" s="7"/>
      <c r="K15" s="7" t="s">
        <v>176</v>
      </c>
      <c r="L15" s="7" t="s">
        <v>178</v>
      </c>
      <c r="M15" s="7" t="s">
        <v>177</v>
      </c>
      <c r="N15" s="7" t="s">
        <v>178</v>
      </c>
      <c r="O15" s="7" t="s">
        <v>177</v>
      </c>
      <c r="P15" s="7" t="s">
        <v>178</v>
      </c>
      <c r="Q15" s="7" t="s">
        <v>178</v>
      </c>
      <c r="R15" s="7"/>
      <c r="S15" s="7" t="s">
        <v>177</v>
      </c>
      <c r="T15" s="7" t="s">
        <v>638</v>
      </c>
      <c r="U15" s="7" t="s">
        <v>1098</v>
      </c>
      <c r="V15" s="7" t="s">
        <v>1154</v>
      </c>
      <c r="W15" s="7"/>
      <c r="X15" s="7"/>
      <c r="Y15" s="7" t="s">
        <v>181</v>
      </c>
      <c r="Z15" s="7" t="s">
        <v>639</v>
      </c>
      <c r="AA15" s="7" t="s">
        <v>183</v>
      </c>
      <c r="AB15" s="7" t="s">
        <v>1144</v>
      </c>
      <c r="AC15" s="7" t="s">
        <v>1145</v>
      </c>
      <c r="AD15" s="7" t="s">
        <v>1106</v>
      </c>
      <c r="AE15" s="7"/>
      <c r="AF15" s="7" t="s">
        <v>1102</v>
      </c>
      <c r="AG15" s="7" t="s">
        <v>773</v>
      </c>
      <c r="AH15" s="7" t="s">
        <v>34</v>
      </c>
      <c r="AI15" s="7" t="s">
        <v>174</v>
      </c>
      <c r="AJ15" s="7" t="s">
        <v>33</v>
      </c>
      <c r="AK15" s="7" t="s">
        <v>36</v>
      </c>
      <c r="AL15" s="7" t="s">
        <v>1155</v>
      </c>
      <c r="AM15" s="7"/>
      <c r="AN15" s="7"/>
      <c r="AO15" s="13" t="s">
        <v>187</v>
      </c>
      <c r="AP15" s="9">
        <v>200</v>
      </c>
      <c r="AQ15" s="9">
        <v>1</v>
      </c>
      <c r="AR15" s="9" t="s">
        <v>188</v>
      </c>
      <c r="AS15" s="9" t="s">
        <v>175</v>
      </c>
      <c r="AT15" s="9" t="s">
        <v>34</v>
      </c>
      <c r="AU15" s="19" t="b">
        <v>0</v>
      </c>
      <c r="AV15" s="9" t="s">
        <v>189</v>
      </c>
      <c r="AW15" s="9" t="s">
        <v>188</v>
      </c>
      <c r="AX15" s="9" t="s">
        <v>188</v>
      </c>
      <c r="AY15" s="9" t="s">
        <v>190</v>
      </c>
      <c r="AZ15" s="19" t="b">
        <v>0</v>
      </c>
    </row>
    <row r="16" ht="69" customHeight="1" spans="1:52">
      <c r="A16" s="4" t="s">
        <v>1156</v>
      </c>
      <c r="B16" s="9" t="s">
        <v>450</v>
      </c>
      <c r="C16" s="8" t="s">
        <v>29</v>
      </c>
      <c r="D16" s="17" t="s">
        <v>172</v>
      </c>
      <c r="E16" s="7" t="s">
        <v>1098</v>
      </c>
      <c r="F16" s="7" t="s">
        <v>640</v>
      </c>
      <c r="G16" s="7" t="s">
        <v>1099</v>
      </c>
      <c r="H16" s="7" t="s">
        <v>174</v>
      </c>
      <c r="I16" s="7" t="s">
        <v>175</v>
      </c>
      <c r="J16" s="7"/>
      <c r="K16" s="7" t="s">
        <v>176</v>
      </c>
      <c r="L16" s="7" t="s">
        <v>178</v>
      </c>
      <c r="M16" s="7" t="s">
        <v>177</v>
      </c>
      <c r="N16" s="7" t="s">
        <v>178</v>
      </c>
      <c r="O16" s="7" t="s">
        <v>177</v>
      </c>
      <c r="P16" s="7" t="s">
        <v>178</v>
      </c>
      <c r="Q16" s="7" t="s">
        <v>178</v>
      </c>
      <c r="R16" s="7"/>
      <c r="S16" s="7" t="s">
        <v>177</v>
      </c>
      <c r="T16" s="7" t="s">
        <v>638</v>
      </c>
      <c r="U16" s="7" t="s">
        <v>1098</v>
      </c>
      <c r="V16" s="7" t="s">
        <v>1157</v>
      </c>
      <c r="W16" s="7"/>
      <c r="X16" s="7"/>
      <c r="Y16" s="7" t="s">
        <v>181</v>
      </c>
      <c r="Z16" s="7" t="s">
        <v>639</v>
      </c>
      <c r="AA16" s="7" t="s">
        <v>183</v>
      </c>
      <c r="AB16" s="7" t="s">
        <v>1158</v>
      </c>
      <c r="AC16" s="7" t="s">
        <v>1159</v>
      </c>
      <c r="AD16" s="7" t="s">
        <v>178</v>
      </c>
      <c r="AE16" s="7"/>
      <c r="AF16" s="7" t="s">
        <v>1102</v>
      </c>
      <c r="AG16" s="7" t="s">
        <v>773</v>
      </c>
      <c r="AH16" s="7" t="s">
        <v>34</v>
      </c>
      <c r="AI16" s="7" t="s">
        <v>174</v>
      </c>
      <c r="AJ16" s="7" t="s">
        <v>33</v>
      </c>
      <c r="AK16" s="7" t="s">
        <v>36</v>
      </c>
      <c r="AL16" s="7" t="s">
        <v>1160</v>
      </c>
      <c r="AM16" s="7"/>
      <c r="AN16" s="7"/>
      <c r="AO16" s="13" t="s">
        <v>187</v>
      </c>
      <c r="AP16" s="9">
        <v>200</v>
      </c>
      <c r="AQ16" s="9">
        <v>1</v>
      </c>
      <c r="AR16" s="9" t="s">
        <v>188</v>
      </c>
      <c r="AS16" s="9" t="s">
        <v>175</v>
      </c>
      <c r="AT16" s="9" t="s">
        <v>34</v>
      </c>
      <c r="AU16" s="19" t="b">
        <v>0</v>
      </c>
      <c r="AV16" s="9" t="s">
        <v>189</v>
      </c>
      <c r="AW16" s="9" t="s">
        <v>188</v>
      </c>
      <c r="AX16" s="9" t="s">
        <v>188</v>
      </c>
      <c r="AY16" s="9" t="s">
        <v>190</v>
      </c>
      <c r="AZ16" s="19" t="b">
        <v>0</v>
      </c>
    </row>
    <row r="17" ht="69" customHeight="1" spans="1:52">
      <c r="A17" s="4" t="s">
        <v>1161</v>
      </c>
      <c r="B17" s="10" t="s">
        <v>454</v>
      </c>
      <c r="C17" s="8" t="s">
        <v>29</v>
      </c>
      <c r="D17" s="17" t="s">
        <v>172</v>
      </c>
      <c r="E17" s="7" t="s">
        <v>1098</v>
      </c>
      <c r="F17" s="7" t="s">
        <v>640</v>
      </c>
      <c r="G17" s="7" t="s">
        <v>1099</v>
      </c>
      <c r="H17" s="7" t="s">
        <v>174</v>
      </c>
      <c r="I17" s="7" t="s">
        <v>175</v>
      </c>
      <c r="J17" s="7"/>
      <c r="K17" s="7" t="s">
        <v>176</v>
      </c>
      <c r="L17" s="7" t="s">
        <v>178</v>
      </c>
      <c r="M17" s="7" t="s">
        <v>177</v>
      </c>
      <c r="N17" s="7" t="s">
        <v>178</v>
      </c>
      <c r="O17" s="7" t="s">
        <v>177</v>
      </c>
      <c r="P17" s="7" t="s">
        <v>178</v>
      </c>
      <c r="Q17" s="7" t="s">
        <v>178</v>
      </c>
      <c r="R17" s="7"/>
      <c r="S17" s="7" t="s">
        <v>177</v>
      </c>
      <c r="T17" s="7" t="s">
        <v>638</v>
      </c>
      <c r="U17" s="7" t="s">
        <v>1098</v>
      </c>
      <c r="V17" s="7" t="s">
        <v>1162</v>
      </c>
      <c r="W17" s="7"/>
      <c r="X17" s="7"/>
      <c r="Y17" s="7" t="s">
        <v>181</v>
      </c>
      <c r="Z17" s="7" t="s">
        <v>639</v>
      </c>
      <c r="AA17" s="7" t="s">
        <v>183</v>
      </c>
      <c r="AB17" s="7" t="s">
        <v>1158</v>
      </c>
      <c r="AC17" s="7" t="s">
        <v>1159</v>
      </c>
      <c r="AD17" s="7" t="s">
        <v>181</v>
      </c>
      <c r="AE17" s="7"/>
      <c r="AF17" s="7" t="s">
        <v>1102</v>
      </c>
      <c r="AG17" s="7" t="s">
        <v>773</v>
      </c>
      <c r="AH17" s="7" t="s">
        <v>34</v>
      </c>
      <c r="AI17" s="7" t="s">
        <v>174</v>
      </c>
      <c r="AJ17" s="7" t="s">
        <v>33</v>
      </c>
      <c r="AK17" s="7" t="s">
        <v>36</v>
      </c>
      <c r="AL17" s="7" t="s">
        <v>1163</v>
      </c>
      <c r="AM17" s="7"/>
      <c r="AN17" s="7"/>
      <c r="AO17" s="13" t="s">
        <v>187</v>
      </c>
      <c r="AP17" s="9">
        <v>200</v>
      </c>
      <c r="AQ17" s="9">
        <v>1</v>
      </c>
      <c r="AR17" s="9" t="s">
        <v>188</v>
      </c>
      <c r="AS17" s="9" t="s">
        <v>175</v>
      </c>
      <c r="AT17" s="9" t="s">
        <v>34</v>
      </c>
      <c r="AU17" s="19" t="b">
        <v>0</v>
      </c>
      <c r="AV17" s="9" t="s">
        <v>189</v>
      </c>
      <c r="AW17" s="9" t="s">
        <v>188</v>
      </c>
      <c r="AX17" s="9" t="s">
        <v>188</v>
      </c>
      <c r="AY17" s="9" t="s">
        <v>190</v>
      </c>
      <c r="AZ17" s="19" t="b">
        <v>0</v>
      </c>
    </row>
    <row r="18" ht="69" customHeight="1" spans="1:52">
      <c r="A18" s="4" t="s">
        <v>1164</v>
      </c>
      <c r="B18" s="10" t="s">
        <v>456</v>
      </c>
      <c r="C18" s="8" t="s">
        <v>29</v>
      </c>
      <c r="D18" s="17" t="s">
        <v>172</v>
      </c>
      <c r="E18" s="7" t="s">
        <v>1098</v>
      </c>
      <c r="F18" s="7" t="s">
        <v>640</v>
      </c>
      <c r="G18" s="7" t="s">
        <v>1099</v>
      </c>
      <c r="H18" s="7" t="s">
        <v>174</v>
      </c>
      <c r="I18" s="7" t="s">
        <v>175</v>
      </c>
      <c r="J18" s="7"/>
      <c r="K18" s="7" t="s">
        <v>176</v>
      </c>
      <c r="L18" s="7" t="s">
        <v>178</v>
      </c>
      <c r="M18" s="7" t="s">
        <v>177</v>
      </c>
      <c r="N18" s="7" t="s">
        <v>178</v>
      </c>
      <c r="O18" s="7" t="s">
        <v>177</v>
      </c>
      <c r="P18" s="7" t="s">
        <v>178</v>
      </c>
      <c r="Q18" s="7" t="s">
        <v>178</v>
      </c>
      <c r="R18" s="7"/>
      <c r="S18" s="7" t="s">
        <v>177</v>
      </c>
      <c r="T18" s="7" t="s">
        <v>638</v>
      </c>
      <c r="U18" s="7" t="s">
        <v>1098</v>
      </c>
      <c r="V18" s="7" t="s">
        <v>1165</v>
      </c>
      <c r="W18" s="7"/>
      <c r="X18" s="7"/>
      <c r="Y18" s="7" t="s">
        <v>181</v>
      </c>
      <c r="Z18" s="7" t="s">
        <v>639</v>
      </c>
      <c r="AA18" s="7" t="s">
        <v>183</v>
      </c>
      <c r="AB18" s="7" t="s">
        <v>1158</v>
      </c>
      <c r="AC18" s="7" t="s">
        <v>1159</v>
      </c>
      <c r="AD18" s="7" t="s">
        <v>1121</v>
      </c>
      <c r="AE18" s="7"/>
      <c r="AF18" s="7" t="s">
        <v>1102</v>
      </c>
      <c r="AG18" s="7" t="s">
        <v>773</v>
      </c>
      <c r="AH18" s="7" t="s">
        <v>34</v>
      </c>
      <c r="AI18" s="7" t="s">
        <v>174</v>
      </c>
      <c r="AJ18" s="7" t="s">
        <v>33</v>
      </c>
      <c r="AK18" s="7" t="s">
        <v>36</v>
      </c>
      <c r="AL18" s="7" t="s">
        <v>1166</v>
      </c>
      <c r="AM18" s="7"/>
      <c r="AN18" s="7"/>
      <c r="AO18" s="13" t="s">
        <v>187</v>
      </c>
      <c r="AP18" s="9">
        <v>200</v>
      </c>
      <c r="AQ18" s="9">
        <v>1</v>
      </c>
      <c r="AR18" s="9" t="s">
        <v>188</v>
      </c>
      <c r="AS18" s="9" t="s">
        <v>175</v>
      </c>
      <c r="AT18" s="9" t="s">
        <v>34</v>
      </c>
      <c r="AU18" s="19" t="b">
        <v>0</v>
      </c>
      <c r="AV18" s="9" t="s">
        <v>189</v>
      </c>
      <c r="AW18" s="9" t="s">
        <v>188</v>
      </c>
      <c r="AX18" s="9" t="s">
        <v>188</v>
      </c>
      <c r="AY18" s="9" t="s">
        <v>190</v>
      </c>
      <c r="AZ18" s="19" t="b">
        <v>0</v>
      </c>
    </row>
    <row r="19" ht="69" customHeight="1" spans="1:52">
      <c r="A19" s="4" t="s">
        <v>1167</v>
      </c>
      <c r="B19" s="10" t="s">
        <v>458</v>
      </c>
      <c r="C19" s="8" t="s">
        <v>29</v>
      </c>
      <c r="D19" s="17" t="s">
        <v>172</v>
      </c>
      <c r="E19" s="7" t="s">
        <v>1098</v>
      </c>
      <c r="F19" s="7" t="s">
        <v>640</v>
      </c>
      <c r="G19" s="7" t="s">
        <v>1099</v>
      </c>
      <c r="H19" s="7" t="s">
        <v>174</v>
      </c>
      <c r="I19" s="7" t="s">
        <v>175</v>
      </c>
      <c r="J19" s="7"/>
      <c r="K19" s="7" t="s">
        <v>176</v>
      </c>
      <c r="L19" s="7" t="s">
        <v>178</v>
      </c>
      <c r="M19" s="7" t="s">
        <v>177</v>
      </c>
      <c r="N19" s="7" t="s">
        <v>178</v>
      </c>
      <c r="O19" s="7" t="s">
        <v>177</v>
      </c>
      <c r="P19" s="7" t="s">
        <v>178</v>
      </c>
      <c r="Q19" s="7" t="s">
        <v>178</v>
      </c>
      <c r="R19" s="7"/>
      <c r="S19" s="7" t="s">
        <v>177</v>
      </c>
      <c r="T19" s="7" t="s">
        <v>638</v>
      </c>
      <c r="U19" s="7" t="s">
        <v>1098</v>
      </c>
      <c r="V19" s="7" t="s">
        <v>1168</v>
      </c>
      <c r="W19" s="7"/>
      <c r="X19" s="7"/>
      <c r="Y19" s="7" t="s">
        <v>181</v>
      </c>
      <c r="Z19" s="7" t="s">
        <v>639</v>
      </c>
      <c r="AA19" s="7" t="s">
        <v>183</v>
      </c>
      <c r="AB19" s="7" t="s">
        <v>1158</v>
      </c>
      <c r="AC19" s="7" t="s">
        <v>1159</v>
      </c>
      <c r="AD19" s="7" t="s">
        <v>1106</v>
      </c>
      <c r="AE19" s="7"/>
      <c r="AF19" s="7" t="s">
        <v>1102</v>
      </c>
      <c r="AG19" s="7" t="s">
        <v>773</v>
      </c>
      <c r="AH19" s="7" t="s">
        <v>34</v>
      </c>
      <c r="AI19" s="7" t="s">
        <v>174</v>
      </c>
      <c r="AJ19" s="7" t="s">
        <v>33</v>
      </c>
      <c r="AK19" s="7" t="s">
        <v>36</v>
      </c>
      <c r="AL19" s="7" t="s">
        <v>1169</v>
      </c>
      <c r="AM19" s="7"/>
      <c r="AN19" s="7"/>
      <c r="AO19" s="13" t="s">
        <v>187</v>
      </c>
      <c r="AP19" s="9">
        <v>200</v>
      </c>
      <c r="AQ19" s="9">
        <v>1</v>
      </c>
      <c r="AR19" s="9" t="s">
        <v>188</v>
      </c>
      <c r="AS19" s="9" t="s">
        <v>175</v>
      </c>
      <c r="AT19" s="9" t="s">
        <v>34</v>
      </c>
      <c r="AU19" s="19" t="b">
        <v>0</v>
      </c>
      <c r="AV19" s="9" t="s">
        <v>189</v>
      </c>
      <c r="AW19" s="9" t="s">
        <v>188</v>
      </c>
      <c r="AX19" s="9" t="s">
        <v>188</v>
      </c>
      <c r="AY19" s="9" t="s">
        <v>190</v>
      </c>
      <c r="AZ19" s="19" t="b">
        <v>0</v>
      </c>
    </row>
    <row r="20" ht="69" customHeight="1" spans="1:52">
      <c r="A20" s="4" t="s">
        <v>1170</v>
      </c>
      <c r="B20" s="10" t="s">
        <v>459</v>
      </c>
      <c r="C20" s="8" t="s">
        <v>29</v>
      </c>
      <c r="D20" s="17" t="s">
        <v>172</v>
      </c>
      <c r="E20" s="7" t="s">
        <v>1098</v>
      </c>
      <c r="F20" s="7" t="s">
        <v>640</v>
      </c>
      <c r="G20" s="7" t="s">
        <v>1099</v>
      </c>
      <c r="H20" s="7" t="s">
        <v>174</v>
      </c>
      <c r="I20" s="7" t="s">
        <v>175</v>
      </c>
      <c r="J20" s="7"/>
      <c r="K20" s="7" t="s">
        <v>176</v>
      </c>
      <c r="L20" s="7" t="s">
        <v>178</v>
      </c>
      <c r="M20" s="7" t="s">
        <v>177</v>
      </c>
      <c r="N20" s="7" t="s">
        <v>178</v>
      </c>
      <c r="O20" s="7" t="s">
        <v>177</v>
      </c>
      <c r="P20" s="7" t="s">
        <v>178</v>
      </c>
      <c r="Q20" s="7" t="s">
        <v>178</v>
      </c>
      <c r="R20" s="7"/>
      <c r="S20" s="7" t="s">
        <v>177</v>
      </c>
      <c r="T20" s="7" t="s">
        <v>638</v>
      </c>
      <c r="U20" s="7" t="s">
        <v>1098</v>
      </c>
      <c r="V20" s="7" t="s">
        <v>1171</v>
      </c>
      <c r="W20" s="7"/>
      <c r="X20" s="7"/>
      <c r="Y20" s="7" t="s">
        <v>181</v>
      </c>
      <c r="Z20" s="7" t="s">
        <v>639</v>
      </c>
      <c r="AA20" s="7" t="s">
        <v>183</v>
      </c>
      <c r="AB20" s="7" t="s">
        <v>1172</v>
      </c>
      <c r="AC20" s="7" t="s">
        <v>1173</v>
      </c>
      <c r="AD20" s="7" t="s">
        <v>178</v>
      </c>
      <c r="AE20" s="7"/>
      <c r="AF20" s="7" t="s">
        <v>1102</v>
      </c>
      <c r="AG20" s="7" t="s">
        <v>773</v>
      </c>
      <c r="AH20" s="7" t="s">
        <v>34</v>
      </c>
      <c r="AI20" s="7" t="s">
        <v>174</v>
      </c>
      <c r="AJ20" s="7" t="s">
        <v>33</v>
      </c>
      <c r="AK20" s="7" t="s">
        <v>36</v>
      </c>
      <c r="AL20" s="7" t="s">
        <v>1174</v>
      </c>
      <c r="AM20" s="7"/>
      <c r="AN20" s="7"/>
      <c r="AO20" s="13" t="s">
        <v>187</v>
      </c>
      <c r="AP20" s="9">
        <v>200</v>
      </c>
      <c r="AQ20" s="9">
        <v>1</v>
      </c>
      <c r="AR20" s="9" t="s">
        <v>188</v>
      </c>
      <c r="AS20" s="9" t="s">
        <v>175</v>
      </c>
      <c r="AT20" s="9" t="s">
        <v>34</v>
      </c>
      <c r="AU20" s="19" t="b">
        <v>0</v>
      </c>
      <c r="AV20" s="9" t="s">
        <v>189</v>
      </c>
      <c r="AW20" s="9" t="s">
        <v>188</v>
      </c>
      <c r="AX20" s="9" t="s">
        <v>188</v>
      </c>
      <c r="AY20" s="9" t="s">
        <v>190</v>
      </c>
      <c r="AZ20" s="19" t="b">
        <v>0</v>
      </c>
    </row>
    <row r="21" ht="69" customHeight="1" spans="1:52">
      <c r="A21" s="4" t="s">
        <v>1175</v>
      </c>
      <c r="B21" s="10" t="s">
        <v>463</v>
      </c>
      <c r="C21" s="8" t="s">
        <v>29</v>
      </c>
      <c r="D21" s="17" t="s">
        <v>172</v>
      </c>
      <c r="E21" s="7" t="s">
        <v>1098</v>
      </c>
      <c r="F21" s="7" t="s">
        <v>640</v>
      </c>
      <c r="G21" s="7" t="s">
        <v>1099</v>
      </c>
      <c r="H21" s="7" t="s">
        <v>174</v>
      </c>
      <c r="I21" s="7" t="s">
        <v>175</v>
      </c>
      <c r="J21" s="7"/>
      <c r="K21" s="7" t="s">
        <v>176</v>
      </c>
      <c r="L21" s="7" t="s">
        <v>178</v>
      </c>
      <c r="M21" s="7" t="s">
        <v>177</v>
      </c>
      <c r="N21" s="7" t="s">
        <v>178</v>
      </c>
      <c r="O21" s="7" t="s">
        <v>177</v>
      </c>
      <c r="P21" s="7" t="s">
        <v>178</v>
      </c>
      <c r="Q21" s="7" t="s">
        <v>178</v>
      </c>
      <c r="R21" s="7"/>
      <c r="S21" s="7" t="s">
        <v>177</v>
      </c>
      <c r="T21" s="7" t="s">
        <v>638</v>
      </c>
      <c r="U21" s="7" t="s">
        <v>1098</v>
      </c>
      <c r="V21" s="7" t="s">
        <v>1176</v>
      </c>
      <c r="W21" s="7"/>
      <c r="X21" s="7"/>
      <c r="Y21" s="7" t="s">
        <v>181</v>
      </c>
      <c r="Z21" s="7" t="s">
        <v>639</v>
      </c>
      <c r="AA21" s="7" t="s">
        <v>183</v>
      </c>
      <c r="AB21" s="7" t="s">
        <v>1172</v>
      </c>
      <c r="AC21" s="7" t="s">
        <v>1173</v>
      </c>
      <c r="AD21" s="7" t="s">
        <v>181</v>
      </c>
      <c r="AE21" s="7"/>
      <c r="AF21" s="7" t="s">
        <v>1102</v>
      </c>
      <c r="AG21" s="7" t="s">
        <v>773</v>
      </c>
      <c r="AH21" s="7" t="s">
        <v>34</v>
      </c>
      <c r="AI21" s="7" t="s">
        <v>174</v>
      </c>
      <c r="AJ21" s="7" t="s">
        <v>33</v>
      </c>
      <c r="AK21" s="7" t="s">
        <v>36</v>
      </c>
      <c r="AL21" s="7" t="s">
        <v>1177</v>
      </c>
      <c r="AM21" s="7"/>
      <c r="AN21" s="7"/>
      <c r="AO21" s="13" t="s">
        <v>187</v>
      </c>
      <c r="AP21" s="9">
        <v>200</v>
      </c>
      <c r="AQ21" s="9">
        <v>1</v>
      </c>
      <c r="AR21" s="9" t="s">
        <v>188</v>
      </c>
      <c r="AS21" s="9" t="s">
        <v>175</v>
      </c>
      <c r="AT21" s="9" t="s">
        <v>34</v>
      </c>
      <c r="AU21" s="19" t="b">
        <v>0</v>
      </c>
      <c r="AV21" s="9" t="s">
        <v>189</v>
      </c>
      <c r="AW21" s="9" t="s">
        <v>188</v>
      </c>
      <c r="AX21" s="9" t="s">
        <v>188</v>
      </c>
      <c r="AY21" s="9" t="s">
        <v>190</v>
      </c>
      <c r="AZ21" s="19" t="b">
        <v>0</v>
      </c>
    </row>
    <row r="22" ht="69" customHeight="1" spans="1:52">
      <c r="A22" s="4" t="s">
        <v>1178</v>
      </c>
      <c r="B22" s="4" t="s">
        <v>1179</v>
      </c>
      <c r="C22" s="11" t="s">
        <v>722</v>
      </c>
      <c r="D22" s="17" t="s">
        <v>172</v>
      </c>
      <c r="E22" s="7" t="s">
        <v>1098</v>
      </c>
      <c r="F22" s="7" t="s">
        <v>640</v>
      </c>
      <c r="G22" s="7" t="s">
        <v>1099</v>
      </c>
      <c r="H22" s="7" t="s">
        <v>174</v>
      </c>
      <c r="I22" s="7" t="s">
        <v>175</v>
      </c>
      <c r="J22" s="7"/>
      <c r="K22" s="7" t="s">
        <v>176</v>
      </c>
      <c r="L22" s="7" t="s">
        <v>178</v>
      </c>
      <c r="M22" s="7" t="s">
        <v>177</v>
      </c>
      <c r="N22" s="7" t="s">
        <v>178</v>
      </c>
      <c r="O22" s="7" t="s">
        <v>177</v>
      </c>
      <c r="P22" s="7" t="s">
        <v>178</v>
      </c>
      <c r="Q22" s="7" t="s">
        <v>178</v>
      </c>
      <c r="R22" s="7"/>
      <c r="S22" s="7" t="s">
        <v>177</v>
      </c>
      <c r="T22" s="7" t="s">
        <v>638</v>
      </c>
      <c r="U22" s="7" t="s">
        <v>1098</v>
      </c>
      <c r="V22" s="7"/>
      <c r="W22" s="7"/>
      <c r="X22" s="7"/>
      <c r="Y22" s="7" t="s">
        <v>181</v>
      </c>
      <c r="Z22" s="7" t="s">
        <v>639</v>
      </c>
      <c r="AA22" s="7" t="s">
        <v>183</v>
      </c>
      <c r="AB22" s="7" t="s">
        <v>1100</v>
      </c>
      <c r="AC22" s="7" t="s">
        <v>1101</v>
      </c>
      <c r="AD22" s="7" t="s">
        <v>1106</v>
      </c>
      <c r="AE22" s="7"/>
      <c r="AF22" s="7" t="s">
        <v>1102</v>
      </c>
      <c r="AG22" s="7" t="s">
        <v>773</v>
      </c>
      <c r="AH22" s="7" t="s">
        <v>34</v>
      </c>
      <c r="AI22" s="7" t="s">
        <v>174</v>
      </c>
      <c r="AJ22" s="7"/>
      <c r="AK22" s="7" t="s">
        <v>36</v>
      </c>
      <c r="AL22" s="7" t="s">
        <v>36</v>
      </c>
      <c r="AM22" s="7"/>
      <c r="AN22" s="7"/>
      <c r="AO22" s="13" t="s">
        <v>1180</v>
      </c>
      <c r="AP22" s="9">
        <v>500</v>
      </c>
      <c r="AQ22" s="9"/>
      <c r="AR22" s="9"/>
      <c r="AS22" s="9"/>
      <c r="AT22" s="9"/>
      <c r="AU22" s="19"/>
      <c r="AV22" s="9"/>
      <c r="AW22" s="9"/>
      <c r="AX22" s="9"/>
      <c r="AY22" s="9"/>
      <c r="AZ22" s="19"/>
    </row>
    <row r="23" ht="69" customHeight="1" spans="1:52">
      <c r="A23" s="4" t="s">
        <v>1181</v>
      </c>
      <c r="B23" s="4" t="s">
        <v>1182</v>
      </c>
      <c r="C23" s="11" t="s">
        <v>722</v>
      </c>
      <c r="D23" s="17" t="s">
        <v>172</v>
      </c>
      <c r="E23" s="7" t="s">
        <v>1098</v>
      </c>
      <c r="F23" s="7" t="s">
        <v>640</v>
      </c>
      <c r="G23" s="7" t="s">
        <v>1099</v>
      </c>
      <c r="H23" s="7" t="s">
        <v>174</v>
      </c>
      <c r="I23" s="7" t="s">
        <v>175</v>
      </c>
      <c r="J23" s="7"/>
      <c r="K23" s="7" t="s">
        <v>176</v>
      </c>
      <c r="L23" s="7" t="s">
        <v>178</v>
      </c>
      <c r="M23" s="7" t="s">
        <v>177</v>
      </c>
      <c r="N23" s="7" t="s">
        <v>178</v>
      </c>
      <c r="O23" s="7" t="s">
        <v>177</v>
      </c>
      <c r="P23" s="7" t="s">
        <v>178</v>
      </c>
      <c r="Q23" s="7" t="s">
        <v>178</v>
      </c>
      <c r="R23" s="7"/>
      <c r="S23" s="7" t="s">
        <v>177</v>
      </c>
      <c r="T23" s="7" t="s">
        <v>638</v>
      </c>
      <c r="U23" s="7" t="s">
        <v>1098</v>
      </c>
      <c r="V23" s="7"/>
      <c r="W23" s="7"/>
      <c r="X23" s="7"/>
      <c r="Y23" s="7" t="s">
        <v>181</v>
      </c>
      <c r="Z23" s="7" t="s">
        <v>639</v>
      </c>
      <c r="AA23" s="7" t="s">
        <v>183</v>
      </c>
      <c r="AB23" s="7" t="s">
        <v>1100</v>
      </c>
      <c r="AC23" s="7" t="s">
        <v>1101</v>
      </c>
      <c r="AD23" s="7" t="s">
        <v>1183</v>
      </c>
      <c r="AE23" s="7"/>
      <c r="AF23" s="7" t="s">
        <v>1102</v>
      </c>
      <c r="AG23" s="7" t="s">
        <v>773</v>
      </c>
      <c r="AH23" s="7" t="s">
        <v>34</v>
      </c>
      <c r="AI23" s="7" t="s">
        <v>174</v>
      </c>
      <c r="AJ23" s="7" t="s">
        <v>1184</v>
      </c>
      <c r="AK23" s="7" t="s">
        <v>36</v>
      </c>
      <c r="AL23" s="7" t="s">
        <v>36</v>
      </c>
      <c r="AM23" s="7"/>
      <c r="AN23" s="7"/>
      <c r="AO23" s="13" t="s">
        <v>1180</v>
      </c>
      <c r="AP23" s="9">
        <v>500</v>
      </c>
      <c r="AQ23" s="9"/>
      <c r="AR23" s="9"/>
      <c r="AS23" s="9"/>
      <c r="AT23" s="9"/>
      <c r="AU23" s="19"/>
      <c r="AV23" s="9"/>
      <c r="AW23" s="9"/>
      <c r="AX23" s="9"/>
      <c r="AY23" s="9"/>
      <c r="AZ23" s="19"/>
    </row>
    <row r="24" ht="69" customHeight="1" spans="1:52">
      <c r="A24" s="4" t="s">
        <v>1185</v>
      </c>
      <c r="B24" s="4" t="s">
        <v>1186</v>
      </c>
      <c r="C24" s="11" t="s">
        <v>722</v>
      </c>
      <c r="D24" s="17" t="s">
        <v>172</v>
      </c>
      <c r="E24" s="7" t="s">
        <v>1098</v>
      </c>
      <c r="F24" s="7" t="s">
        <v>640</v>
      </c>
      <c r="G24" s="7" t="s">
        <v>1099</v>
      </c>
      <c r="H24" s="7" t="s">
        <v>174</v>
      </c>
      <c r="I24" s="7" t="s">
        <v>175</v>
      </c>
      <c r="J24" s="7"/>
      <c r="K24" s="7" t="s">
        <v>176</v>
      </c>
      <c r="L24" s="7" t="s">
        <v>178</v>
      </c>
      <c r="M24" s="7" t="s">
        <v>177</v>
      </c>
      <c r="N24" s="7" t="s">
        <v>178</v>
      </c>
      <c r="O24" s="7" t="s">
        <v>177</v>
      </c>
      <c r="P24" s="7" t="s">
        <v>178</v>
      </c>
      <c r="Q24" s="7" t="s">
        <v>178</v>
      </c>
      <c r="R24" s="7"/>
      <c r="S24" s="7" t="s">
        <v>177</v>
      </c>
      <c r="T24" s="7" t="s">
        <v>638</v>
      </c>
      <c r="U24" s="7" t="s">
        <v>1098</v>
      </c>
      <c r="V24" s="7"/>
      <c r="W24" s="7"/>
      <c r="X24" s="7"/>
      <c r="Y24" s="7" t="s">
        <v>181</v>
      </c>
      <c r="Z24" s="7" t="s">
        <v>639</v>
      </c>
      <c r="AA24" s="7" t="s">
        <v>183</v>
      </c>
      <c r="AB24" s="7" t="s">
        <v>1100</v>
      </c>
      <c r="AC24" s="7" t="s">
        <v>1101</v>
      </c>
      <c r="AD24" s="7" t="s">
        <v>1187</v>
      </c>
      <c r="AE24" s="7"/>
      <c r="AF24" s="7" t="s">
        <v>1102</v>
      </c>
      <c r="AG24" s="7" t="s">
        <v>773</v>
      </c>
      <c r="AH24" s="7" t="s">
        <v>1188</v>
      </c>
      <c r="AI24" s="7" t="s">
        <v>174</v>
      </c>
      <c r="AJ24" s="7" t="s">
        <v>33</v>
      </c>
      <c r="AK24" s="7" t="s">
        <v>36</v>
      </c>
      <c r="AL24" s="7" t="s">
        <v>36</v>
      </c>
      <c r="AM24" s="7"/>
      <c r="AN24" s="7"/>
      <c r="AO24" s="13" t="s">
        <v>1180</v>
      </c>
      <c r="AP24" s="9">
        <v>500</v>
      </c>
      <c r="AQ24" s="9"/>
      <c r="AR24" s="9"/>
      <c r="AS24" s="9"/>
      <c r="AT24" s="9"/>
      <c r="AU24" s="19"/>
      <c r="AV24" s="9"/>
      <c r="AW24" s="9"/>
      <c r="AX24" s="9"/>
      <c r="AY24" s="9"/>
      <c r="AZ24" s="19"/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4"/>
  <sheetViews>
    <sheetView workbookViewId="0">
      <selection activeCell="F5" sqref="F5"/>
    </sheetView>
  </sheetViews>
  <sheetFormatPr defaultColWidth="9.14285714285714" defaultRowHeight="30" customHeight="1"/>
  <cols>
    <col min="1" max="1" width="8.42857142857143" style="1" customWidth="1"/>
    <col min="2" max="2" width="38.7142857142857" style="1" customWidth="1"/>
    <col min="3" max="3" width="11.1428571428571" style="1" customWidth="1"/>
    <col min="4" max="39" width="17.8380952380952" style="1" customWidth="1"/>
    <col min="40" max="40" width="31.4285714285714" style="1" customWidth="1"/>
    <col min="41" max="41" width="32.2857142857143" style="1" customWidth="1"/>
    <col min="42" max="44" width="21.9904761904762" style="1" customWidth="1"/>
    <col min="45" max="16384" width="9.14285714285714" style="1"/>
  </cols>
  <sheetData>
    <row r="1" s="1" customFormat="1" ht="46" customHeight="1" spans="1:44">
      <c r="A1" s="2" t="s">
        <v>0</v>
      </c>
      <c r="B1" s="2" t="s">
        <v>1</v>
      </c>
      <c r="C1" s="2" t="s">
        <v>2</v>
      </c>
      <c r="D1" s="3" t="s">
        <v>672</v>
      </c>
      <c r="E1" s="3" t="s">
        <v>4</v>
      </c>
      <c r="F1" s="3" t="s">
        <v>5</v>
      </c>
      <c r="G1" s="3" t="s">
        <v>677</v>
      </c>
      <c r="H1" s="3" t="s">
        <v>673</v>
      </c>
      <c r="I1" s="3" t="s">
        <v>1048</v>
      </c>
      <c r="J1" s="3" t="s">
        <v>1049</v>
      </c>
      <c r="K1" s="3" t="s">
        <v>760</v>
      </c>
      <c r="L1" s="3" t="s">
        <v>1050</v>
      </c>
      <c r="M1" s="3" t="s">
        <v>1051</v>
      </c>
      <c r="N1" s="3" t="s">
        <v>1052</v>
      </c>
      <c r="O1" s="3" t="s">
        <v>1053</v>
      </c>
      <c r="P1" s="3" t="s">
        <v>1054</v>
      </c>
      <c r="Q1" s="3" t="s">
        <v>676</v>
      </c>
      <c r="R1" s="3" t="s">
        <v>1055</v>
      </c>
      <c r="S1" s="3" t="s">
        <v>1056</v>
      </c>
      <c r="T1" s="3" t="s">
        <v>1057</v>
      </c>
      <c r="U1" s="3" t="s">
        <v>674</v>
      </c>
      <c r="V1" s="3" t="s">
        <v>675</v>
      </c>
      <c r="W1" s="3" t="s">
        <v>1058</v>
      </c>
      <c r="X1" s="3" t="s">
        <v>670</v>
      </c>
      <c r="Y1" s="3" t="s">
        <v>671</v>
      </c>
      <c r="Z1" s="3" t="s">
        <v>669</v>
      </c>
      <c r="AA1" s="3" t="s">
        <v>668</v>
      </c>
      <c r="AB1" s="3" t="s">
        <v>667</v>
      </c>
      <c r="AC1" s="3" t="s">
        <v>666</v>
      </c>
      <c r="AD1" s="3" t="s">
        <v>1059</v>
      </c>
      <c r="AE1" s="3" t="s">
        <v>1060</v>
      </c>
      <c r="AF1" s="3" t="s">
        <v>762</v>
      </c>
      <c r="AG1" s="3" t="s">
        <v>761</v>
      </c>
      <c r="AH1" s="3" t="s">
        <v>1061</v>
      </c>
      <c r="AI1" s="3" t="s">
        <v>680</v>
      </c>
      <c r="AJ1" s="3" t="s">
        <v>1062</v>
      </c>
      <c r="AK1" s="3" t="s">
        <v>1063</v>
      </c>
      <c r="AL1" s="3" t="s">
        <v>764</v>
      </c>
      <c r="AM1" s="3" t="s">
        <v>763</v>
      </c>
      <c r="AN1" s="12" t="s">
        <v>15</v>
      </c>
      <c r="AO1" s="12" t="s">
        <v>1189</v>
      </c>
      <c r="AP1" s="15" t="s">
        <v>1190</v>
      </c>
      <c r="AQ1" s="15" t="s">
        <v>1191</v>
      </c>
      <c r="AR1" s="15" t="s">
        <v>1192</v>
      </c>
    </row>
    <row r="2" s="1" customFormat="1" ht="50" customHeight="1" spans="1:44">
      <c r="A2" s="4" t="s">
        <v>1096</v>
      </c>
      <c r="B2" s="5" t="s">
        <v>1097</v>
      </c>
      <c r="C2" s="6" t="s">
        <v>29</v>
      </c>
      <c r="D2" s="7" t="s">
        <v>1098</v>
      </c>
      <c r="E2" s="7" t="s">
        <v>640</v>
      </c>
      <c r="F2" s="7" t="s">
        <v>1099</v>
      </c>
      <c r="G2" s="7" t="s">
        <v>174</v>
      </c>
      <c r="H2" s="7" t="s">
        <v>175</v>
      </c>
      <c r="I2" s="7"/>
      <c r="J2" s="7" t="s">
        <v>176</v>
      </c>
      <c r="K2" s="7" t="s">
        <v>178</v>
      </c>
      <c r="L2" s="7" t="s">
        <v>177</v>
      </c>
      <c r="M2" s="7" t="s">
        <v>178</v>
      </c>
      <c r="N2" s="7" t="s">
        <v>177</v>
      </c>
      <c r="O2" s="7" t="s">
        <v>178</v>
      </c>
      <c r="P2" s="7" t="s">
        <v>178</v>
      </c>
      <c r="Q2" s="7"/>
      <c r="R2" s="7" t="s">
        <v>177</v>
      </c>
      <c r="S2" s="7" t="s">
        <v>638</v>
      </c>
      <c r="T2" s="7" t="s">
        <v>1098</v>
      </c>
      <c r="U2" s="7" t="s">
        <v>68</v>
      </c>
      <c r="V2" s="7"/>
      <c r="W2" s="7"/>
      <c r="X2" s="7" t="s">
        <v>181</v>
      </c>
      <c r="Y2" s="7" t="s">
        <v>639</v>
      </c>
      <c r="Z2" s="7" t="s">
        <v>183</v>
      </c>
      <c r="AA2" s="7" t="s">
        <v>1100</v>
      </c>
      <c r="AB2" s="7" t="s">
        <v>1101</v>
      </c>
      <c r="AC2" s="7" t="s">
        <v>178</v>
      </c>
      <c r="AD2" s="7"/>
      <c r="AE2" s="7" t="s">
        <v>1102</v>
      </c>
      <c r="AF2" s="7" t="s">
        <v>773</v>
      </c>
      <c r="AG2" s="7" t="s">
        <v>34</v>
      </c>
      <c r="AH2" s="7" t="s">
        <v>174</v>
      </c>
      <c r="AI2" s="7" t="s">
        <v>33</v>
      </c>
      <c r="AJ2" s="7" t="s">
        <v>36</v>
      </c>
      <c r="AK2" s="7" t="s">
        <v>36</v>
      </c>
      <c r="AL2" s="7"/>
      <c r="AM2" s="7"/>
      <c r="AN2" s="13" t="s">
        <v>1193</v>
      </c>
      <c r="AO2" s="13" t="s">
        <v>1194</v>
      </c>
      <c r="AP2" s="1" t="s">
        <v>1195</v>
      </c>
      <c r="AQ2" s="1" t="s">
        <v>189</v>
      </c>
      <c r="AR2" s="1" t="s">
        <v>189</v>
      </c>
    </row>
    <row r="3" s="1" customFormat="1" ht="69" customHeight="1" spans="1:44">
      <c r="A3" s="4" t="s">
        <v>1103</v>
      </c>
      <c r="B3" s="5" t="s">
        <v>1104</v>
      </c>
      <c r="C3" s="8" t="s">
        <v>29</v>
      </c>
      <c r="D3" s="7" t="s">
        <v>1098</v>
      </c>
      <c r="E3" s="7" t="s">
        <v>640</v>
      </c>
      <c r="F3" s="7" t="s">
        <v>1099</v>
      </c>
      <c r="G3" s="7" t="s">
        <v>174</v>
      </c>
      <c r="H3" s="7" t="s">
        <v>175</v>
      </c>
      <c r="I3" s="7"/>
      <c r="J3" s="7" t="s">
        <v>176</v>
      </c>
      <c r="K3" s="7" t="s">
        <v>178</v>
      </c>
      <c r="L3" s="7" t="s">
        <v>177</v>
      </c>
      <c r="M3" s="7" t="s">
        <v>178</v>
      </c>
      <c r="N3" s="7" t="s">
        <v>177</v>
      </c>
      <c r="O3" s="7" t="s">
        <v>178</v>
      </c>
      <c r="P3" s="7" t="s">
        <v>178</v>
      </c>
      <c r="Q3" s="7"/>
      <c r="R3" s="7" t="s">
        <v>177</v>
      </c>
      <c r="S3" s="7" t="s">
        <v>638</v>
      </c>
      <c r="T3" s="7" t="s">
        <v>1098</v>
      </c>
      <c r="U3" s="7" t="s">
        <v>1105</v>
      </c>
      <c r="V3" s="7"/>
      <c r="W3" s="7"/>
      <c r="X3" s="7" t="s">
        <v>181</v>
      </c>
      <c r="Y3" s="7" t="s">
        <v>639</v>
      </c>
      <c r="Z3" s="7" t="s">
        <v>183</v>
      </c>
      <c r="AA3" s="7" t="s">
        <v>1100</v>
      </c>
      <c r="AB3" s="7" t="s">
        <v>1101</v>
      </c>
      <c r="AC3" s="7" t="s">
        <v>1106</v>
      </c>
      <c r="AD3" s="7"/>
      <c r="AE3" s="7" t="s">
        <v>1102</v>
      </c>
      <c r="AF3" s="7" t="s">
        <v>773</v>
      </c>
      <c r="AG3" s="7" t="s">
        <v>1107</v>
      </c>
      <c r="AH3" s="7" t="s">
        <v>174</v>
      </c>
      <c r="AI3" s="7" t="s">
        <v>33</v>
      </c>
      <c r="AJ3" s="7" t="s">
        <v>36</v>
      </c>
      <c r="AK3" s="7" t="s">
        <v>36</v>
      </c>
      <c r="AL3" s="7"/>
      <c r="AM3" s="7"/>
      <c r="AN3" s="13" t="s">
        <v>1196</v>
      </c>
      <c r="AO3" s="13" t="s">
        <v>1194</v>
      </c>
      <c r="AP3" s="1" t="s">
        <v>1195</v>
      </c>
      <c r="AQ3" s="1" t="s">
        <v>189</v>
      </c>
      <c r="AR3" s="1" t="s">
        <v>189</v>
      </c>
    </row>
    <row r="4" s="1" customFormat="1" ht="69" customHeight="1" spans="1:44">
      <c r="A4" s="4" t="s">
        <v>1108</v>
      </c>
      <c r="B4" s="9" t="s">
        <v>1109</v>
      </c>
      <c r="C4" s="8" t="s">
        <v>29</v>
      </c>
      <c r="D4" s="7" t="s">
        <v>1098</v>
      </c>
      <c r="E4" s="7" t="s">
        <v>640</v>
      </c>
      <c r="F4" s="7" t="s">
        <v>1099</v>
      </c>
      <c r="G4" s="7" t="s">
        <v>174</v>
      </c>
      <c r="H4" s="7" t="s">
        <v>175</v>
      </c>
      <c r="I4" s="7"/>
      <c r="J4" s="7" t="s">
        <v>176</v>
      </c>
      <c r="K4" s="7" t="s">
        <v>178</v>
      </c>
      <c r="L4" s="7" t="s">
        <v>177</v>
      </c>
      <c r="M4" s="7" t="s">
        <v>178</v>
      </c>
      <c r="N4" s="7" t="s">
        <v>177</v>
      </c>
      <c r="O4" s="7" t="s">
        <v>178</v>
      </c>
      <c r="P4" s="7" t="s">
        <v>178</v>
      </c>
      <c r="Q4" s="7"/>
      <c r="R4" s="7" t="s">
        <v>177</v>
      </c>
      <c r="S4" s="7" t="s">
        <v>638</v>
      </c>
      <c r="T4" s="7" t="s">
        <v>1098</v>
      </c>
      <c r="U4" s="7" t="s">
        <v>1110</v>
      </c>
      <c r="V4" s="7" t="s">
        <v>1111</v>
      </c>
      <c r="W4" s="7" t="s">
        <v>1111</v>
      </c>
      <c r="X4" s="7" t="s">
        <v>181</v>
      </c>
      <c r="Y4" s="7" t="s">
        <v>639</v>
      </c>
      <c r="Z4" s="7" t="s">
        <v>183</v>
      </c>
      <c r="AA4" s="7" t="s">
        <v>1112</v>
      </c>
      <c r="AB4" s="7" t="s">
        <v>1113</v>
      </c>
      <c r="AC4" s="7" t="s">
        <v>178</v>
      </c>
      <c r="AD4" s="7"/>
      <c r="AE4" s="7" t="s">
        <v>1102</v>
      </c>
      <c r="AF4" s="7" t="s">
        <v>773</v>
      </c>
      <c r="AG4" s="7" t="s">
        <v>34</v>
      </c>
      <c r="AH4" s="7" t="s">
        <v>174</v>
      </c>
      <c r="AI4" s="7" t="s">
        <v>33</v>
      </c>
      <c r="AJ4" s="7" t="s">
        <v>36</v>
      </c>
      <c r="AK4" s="7" t="s">
        <v>36</v>
      </c>
      <c r="AL4" s="7"/>
      <c r="AM4" s="7"/>
      <c r="AN4" s="14" t="s">
        <v>1197</v>
      </c>
      <c r="AO4" s="13" t="s">
        <v>1194</v>
      </c>
      <c r="AP4" s="1" t="s">
        <v>1195</v>
      </c>
      <c r="AQ4" s="1" t="s">
        <v>189</v>
      </c>
      <c r="AR4" s="1" t="s">
        <v>189</v>
      </c>
    </row>
    <row r="5" s="1" customFormat="1" ht="69" customHeight="1" spans="1:44">
      <c r="A5" s="4" t="s">
        <v>1114</v>
      </c>
      <c r="B5" s="9" t="s">
        <v>1115</v>
      </c>
      <c r="C5" s="8" t="s">
        <v>29</v>
      </c>
      <c r="D5" s="7" t="s">
        <v>1098</v>
      </c>
      <c r="E5" s="7" t="s">
        <v>640</v>
      </c>
      <c r="F5" s="7" t="s">
        <v>1099</v>
      </c>
      <c r="G5" s="7" t="s">
        <v>174</v>
      </c>
      <c r="H5" s="7" t="s">
        <v>175</v>
      </c>
      <c r="I5" s="7"/>
      <c r="J5" s="7" t="s">
        <v>176</v>
      </c>
      <c r="K5" s="7" t="s">
        <v>178</v>
      </c>
      <c r="L5" s="7" t="s">
        <v>177</v>
      </c>
      <c r="M5" s="7" t="s">
        <v>178</v>
      </c>
      <c r="N5" s="7" t="s">
        <v>177</v>
      </c>
      <c r="O5" s="7" t="s">
        <v>178</v>
      </c>
      <c r="P5" s="7" t="s">
        <v>178</v>
      </c>
      <c r="Q5" s="7"/>
      <c r="R5" s="7" t="s">
        <v>177</v>
      </c>
      <c r="S5" s="7" t="s">
        <v>638</v>
      </c>
      <c r="T5" s="7" t="s">
        <v>1098</v>
      </c>
      <c r="U5" s="7" t="s">
        <v>1116</v>
      </c>
      <c r="V5" s="7" t="s">
        <v>1117</v>
      </c>
      <c r="W5" s="7" t="s">
        <v>1117</v>
      </c>
      <c r="X5" s="7" t="s">
        <v>181</v>
      </c>
      <c r="Y5" s="7" t="s">
        <v>639</v>
      </c>
      <c r="Z5" s="7" t="s">
        <v>183</v>
      </c>
      <c r="AA5" s="7" t="s">
        <v>1112</v>
      </c>
      <c r="AB5" s="7" t="s">
        <v>1113</v>
      </c>
      <c r="AC5" s="7" t="s">
        <v>181</v>
      </c>
      <c r="AD5" s="7"/>
      <c r="AE5" s="7" t="s">
        <v>1102</v>
      </c>
      <c r="AF5" s="7" t="s">
        <v>773</v>
      </c>
      <c r="AG5" s="7" t="s">
        <v>1107</v>
      </c>
      <c r="AH5" s="7" t="s">
        <v>174</v>
      </c>
      <c r="AI5" s="7" t="s">
        <v>33</v>
      </c>
      <c r="AJ5" s="7" t="s">
        <v>36</v>
      </c>
      <c r="AK5" s="7" t="s">
        <v>36</v>
      </c>
      <c r="AL5" s="7"/>
      <c r="AM5" s="7"/>
      <c r="AN5" s="14" t="s">
        <v>1197</v>
      </c>
      <c r="AO5" s="13" t="s">
        <v>1194</v>
      </c>
      <c r="AP5" s="1" t="s">
        <v>1195</v>
      </c>
      <c r="AQ5" s="1" t="s">
        <v>189</v>
      </c>
      <c r="AR5" s="1" t="s">
        <v>189</v>
      </c>
    </row>
    <row r="6" s="1" customFormat="1" ht="69" customHeight="1" spans="1:44">
      <c r="A6" s="4" t="s">
        <v>1118</v>
      </c>
      <c r="B6" s="10" t="s">
        <v>1119</v>
      </c>
      <c r="C6" s="8" t="s">
        <v>29</v>
      </c>
      <c r="D6" s="7" t="s">
        <v>1098</v>
      </c>
      <c r="E6" s="7" t="s">
        <v>640</v>
      </c>
      <c r="F6" s="7" t="s">
        <v>1099</v>
      </c>
      <c r="G6" s="7" t="s">
        <v>174</v>
      </c>
      <c r="H6" s="7" t="s">
        <v>175</v>
      </c>
      <c r="I6" s="7"/>
      <c r="J6" s="7" t="s">
        <v>176</v>
      </c>
      <c r="K6" s="7" t="s">
        <v>178</v>
      </c>
      <c r="L6" s="7" t="s">
        <v>177</v>
      </c>
      <c r="M6" s="7" t="s">
        <v>178</v>
      </c>
      <c r="N6" s="7" t="s">
        <v>177</v>
      </c>
      <c r="O6" s="7" t="s">
        <v>178</v>
      </c>
      <c r="P6" s="7" t="s">
        <v>178</v>
      </c>
      <c r="Q6" s="7"/>
      <c r="R6" s="7" t="s">
        <v>177</v>
      </c>
      <c r="S6" s="7" t="s">
        <v>638</v>
      </c>
      <c r="T6" s="7" t="s">
        <v>1098</v>
      </c>
      <c r="U6" s="7" t="s">
        <v>1120</v>
      </c>
      <c r="V6" s="7"/>
      <c r="W6" s="7"/>
      <c r="X6" s="7" t="s">
        <v>181</v>
      </c>
      <c r="Y6" s="7" t="s">
        <v>639</v>
      </c>
      <c r="Z6" s="7" t="s">
        <v>183</v>
      </c>
      <c r="AA6" s="7" t="s">
        <v>1112</v>
      </c>
      <c r="AB6" s="7" t="s">
        <v>1113</v>
      </c>
      <c r="AC6" s="7" t="s">
        <v>1121</v>
      </c>
      <c r="AD6" s="7"/>
      <c r="AE6" s="7" t="s">
        <v>1102</v>
      </c>
      <c r="AF6" s="7" t="s">
        <v>773</v>
      </c>
      <c r="AG6" s="7" t="s">
        <v>34</v>
      </c>
      <c r="AH6" s="7" t="s">
        <v>174</v>
      </c>
      <c r="AI6" s="7" t="s">
        <v>33</v>
      </c>
      <c r="AJ6" s="7" t="s">
        <v>36</v>
      </c>
      <c r="AK6" s="7" t="s">
        <v>1122</v>
      </c>
      <c r="AL6" s="7"/>
      <c r="AM6" s="7"/>
      <c r="AN6" s="14" t="s">
        <v>1198</v>
      </c>
      <c r="AO6" s="13" t="s">
        <v>1194</v>
      </c>
      <c r="AP6" s="1" t="s">
        <v>1195</v>
      </c>
      <c r="AQ6" s="1" t="s">
        <v>189</v>
      </c>
      <c r="AR6" s="1" t="s">
        <v>189</v>
      </c>
    </row>
    <row r="7" s="1" customFormat="1" ht="69" customHeight="1" spans="1:44">
      <c r="A7" s="4" t="s">
        <v>1123</v>
      </c>
      <c r="B7" s="10" t="s">
        <v>1124</v>
      </c>
      <c r="C7" s="8" t="s">
        <v>29</v>
      </c>
      <c r="D7" s="7" t="s">
        <v>1098</v>
      </c>
      <c r="E7" s="7" t="s">
        <v>640</v>
      </c>
      <c r="F7" s="7" t="s">
        <v>1099</v>
      </c>
      <c r="G7" s="7" t="s">
        <v>174</v>
      </c>
      <c r="H7" s="7" t="s">
        <v>175</v>
      </c>
      <c r="I7" s="7"/>
      <c r="J7" s="7" t="s">
        <v>176</v>
      </c>
      <c r="K7" s="7" t="s">
        <v>178</v>
      </c>
      <c r="L7" s="7" t="s">
        <v>177</v>
      </c>
      <c r="M7" s="7" t="s">
        <v>178</v>
      </c>
      <c r="N7" s="7" t="s">
        <v>177</v>
      </c>
      <c r="O7" s="7" t="s">
        <v>178</v>
      </c>
      <c r="P7" s="7" t="s">
        <v>178</v>
      </c>
      <c r="Q7" s="7"/>
      <c r="R7" s="7" t="s">
        <v>177</v>
      </c>
      <c r="S7" s="7" t="s">
        <v>638</v>
      </c>
      <c r="T7" s="7" t="s">
        <v>1098</v>
      </c>
      <c r="U7" s="7" t="s">
        <v>1125</v>
      </c>
      <c r="V7" s="7"/>
      <c r="W7" s="7"/>
      <c r="X7" s="7" t="s">
        <v>181</v>
      </c>
      <c r="Y7" s="7" t="s">
        <v>639</v>
      </c>
      <c r="Z7" s="7" t="s">
        <v>183</v>
      </c>
      <c r="AA7" s="7" t="s">
        <v>1112</v>
      </c>
      <c r="AB7" s="7" t="s">
        <v>1113</v>
      </c>
      <c r="AC7" s="7" t="s">
        <v>1106</v>
      </c>
      <c r="AD7" s="7"/>
      <c r="AE7" s="7" t="s">
        <v>1102</v>
      </c>
      <c r="AF7" s="7" t="s">
        <v>773</v>
      </c>
      <c r="AG7" s="7" t="s">
        <v>34</v>
      </c>
      <c r="AH7" s="7" t="s">
        <v>174</v>
      </c>
      <c r="AI7" s="7" t="s">
        <v>33</v>
      </c>
      <c r="AJ7" s="7" t="s">
        <v>36</v>
      </c>
      <c r="AK7" s="7" t="s">
        <v>1126</v>
      </c>
      <c r="AL7" s="7"/>
      <c r="AM7" s="7"/>
      <c r="AN7" s="14" t="s">
        <v>1198</v>
      </c>
      <c r="AO7" s="13" t="s">
        <v>1194</v>
      </c>
      <c r="AP7" s="1" t="s">
        <v>1195</v>
      </c>
      <c r="AQ7" s="1" t="s">
        <v>189</v>
      </c>
      <c r="AR7" s="1" t="s">
        <v>189</v>
      </c>
    </row>
    <row r="8" s="1" customFormat="1" ht="69" customHeight="1" spans="1:44">
      <c r="A8" s="4" t="s">
        <v>1127</v>
      </c>
      <c r="B8" s="10" t="s">
        <v>1128</v>
      </c>
      <c r="C8" s="8" t="s">
        <v>29</v>
      </c>
      <c r="D8" s="7" t="s">
        <v>1098</v>
      </c>
      <c r="E8" s="7" t="s">
        <v>640</v>
      </c>
      <c r="F8" s="7" t="s">
        <v>1099</v>
      </c>
      <c r="G8" s="7" t="s">
        <v>174</v>
      </c>
      <c r="H8" s="7" t="s">
        <v>175</v>
      </c>
      <c r="I8" s="7"/>
      <c r="J8" s="7" t="s">
        <v>176</v>
      </c>
      <c r="K8" s="7" t="s">
        <v>178</v>
      </c>
      <c r="L8" s="7" t="s">
        <v>177</v>
      </c>
      <c r="M8" s="7" t="s">
        <v>178</v>
      </c>
      <c r="N8" s="7" t="s">
        <v>177</v>
      </c>
      <c r="O8" s="7" t="s">
        <v>178</v>
      </c>
      <c r="P8" s="7" t="s">
        <v>178</v>
      </c>
      <c r="Q8" s="7"/>
      <c r="R8" s="7" t="s">
        <v>177</v>
      </c>
      <c r="S8" s="7" t="s">
        <v>638</v>
      </c>
      <c r="T8" s="7" t="s">
        <v>1098</v>
      </c>
      <c r="U8" s="7" t="s">
        <v>1129</v>
      </c>
      <c r="V8" s="7"/>
      <c r="W8" s="7"/>
      <c r="X8" s="7" t="s">
        <v>181</v>
      </c>
      <c r="Y8" s="7" t="s">
        <v>639</v>
      </c>
      <c r="Z8" s="7" t="s">
        <v>183</v>
      </c>
      <c r="AA8" s="7" t="s">
        <v>1130</v>
      </c>
      <c r="AB8" s="7" t="s">
        <v>1131</v>
      </c>
      <c r="AC8" s="7" t="s">
        <v>178</v>
      </c>
      <c r="AD8" s="7"/>
      <c r="AE8" s="7" t="s">
        <v>1102</v>
      </c>
      <c r="AF8" s="7" t="s">
        <v>773</v>
      </c>
      <c r="AG8" s="7" t="s">
        <v>34</v>
      </c>
      <c r="AH8" s="7" t="s">
        <v>174</v>
      </c>
      <c r="AI8" s="7" t="s">
        <v>33</v>
      </c>
      <c r="AJ8" s="7" t="s">
        <v>36</v>
      </c>
      <c r="AK8" s="7" t="s">
        <v>1132</v>
      </c>
      <c r="AL8" s="7"/>
      <c r="AM8" s="7"/>
      <c r="AN8" s="14" t="s">
        <v>1198</v>
      </c>
      <c r="AO8" s="13" t="s">
        <v>1194</v>
      </c>
      <c r="AP8" s="1" t="s">
        <v>1195</v>
      </c>
      <c r="AQ8" s="1" t="s">
        <v>189</v>
      </c>
      <c r="AR8" s="1" t="s">
        <v>189</v>
      </c>
    </row>
    <row r="9" s="1" customFormat="1" ht="69" customHeight="1" spans="1:44">
      <c r="A9" s="4" t="s">
        <v>1133</v>
      </c>
      <c r="B9" s="10" t="s">
        <v>428</v>
      </c>
      <c r="C9" s="8" t="s">
        <v>29</v>
      </c>
      <c r="D9" s="7" t="s">
        <v>1098</v>
      </c>
      <c r="E9" s="7" t="s">
        <v>640</v>
      </c>
      <c r="F9" s="7" t="s">
        <v>1099</v>
      </c>
      <c r="G9" s="7" t="s">
        <v>174</v>
      </c>
      <c r="H9" s="7" t="s">
        <v>175</v>
      </c>
      <c r="I9" s="7"/>
      <c r="J9" s="7" t="s">
        <v>176</v>
      </c>
      <c r="K9" s="7" t="s">
        <v>178</v>
      </c>
      <c r="L9" s="7" t="s">
        <v>177</v>
      </c>
      <c r="M9" s="7" t="s">
        <v>178</v>
      </c>
      <c r="N9" s="7" t="s">
        <v>177</v>
      </c>
      <c r="O9" s="7" t="s">
        <v>178</v>
      </c>
      <c r="P9" s="7" t="s">
        <v>178</v>
      </c>
      <c r="Q9" s="7"/>
      <c r="R9" s="7" t="s">
        <v>177</v>
      </c>
      <c r="S9" s="7" t="s">
        <v>638</v>
      </c>
      <c r="T9" s="7" t="s">
        <v>1098</v>
      </c>
      <c r="U9" s="7" t="s">
        <v>1134</v>
      </c>
      <c r="V9" s="7"/>
      <c r="W9" s="7"/>
      <c r="X9" s="7" t="s">
        <v>181</v>
      </c>
      <c r="Y9" s="7" t="s">
        <v>639</v>
      </c>
      <c r="Z9" s="7" t="s">
        <v>183</v>
      </c>
      <c r="AA9" s="7" t="s">
        <v>1130</v>
      </c>
      <c r="AB9" s="7" t="s">
        <v>1131</v>
      </c>
      <c r="AC9" s="7" t="s">
        <v>181</v>
      </c>
      <c r="AD9" s="7"/>
      <c r="AE9" s="7" t="s">
        <v>1102</v>
      </c>
      <c r="AF9" s="7" t="s">
        <v>773</v>
      </c>
      <c r="AG9" s="7" t="s">
        <v>34</v>
      </c>
      <c r="AH9" s="7" t="s">
        <v>174</v>
      </c>
      <c r="AI9" s="7" t="s">
        <v>33</v>
      </c>
      <c r="AJ9" s="7" t="s">
        <v>36</v>
      </c>
      <c r="AK9" s="7" t="s">
        <v>1135</v>
      </c>
      <c r="AL9" s="7"/>
      <c r="AM9" s="7"/>
      <c r="AN9" s="14" t="s">
        <v>1198</v>
      </c>
      <c r="AO9" s="13" t="s">
        <v>1194</v>
      </c>
      <c r="AP9" s="1" t="s">
        <v>1195</v>
      </c>
      <c r="AQ9" s="1" t="s">
        <v>189</v>
      </c>
      <c r="AR9" s="1" t="s">
        <v>189</v>
      </c>
    </row>
    <row r="10" s="1" customFormat="1" ht="69" customHeight="1" spans="1:44">
      <c r="A10" s="4" t="s">
        <v>1136</v>
      </c>
      <c r="B10" s="10" t="s">
        <v>430</v>
      </c>
      <c r="C10" s="8" t="s">
        <v>29</v>
      </c>
      <c r="D10" s="7" t="s">
        <v>1098</v>
      </c>
      <c r="E10" s="7" t="s">
        <v>640</v>
      </c>
      <c r="F10" s="7" t="s">
        <v>1099</v>
      </c>
      <c r="G10" s="7" t="s">
        <v>174</v>
      </c>
      <c r="H10" s="7" t="s">
        <v>175</v>
      </c>
      <c r="I10" s="7"/>
      <c r="J10" s="7" t="s">
        <v>176</v>
      </c>
      <c r="K10" s="7" t="s">
        <v>178</v>
      </c>
      <c r="L10" s="7" t="s">
        <v>177</v>
      </c>
      <c r="M10" s="7" t="s">
        <v>178</v>
      </c>
      <c r="N10" s="7" t="s">
        <v>177</v>
      </c>
      <c r="O10" s="7" t="s">
        <v>178</v>
      </c>
      <c r="P10" s="7" t="s">
        <v>178</v>
      </c>
      <c r="Q10" s="7"/>
      <c r="R10" s="7" t="s">
        <v>177</v>
      </c>
      <c r="S10" s="7" t="s">
        <v>638</v>
      </c>
      <c r="T10" s="7" t="s">
        <v>1098</v>
      </c>
      <c r="U10" s="7" t="s">
        <v>1137</v>
      </c>
      <c r="V10" s="7"/>
      <c r="W10" s="7"/>
      <c r="X10" s="7" t="s">
        <v>181</v>
      </c>
      <c r="Y10" s="7" t="s">
        <v>639</v>
      </c>
      <c r="Z10" s="7" t="s">
        <v>183</v>
      </c>
      <c r="AA10" s="7" t="s">
        <v>1130</v>
      </c>
      <c r="AB10" s="7" t="s">
        <v>1131</v>
      </c>
      <c r="AC10" s="7" t="s">
        <v>1121</v>
      </c>
      <c r="AD10" s="7"/>
      <c r="AE10" s="7" t="s">
        <v>1102</v>
      </c>
      <c r="AF10" s="7" t="s">
        <v>773</v>
      </c>
      <c r="AG10" s="7" t="s">
        <v>34</v>
      </c>
      <c r="AH10" s="7" t="s">
        <v>174</v>
      </c>
      <c r="AI10" s="7" t="s">
        <v>33</v>
      </c>
      <c r="AJ10" s="7" t="s">
        <v>36</v>
      </c>
      <c r="AK10" s="7" t="s">
        <v>1138</v>
      </c>
      <c r="AL10" s="7"/>
      <c r="AM10" s="7"/>
      <c r="AN10" s="14" t="s">
        <v>1198</v>
      </c>
      <c r="AO10" s="13" t="s">
        <v>1194</v>
      </c>
      <c r="AP10" s="1" t="s">
        <v>1195</v>
      </c>
      <c r="AQ10" s="1" t="s">
        <v>189</v>
      </c>
      <c r="AR10" s="1" t="s">
        <v>189</v>
      </c>
    </row>
    <row r="11" s="1" customFormat="1" ht="69" customHeight="1" spans="1:44">
      <c r="A11" s="4" t="s">
        <v>1139</v>
      </c>
      <c r="B11" s="10" t="s">
        <v>433</v>
      </c>
      <c r="C11" s="8" t="s">
        <v>29</v>
      </c>
      <c r="D11" s="7" t="s">
        <v>1098</v>
      </c>
      <c r="E11" s="7" t="s">
        <v>640</v>
      </c>
      <c r="F11" s="7" t="s">
        <v>1099</v>
      </c>
      <c r="G11" s="7" t="s">
        <v>174</v>
      </c>
      <c r="H11" s="7" t="s">
        <v>175</v>
      </c>
      <c r="I11" s="7"/>
      <c r="J11" s="7" t="s">
        <v>176</v>
      </c>
      <c r="K11" s="7" t="s">
        <v>178</v>
      </c>
      <c r="L11" s="7" t="s">
        <v>177</v>
      </c>
      <c r="M11" s="7" t="s">
        <v>178</v>
      </c>
      <c r="N11" s="7" t="s">
        <v>177</v>
      </c>
      <c r="O11" s="7" t="s">
        <v>178</v>
      </c>
      <c r="P11" s="7" t="s">
        <v>178</v>
      </c>
      <c r="Q11" s="7"/>
      <c r="R11" s="7" t="s">
        <v>177</v>
      </c>
      <c r="S11" s="7" t="s">
        <v>638</v>
      </c>
      <c r="T11" s="7" t="s">
        <v>1098</v>
      </c>
      <c r="U11" s="7" t="s">
        <v>1140</v>
      </c>
      <c r="V11" s="7"/>
      <c r="W11" s="7"/>
      <c r="X11" s="7" t="s">
        <v>181</v>
      </c>
      <c r="Y11" s="7" t="s">
        <v>639</v>
      </c>
      <c r="Z11" s="7" t="s">
        <v>183</v>
      </c>
      <c r="AA11" s="7" t="s">
        <v>1130</v>
      </c>
      <c r="AB11" s="7" t="s">
        <v>1131</v>
      </c>
      <c r="AC11" s="7" t="s">
        <v>1106</v>
      </c>
      <c r="AD11" s="7"/>
      <c r="AE11" s="7" t="s">
        <v>1102</v>
      </c>
      <c r="AF11" s="7" t="s">
        <v>773</v>
      </c>
      <c r="AG11" s="7" t="s">
        <v>34</v>
      </c>
      <c r="AH11" s="7" t="s">
        <v>174</v>
      </c>
      <c r="AI11" s="7" t="s">
        <v>33</v>
      </c>
      <c r="AJ11" s="7" t="s">
        <v>36</v>
      </c>
      <c r="AK11" s="7" t="s">
        <v>1141</v>
      </c>
      <c r="AL11" s="7"/>
      <c r="AM11" s="7"/>
      <c r="AN11" s="14" t="s">
        <v>1198</v>
      </c>
      <c r="AO11" s="13" t="s">
        <v>1194</v>
      </c>
      <c r="AP11" s="1" t="s">
        <v>1195</v>
      </c>
      <c r="AQ11" s="1" t="s">
        <v>189</v>
      </c>
      <c r="AR11" s="1" t="s">
        <v>189</v>
      </c>
    </row>
    <row r="12" s="1" customFormat="1" ht="69" customHeight="1" spans="1:44">
      <c r="A12" s="4" t="s">
        <v>1142</v>
      </c>
      <c r="B12" s="9" t="s">
        <v>438</v>
      </c>
      <c r="C12" s="8" t="s">
        <v>29</v>
      </c>
      <c r="D12" s="7" t="s">
        <v>1098</v>
      </c>
      <c r="E12" s="7" t="s">
        <v>640</v>
      </c>
      <c r="F12" s="7" t="s">
        <v>1099</v>
      </c>
      <c r="G12" s="7" t="s">
        <v>174</v>
      </c>
      <c r="H12" s="7" t="s">
        <v>175</v>
      </c>
      <c r="I12" s="7"/>
      <c r="J12" s="7" t="s">
        <v>176</v>
      </c>
      <c r="K12" s="7" t="s">
        <v>178</v>
      </c>
      <c r="L12" s="7" t="s">
        <v>177</v>
      </c>
      <c r="M12" s="7" t="s">
        <v>178</v>
      </c>
      <c r="N12" s="7" t="s">
        <v>177</v>
      </c>
      <c r="O12" s="7" t="s">
        <v>178</v>
      </c>
      <c r="P12" s="7" t="s">
        <v>178</v>
      </c>
      <c r="Q12" s="7"/>
      <c r="R12" s="7" t="s">
        <v>177</v>
      </c>
      <c r="S12" s="7" t="s">
        <v>638</v>
      </c>
      <c r="T12" s="7" t="s">
        <v>1098</v>
      </c>
      <c r="U12" s="7" t="s">
        <v>1143</v>
      </c>
      <c r="V12" s="7"/>
      <c r="W12" s="7"/>
      <c r="X12" s="7" t="s">
        <v>181</v>
      </c>
      <c r="Y12" s="7" t="s">
        <v>639</v>
      </c>
      <c r="Z12" s="7" t="s">
        <v>183</v>
      </c>
      <c r="AA12" s="7" t="s">
        <v>1144</v>
      </c>
      <c r="AB12" s="7" t="s">
        <v>1145</v>
      </c>
      <c r="AC12" s="7" t="s">
        <v>178</v>
      </c>
      <c r="AD12" s="7"/>
      <c r="AE12" s="7" t="s">
        <v>1102</v>
      </c>
      <c r="AF12" s="7" t="s">
        <v>773</v>
      </c>
      <c r="AG12" s="7" t="s">
        <v>34</v>
      </c>
      <c r="AH12" s="7" t="s">
        <v>174</v>
      </c>
      <c r="AI12" s="7" t="s">
        <v>33</v>
      </c>
      <c r="AJ12" s="7" t="s">
        <v>36</v>
      </c>
      <c r="AK12" s="7" t="s">
        <v>1146</v>
      </c>
      <c r="AL12" s="7"/>
      <c r="AM12" s="7"/>
      <c r="AN12" s="14" t="s">
        <v>1198</v>
      </c>
      <c r="AO12" s="13" t="s">
        <v>1194</v>
      </c>
      <c r="AP12" s="1" t="s">
        <v>1195</v>
      </c>
      <c r="AQ12" s="1" t="s">
        <v>189</v>
      </c>
      <c r="AR12" s="1" t="s">
        <v>189</v>
      </c>
    </row>
    <row r="13" s="1" customFormat="1" ht="69" customHeight="1" spans="1:44">
      <c r="A13" s="4" t="s">
        <v>1147</v>
      </c>
      <c r="B13" s="9" t="s">
        <v>441</v>
      </c>
      <c r="C13" s="8" t="s">
        <v>29</v>
      </c>
      <c r="D13" s="7" t="s">
        <v>1098</v>
      </c>
      <c r="E13" s="7" t="s">
        <v>640</v>
      </c>
      <c r="F13" s="7" t="s">
        <v>1099</v>
      </c>
      <c r="G13" s="7" t="s">
        <v>174</v>
      </c>
      <c r="H13" s="7" t="s">
        <v>175</v>
      </c>
      <c r="I13" s="7"/>
      <c r="J13" s="7" t="s">
        <v>176</v>
      </c>
      <c r="K13" s="7" t="s">
        <v>178</v>
      </c>
      <c r="L13" s="7" t="s">
        <v>177</v>
      </c>
      <c r="M13" s="7" t="s">
        <v>178</v>
      </c>
      <c r="N13" s="7" t="s">
        <v>177</v>
      </c>
      <c r="O13" s="7" t="s">
        <v>178</v>
      </c>
      <c r="P13" s="7" t="s">
        <v>178</v>
      </c>
      <c r="Q13" s="7"/>
      <c r="R13" s="7" t="s">
        <v>177</v>
      </c>
      <c r="S13" s="7" t="s">
        <v>638</v>
      </c>
      <c r="T13" s="7" t="s">
        <v>1098</v>
      </c>
      <c r="U13" s="7" t="s">
        <v>1148</v>
      </c>
      <c r="V13" s="7"/>
      <c r="W13" s="7"/>
      <c r="X13" s="7" t="s">
        <v>181</v>
      </c>
      <c r="Y13" s="7" t="s">
        <v>639</v>
      </c>
      <c r="Z13" s="7" t="s">
        <v>183</v>
      </c>
      <c r="AA13" s="7" t="s">
        <v>1144</v>
      </c>
      <c r="AB13" s="7" t="s">
        <v>1145</v>
      </c>
      <c r="AC13" s="7" t="s">
        <v>181</v>
      </c>
      <c r="AD13" s="7"/>
      <c r="AE13" s="7" t="s">
        <v>1102</v>
      </c>
      <c r="AF13" s="7" t="s">
        <v>773</v>
      </c>
      <c r="AG13" s="7" t="s">
        <v>34</v>
      </c>
      <c r="AH13" s="7" t="s">
        <v>174</v>
      </c>
      <c r="AI13" s="7" t="s">
        <v>33</v>
      </c>
      <c r="AJ13" s="7" t="s">
        <v>36</v>
      </c>
      <c r="AK13" s="7" t="s">
        <v>1149</v>
      </c>
      <c r="AL13" s="7"/>
      <c r="AM13" s="7"/>
      <c r="AN13" s="14" t="s">
        <v>1198</v>
      </c>
      <c r="AO13" s="13" t="s">
        <v>1194</v>
      </c>
      <c r="AP13" s="1" t="s">
        <v>1195</v>
      </c>
      <c r="AQ13" s="1" t="s">
        <v>189</v>
      </c>
      <c r="AR13" s="1" t="s">
        <v>189</v>
      </c>
    </row>
    <row r="14" s="1" customFormat="1" ht="69" customHeight="1" spans="1:44">
      <c r="A14" s="4" t="s">
        <v>1150</v>
      </c>
      <c r="B14" s="9" t="s">
        <v>444</v>
      </c>
      <c r="C14" s="8" t="s">
        <v>29</v>
      </c>
      <c r="D14" s="7" t="s">
        <v>1098</v>
      </c>
      <c r="E14" s="7" t="s">
        <v>640</v>
      </c>
      <c r="F14" s="7" t="s">
        <v>1099</v>
      </c>
      <c r="G14" s="7" t="s">
        <v>174</v>
      </c>
      <c r="H14" s="7" t="s">
        <v>175</v>
      </c>
      <c r="I14" s="7"/>
      <c r="J14" s="7" t="s">
        <v>176</v>
      </c>
      <c r="K14" s="7" t="s">
        <v>178</v>
      </c>
      <c r="L14" s="7" t="s">
        <v>177</v>
      </c>
      <c r="M14" s="7" t="s">
        <v>178</v>
      </c>
      <c r="N14" s="7" t="s">
        <v>177</v>
      </c>
      <c r="O14" s="7" t="s">
        <v>178</v>
      </c>
      <c r="P14" s="7" t="s">
        <v>178</v>
      </c>
      <c r="Q14" s="7"/>
      <c r="R14" s="7" t="s">
        <v>177</v>
      </c>
      <c r="S14" s="7" t="s">
        <v>638</v>
      </c>
      <c r="T14" s="7" t="s">
        <v>1098</v>
      </c>
      <c r="U14" s="7" t="s">
        <v>1151</v>
      </c>
      <c r="V14" s="7"/>
      <c r="W14" s="7"/>
      <c r="X14" s="7" t="s">
        <v>181</v>
      </c>
      <c r="Y14" s="7" t="s">
        <v>639</v>
      </c>
      <c r="Z14" s="7" t="s">
        <v>183</v>
      </c>
      <c r="AA14" s="7" t="s">
        <v>1144</v>
      </c>
      <c r="AB14" s="7" t="s">
        <v>1145</v>
      </c>
      <c r="AC14" s="7" t="s">
        <v>1121</v>
      </c>
      <c r="AD14" s="7"/>
      <c r="AE14" s="7" t="s">
        <v>1102</v>
      </c>
      <c r="AF14" s="7" t="s">
        <v>773</v>
      </c>
      <c r="AG14" s="7" t="s">
        <v>34</v>
      </c>
      <c r="AH14" s="7" t="s">
        <v>174</v>
      </c>
      <c r="AI14" s="7" t="s">
        <v>33</v>
      </c>
      <c r="AJ14" s="7" t="s">
        <v>36</v>
      </c>
      <c r="AK14" s="7" t="s">
        <v>1152</v>
      </c>
      <c r="AL14" s="7"/>
      <c r="AM14" s="7"/>
      <c r="AN14" s="14" t="s">
        <v>1198</v>
      </c>
      <c r="AO14" s="13" t="s">
        <v>1194</v>
      </c>
      <c r="AP14" s="1" t="s">
        <v>1195</v>
      </c>
      <c r="AQ14" s="1" t="s">
        <v>189</v>
      </c>
      <c r="AR14" s="1" t="s">
        <v>189</v>
      </c>
    </row>
    <row r="15" s="1" customFormat="1" ht="69" customHeight="1" spans="1:44">
      <c r="A15" s="4" t="s">
        <v>1153</v>
      </c>
      <c r="B15" s="9" t="s">
        <v>447</v>
      </c>
      <c r="C15" s="8" t="s">
        <v>29</v>
      </c>
      <c r="D15" s="7" t="s">
        <v>1098</v>
      </c>
      <c r="E15" s="7" t="s">
        <v>640</v>
      </c>
      <c r="F15" s="7" t="s">
        <v>1099</v>
      </c>
      <c r="G15" s="7" t="s">
        <v>174</v>
      </c>
      <c r="H15" s="7" t="s">
        <v>175</v>
      </c>
      <c r="I15" s="7"/>
      <c r="J15" s="7" t="s">
        <v>176</v>
      </c>
      <c r="K15" s="7" t="s">
        <v>178</v>
      </c>
      <c r="L15" s="7" t="s">
        <v>177</v>
      </c>
      <c r="M15" s="7" t="s">
        <v>178</v>
      </c>
      <c r="N15" s="7" t="s">
        <v>177</v>
      </c>
      <c r="O15" s="7" t="s">
        <v>178</v>
      </c>
      <c r="P15" s="7" t="s">
        <v>178</v>
      </c>
      <c r="Q15" s="7"/>
      <c r="R15" s="7" t="s">
        <v>177</v>
      </c>
      <c r="S15" s="7" t="s">
        <v>638</v>
      </c>
      <c r="T15" s="7" t="s">
        <v>1098</v>
      </c>
      <c r="U15" s="7" t="s">
        <v>1154</v>
      </c>
      <c r="V15" s="7"/>
      <c r="W15" s="7"/>
      <c r="X15" s="7" t="s">
        <v>181</v>
      </c>
      <c r="Y15" s="7" t="s">
        <v>639</v>
      </c>
      <c r="Z15" s="7" t="s">
        <v>183</v>
      </c>
      <c r="AA15" s="7" t="s">
        <v>1144</v>
      </c>
      <c r="AB15" s="7" t="s">
        <v>1145</v>
      </c>
      <c r="AC15" s="7" t="s">
        <v>1106</v>
      </c>
      <c r="AD15" s="7"/>
      <c r="AE15" s="7" t="s">
        <v>1102</v>
      </c>
      <c r="AF15" s="7" t="s">
        <v>773</v>
      </c>
      <c r="AG15" s="7" t="s">
        <v>34</v>
      </c>
      <c r="AH15" s="7" t="s">
        <v>174</v>
      </c>
      <c r="AI15" s="7" t="s">
        <v>33</v>
      </c>
      <c r="AJ15" s="7" t="s">
        <v>36</v>
      </c>
      <c r="AK15" s="7" t="s">
        <v>1155</v>
      </c>
      <c r="AL15" s="7"/>
      <c r="AM15" s="7"/>
      <c r="AN15" s="14" t="s">
        <v>1198</v>
      </c>
      <c r="AO15" s="13" t="s">
        <v>1194</v>
      </c>
      <c r="AP15" s="1" t="s">
        <v>1195</v>
      </c>
      <c r="AQ15" s="1" t="s">
        <v>189</v>
      </c>
      <c r="AR15" s="1" t="s">
        <v>189</v>
      </c>
    </row>
    <row r="16" s="1" customFormat="1" ht="69" customHeight="1" spans="1:44">
      <c r="A16" s="4" t="s">
        <v>1156</v>
      </c>
      <c r="B16" s="9" t="s">
        <v>450</v>
      </c>
      <c r="C16" s="8" t="s">
        <v>29</v>
      </c>
      <c r="D16" s="7" t="s">
        <v>1098</v>
      </c>
      <c r="E16" s="7" t="s">
        <v>640</v>
      </c>
      <c r="F16" s="7" t="s">
        <v>1099</v>
      </c>
      <c r="G16" s="7" t="s">
        <v>174</v>
      </c>
      <c r="H16" s="7" t="s">
        <v>175</v>
      </c>
      <c r="I16" s="7"/>
      <c r="J16" s="7" t="s">
        <v>176</v>
      </c>
      <c r="K16" s="7" t="s">
        <v>178</v>
      </c>
      <c r="L16" s="7" t="s">
        <v>177</v>
      </c>
      <c r="M16" s="7" t="s">
        <v>178</v>
      </c>
      <c r="N16" s="7" t="s">
        <v>177</v>
      </c>
      <c r="O16" s="7" t="s">
        <v>178</v>
      </c>
      <c r="P16" s="7" t="s">
        <v>178</v>
      </c>
      <c r="Q16" s="7"/>
      <c r="R16" s="7" t="s">
        <v>177</v>
      </c>
      <c r="S16" s="7" t="s">
        <v>638</v>
      </c>
      <c r="T16" s="7" t="s">
        <v>1098</v>
      </c>
      <c r="U16" s="7" t="s">
        <v>1157</v>
      </c>
      <c r="V16" s="7"/>
      <c r="W16" s="7"/>
      <c r="X16" s="7" t="s">
        <v>181</v>
      </c>
      <c r="Y16" s="7" t="s">
        <v>639</v>
      </c>
      <c r="Z16" s="7" t="s">
        <v>183</v>
      </c>
      <c r="AA16" s="7" t="s">
        <v>1158</v>
      </c>
      <c r="AB16" s="7" t="s">
        <v>1159</v>
      </c>
      <c r="AC16" s="7" t="s">
        <v>178</v>
      </c>
      <c r="AD16" s="7"/>
      <c r="AE16" s="7" t="s">
        <v>1102</v>
      </c>
      <c r="AF16" s="7" t="s">
        <v>773</v>
      </c>
      <c r="AG16" s="7" t="s">
        <v>34</v>
      </c>
      <c r="AH16" s="7" t="s">
        <v>174</v>
      </c>
      <c r="AI16" s="7" t="s">
        <v>33</v>
      </c>
      <c r="AJ16" s="7" t="s">
        <v>36</v>
      </c>
      <c r="AK16" s="7" t="s">
        <v>1160</v>
      </c>
      <c r="AL16" s="7"/>
      <c r="AM16" s="7"/>
      <c r="AN16" s="14" t="s">
        <v>1198</v>
      </c>
      <c r="AO16" s="13" t="s">
        <v>1194</v>
      </c>
      <c r="AP16" s="1" t="s">
        <v>1195</v>
      </c>
      <c r="AQ16" s="1" t="s">
        <v>189</v>
      </c>
      <c r="AR16" s="1" t="s">
        <v>189</v>
      </c>
    </row>
    <row r="17" s="1" customFormat="1" ht="69" customHeight="1" spans="1:44">
      <c r="A17" s="4" t="s">
        <v>1161</v>
      </c>
      <c r="B17" s="10" t="s">
        <v>454</v>
      </c>
      <c r="C17" s="8" t="s">
        <v>29</v>
      </c>
      <c r="D17" s="7" t="s">
        <v>1098</v>
      </c>
      <c r="E17" s="7" t="s">
        <v>640</v>
      </c>
      <c r="F17" s="7" t="s">
        <v>1099</v>
      </c>
      <c r="G17" s="7" t="s">
        <v>174</v>
      </c>
      <c r="H17" s="7" t="s">
        <v>175</v>
      </c>
      <c r="I17" s="7"/>
      <c r="J17" s="7" t="s">
        <v>176</v>
      </c>
      <c r="K17" s="7" t="s">
        <v>178</v>
      </c>
      <c r="L17" s="7" t="s">
        <v>177</v>
      </c>
      <c r="M17" s="7" t="s">
        <v>178</v>
      </c>
      <c r="N17" s="7" t="s">
        <v>177</v>
      </c>
      <c r="O17" s="7" t="s">
        <v>178</v>
      </c>
      <c r="P17" s="7" t="s">
        <v>178</v>
      </c>
      <c r="Q17" s="7"/>
      <c r="R17" s="7" t="s">
        <v>177</v>
      </c>
      <c r="S17" s="7" t="s">
        <v>638</v>
      </c>
      <c r="T17" s="7" t="s">
        <v>1098</v>
      </c>
      <c r="U17" s="7" t="s">
        <v>1162</v>
      </c>
      <c r="V17" s="7"/>
      <c r="W17" s="7"/>
      <c r="X17" s="7" t="s">
        <v>181</v>
      </c>
      <c r="Y17" s="7" t="s">
        <v>639</v>
      </c>
      <c r="Z17" s="7" t="s">
        <v>183</v>
      </c>
      <c r="AA17" s="7" t="s">
        <v>1158</v>
      </c>
      <c r="AB17" s="7" t="s">
        <v>1159</v>
      </c>
      <c r="AC17" s="7" t="s">
        <v>181</v>
      </c>
      <c r="AD17" s="7"/>
      <c r="AE17" s="7" t="s">
        <v>1102</v>
      </c>
      <c r="AF17" s="7" t="s">
        <v>773</v>
      </c>
      <c r="AG17" s="7" t="s">
        <v>34</v>
      </c>
      <c r="AH17" s="7" t="s">
        <v>174</v>
      </c>
      <c r="AI17" s="7" t="s">
        <v>33</v>
      </c>
      <c r="AJ17" s="7" t="s">
        <v>36</v>
      </c>
      <c r="AK17" s="7" t="s">
        <v>1163</v>
      </c>
      <c r="AL17" s="7"/>
      <c r="AM17" s="7"/>
      <c r="AN17" s="14" t="s">
        <v>1198</v>
      </c>
      <c r="AO17" s="13" t="s">
        <v>1194</v>
      </c>
      <c r="AP17" s="1" t="s">
        <v>1195</v>
      </c>
      <c r="AQ17" s="1" t="s">
        <v>189</v>
      </c>
      <c r="AR17" s="1" t="s">
        <v>189</v>
      </c>
    </row>
    <row r="18" s="1" customFormat="1" ht="69" customHeight="1" spans="1:44">
      <c r="A18" s="4" t="s">
        <v>1164</v>
      </c>
      <c r="B18" s="10" t="s">
        <v>456</v>
      </c>
      <c r="C18" s="8" t="s">
        <v>29</v>
      </c>
      <c r="D18" s="7" t="s">
        <v>1098</v>
      </c>
      <c r="E18" s="7" t="s">
        <v>640</v>
      </c>
      <c r="F18" s="7" t="s">
        <v>1099</v>
      </c>
      <c r="G18" s="7" t="s">
        <v>174</v>
      </c>
      <c r="H18" s="7" t="s">
        <v>175</v>
      </c>
      <c r="I18" s="7"/>
      <c r="J18" s="7" t="s">
        <v>176</v>
      </c>
      <c r="K18" s="7" t="s">
        <v>178</v>
      </c>
      <c r="L18" s="7" t="s">
        <v>177</v>
      </c>
      <c r="M18" s="7" t="s">
        <v>178</v>
      </c>
      <c r="N18" s="7" t="s">
        <v>177</v>
      </c>
      <c r="O18" s="7" t="s">
        <v>178</v>
      </c>
      <c r="P18" s="7" t="s">
        <v>178</v>
      </c>
      <c r="Q18" s="7"/>
      <c r="R18" s="7" t="s">
        <v>177</v>
      </c>
      <c r="S18" s="7" t="s">
        <v>638</v>
      </c>
      <c r="T18" s="7" t="s">
        <v>1098</v>
      </c>
      <c r="U18" s="7" t="s">
        <v>1165</v>
      </c>
      <c r="V18" s="7"/>
      <c r="W18" s="7"/>
      <c r="X18" s="7" t="s">
        <v>181</v>
      </c>
      <c r="Y18" s="7" t="s">
        <v>639</v>
      </c>
      <c r="Z18" s="7" t="s">
        <v>183</v>
      </c>
      <c r="AA18" s="7" t="s">
        <v>1158</v>
      </c>
      <c r="AB18" s="7" t="s">
        <v>1159</v>
      </c>
      <c r="AC18" s="7" t="s">
        <v>1121</v>
      </c>
      <c r="AD18" s="7"/>
      <c r="AE18" s="7" t="s">
        <v>1102</v>
      </c>
      <c r="AF18" s="7" t="s">
        <v>773</v>
      </c>
      <c r="AG18" s="7" t="s">
        <v>34</v>
      </c>
      <c r="AH18" s="7" t="s">
        <v>174</v>
      </c>
      <c r="AI18" s="7" t="s">
        <v>33</v>
      </c>
      <c r="AJ18" s="7" t="s">
        <v>36</v>
      </c>
      <c r="AK18" s="7" t="s">
        <v>1166</v>
      </c>
      <c r="AL18" s="7"/>
      <c r="AM18" s="7"/>
      <c r="AN18" s="14" t="s">
        <v>1198</v>
      </c>
      <c r="AO18" s="13" t="s">
        <v>1194</v>
      </c>
      <c r="AP18" s="1" t="s">
        <v>1195</v>
      </c>
      <c r="AQ18" s="1" t="s">
        <v>189</v>
      </c>
      <c r="AR18" s="1" t="s">
        <v>189</v>
      </c>
    </row>
    <row r="19" s="1" customFormat="1" ht="69" customHeight="1" spans="1:44">
      <c r="A19" s="4" t="s">
        <v>1167</v>
      </c>
      <c r="B19" s="10" t="s">
        <v>458</v>
      </c>
      <c r="C19" s="8" t="s">
        <v>29</v>
      </c>
      <c r="D19" s="7" t="s">
        <v>1098</v>
      </c>
      <c r="E19" s="7" t="s">
        <v>640</v>
      </c>
      <c r="F19" s="7" t="s">
        <v>1099</v>
      </c>
      <c r="G19" s="7" t="s">
        <v>174</v>
      </c>
      <c r="H19" s="7" t="s">
        <v>175</v>
      </c>
      <c r="I19" s="7"/>
      <c r="J19" s="7" t="s">
        <v>176</v>
      </c>
      <c r="K19" s="7" t="s">
        <v>178</v>
      </c>
      <c r="L19" s="7" t="s">
        <v>177</v>
      </c>
      <c r="M19" s="7" t="s">
        <v>178</v>
      </c>
      <c r="N19" s="7" t="s">
        <v>177</v>
      </c>
      <c r="O19" s="7" t="s">
        <v>178</v>
      </c>
      <c r="P19" s="7" t="s">
        <v>178</v>
      </c>
      <c r="Q19" s="7"/>
      <c r="R19" s="7" t="s">
        <v>177</v>
      </c>
      <c r="S19" s="7" t="s">
        <v>638</v>
      </c>
      <c r="T19" s="7" t="s">
        <v>1098</v>
      </c>
      <c r="U19" s="7" t="s">
        <v>1168</v>
      </c>
      <c r="V19" s="7"/>
      <c r="W19" s="7"/>
      <c r="X19" s="7" t="s">
        <v>181</v>
      </c>
      <c r="Y19" s="7" t="s">
        <v>639</v>
      </c>
      <c r="Z19" s="7" t="s">
        <v>183</v>
      </c>
      <c r="AA19" s="7" t="s">
        <v>1158</v>
      </c>
      <c r="AB19" s="7" t="s">
        <v>1159</v>
      </c>
      <c r="AC19" s="7" t="s">
        <v>1106</v>
      </c>
      <c r="AD19" s="7"/>
      <c r="AE19" s="7" t="s">
        <v>1102</v>
      </c>
      <c r="AF19" s="7" t="s">
        <v>773</v>
      </c>
      <c r="AG19" s="7" t="s">
        <v>34</v>
      </c>
      <c r="AH19" s="7" t="s">
        <v>174</v>
      </c>
      <c r="AI19" s="7" t="s">
        <v>33</v>
      </c>
      <c r="AJ19" s="7" t="s">
        <v>36</v>
      </c>
      <c r="AK19" s="7" t="s">
        <v>1169</v>
      </c>
      <c r="AL19" s="7"/>
      <c r="AM19" s="7"/>
      <c r="AN19" s="14" t="s">
        <v>1198</v>
      </c>
      <c r="AO19" s="13" t="s">
        <v>1194</v>
      </c>
      <c r="AP19" s="1" t="s">
        <v>1195</v>
      </c>
      <c r="AQ19" s="1" t="s">
        <v>189</v>
      </c>
      <c r="AR19" s="1" t="s">
        <v>189</v>
      </c>
    </row>
    <row r="20" s="1" customFormat="1" ht="69" customHeight="1" spans="1:44">
      <c r="A20" s="4" t="s">
        <v>1170</v>
      </c>
      <c r="B20" s="10" t="s">
        <v>459</v>
      </c>
      <c r="C20" s="8" t="s">
        <v>29</v>
      </c>
      <c r="D20" s="7" t="s">
        <v>1098</v>
      </c>
      <c r="E20" s="7" t="s">
        <v>640</v>
      </c>
      <c r="F20" s="7" t="s">
        <v>1099</v>
      </c>
      <c r="G20" s="7" t="s">
        <v>174</v>
      </c>
      <c r="H20" s="7" t="s">
        <v>175</v>
      </c>
      <c r="I20" s="7"/>
      <c r="J20" s="7" t="s">
        <v>176</v>
      </c>
      <c r="K20" s="7" t="s">
        <v>178</v>
      </c>
      <c r="L20" s="7" t="s">
        <v>177</v>
      </c>
      <c r="M20" s="7" t="s">
        <v>178</v>
      </c>
      <c r="N20" s="7" t="s">
        <v>177</v>
      </c>
      <c r="O20" s="7" t="s">
        <v>178</v>
      </c>
      <c r="P20" s="7" t="s">
        <v>178</v>
      </c>
      <c r="Q20" s="7"/>
      <c r="R20" s="7" t="s">
        <v>177</v>
      </c>
      <c r="S20" s="7" t="s">
        <v>638</v>
      </c>
      <c r="T20" s="7" t="s">
        <v>1098</v>
      </c>
      <c r="U20" s="7" t="s">
        <v>1171</v>
      </c>
      <c r="V20" s="7"/>
      <c r="W20" s="7"/>
      <c r="X20" s="7" t="s">
        <v>181</v>
      </c>
      <c r="Y20" s="7" t="s">
        <v>639</v>
      </c>
      <c r="Z20" s="7" t="s">
        <v>183</v>
      </c>
      <c r="AA20" s="7" t="s">
        <v>1172</v>
      </c>
      <c r="AB20" s="7" t="s">
        <v>1173</v>
      </c>
      <c r="AC20" s="7" t="s">
        <v>178</v>
      </c>
      <c r="AD20" s="7"/>
      <c r="AE20" s="7" t="s">
        <v>1102</v>
      </c>
      <c r="AF20" s="7" t="s">
        <v>773</v>
      </c>
      <c r="AG20" s="7" t="s">
        <v>34</v>
      </c>
      <c r="AH20" s="7" t="s">
        <v>174</v>
      </c>
      <c r="AI20" s="7" t="s">
        <v>33</v>
      </c>
      <c r="AJ20" s="7" t="s">
        <v>36</v>
      </c>
      <c r="AK20" s="7" t="s">
        <v>1174</v>
      </c>
      <c r="AL20" s="7"/>
      <c r="AM20" s="7"/>
      <c r="AN20" s="14" t="s">
        <v>1198</v>
      </c>
      <c r="AO20" s="13" t="s">
        <v>1194</v>
      </c>
      <c r="AP20" s="1" t="s">
        <v>1195</v>
      </c>
      <c r="AQ20" s="1" t="s">
        <v>189</v>
      </c>
      <c r="AR20" s="1" t="s">
        <v>189</v>
      </c>
    </row>
    <row r="21" s="1" customFormat="1" ht="69" customHeight="1" spans="1:44">
      <c r="A21" s="4" t="s">
        <v>1175</v>
      </c>
      <c r="B21" s="10" t="s">
        <v>463</v>
      </c>
      <c r="C21" s="8" t="s">
        <v>29</v>
      </c>
      <c r="D21" s="7" t="s">
        <v>1098</v>
      </c>
      <c r="E21" s="7" t="s">
        <v>640</v>
      </c>
      <c r="F21" s="7" t="s">
        <v>1099</v>
      </c>
      <c r="G21" s="7" t="s">
        <v>174</v>
      </c>
      <c r="H21" s="7" t="s">
        <v>175</v>
      </c>
      <c r="I21" s="7"/>
      <c r="J21" s="7" t="s">
        <v>176</v>
      </c>
      <c r="K21" s="7" t="s">
        <v>178</v>
      </c>
      <c r="L21" s="7" t="s">
        <v>177</v>
      </c>
      <c r="M21" s="7" t="s">
        <v>178</v>
      </c>
      <c r="N21" s="7" t="s">
        <v>177</v>
      </c>
      <c r="O21" s="7" t="s">
        <v>178</v>
      </c>
      <c r="P21" s="7" t="s">
        <v>178</v>
      </c>
      <c r="Q21" s="7"/>
      <c r="R21" s="7" t="s">
        <v>177</v>
      </c>
      <c r="S21" s="7" t="s">
        <v>638</v>
      </c>
      <c r="T21" s="7" t="s">
        <v>1098</v>
      </c>
      <c r="U21" s="7" t="s">
        <v>1176</v>
      </c>
      <c r="V21" s="7"/>
      <c r="W21" s="7"/>
      <c r="X21" s="7" t="s">
        <v>181</v>
      </c>
      <c r="Y21" s="7" t="s">
        <v>639</v>
      </c>
      <c r="Z21" s="7" t="s">
        <v>183</v>
      </c>
      <c r="AA21" s="7" t="s">
        <v>1172</v>
      </c>
      <c r="AB21" s="7" t="s">
        <v>1173</v>
      </c>
      <c r="AC21" s="7" t="s">
        <v>181</v>
      </c>
      <c r="AD21" s="7"/>
      <c r="AE21" s="7" t="s">
        <v>1102</v>
      </c>
      <c r="AF21" s="7" t="s">
        <v>773</v>
      </c>
      <c r="AG21" s="7" t="s">
        <v>34</v>
      </c>
      <c r="AH21" s="7" t="s">
        <v>174</v>
      </c>
      <c r="AI21" s="7" t="s">
        <v>33</v>
      </c>
      <c r="AJ21" s="7" t="s">
        <v>36</v>
      </c>
      <c r="AK21" s="7" t="s">
        <v>1177</v>
      </c>
      <c r="AL21" s="7"/>
      <c r="AM21" s="7"/>
      <c r="AN21" s="14" t="s">
        <v>1198</v>
      </c>
      <c r="AO21" s="13" t="s">
        <v>1194</v>
      </c>
      <c r="AP21" s="1" t="s">
        <v>1195</v>
      </c>
      <c r="AQ21" s="1" t="s">
        <v>189</v>
      </c>
      <c r="AR21" s="1" t="s">
        <v>189</v>
      </c>
    </row>
    <row r="22" s="1" customFormat="1" ht="69" customHeight="1" spans="1:41">
      <c r="A22" s="4" t="s">
        <v>1178</v>
      </c>
      <c r="B22" s="4" t="s">
        <v>1179</v>
      </c>
      <c r="C22" s="11" t="s">
        <v>722</v>
      </c>
      <c r="D22" s="7" t="s">
        <v>1098</v>
      </c>
      <c r="E22" s="7" t="s">
        <v>640</v>
      </c>
      <c r="F22" s="7" t="s">
        <v>1099</v>
      </c>
      <c r="G22" s="7" t="s">
        <v>174</v>
      </c>
      <c r="H22" s="7" t="s">
        <v>175</v>
      </c>
      <c r="I22" s="7"/>
      <c r="J22" s="7" t="s">
        <v>176</v>
      </c>
      <c r="K22" s="7" t="s">
        <v>178</v>
      </c>
      <c r="L22" s="7" t="s">
        <v>177</v>
      </c>
      <c r="M22" s="7" t="s">
        <v>178</v>
      </c>
      <c r="N22" s="7" t="s">
        <v>177</v>
      </c>
      <c r="O22" s="7" t="s">
        <v>178</v>
      </c>
      <c r="P22" s="7" t="s">
        <v>178</v>
      </c>
      <c r="Q22" s="7"/>
      <c r="R22" s="7" t="s">
        <v>177</v>
      </c>
      <c r="S22" s="7" t="s">
        <v>638</v>
      </c>
      <c r="T22" s="7" t="s">
        <v>1098</v>
      </c>
      <c r="U22" s="7"/>
      <c r="V22" s="7"/>
      <c r="W22" s="7"/>
      <c r="X22" s="7" t="s">
        <v>181</v>
      </c>
      <c r="Y22" s="7" t="s">
        <v>639</v>
      </c>
      <c r="Z22" s="7" t="s">
        <v>183</v>
      </c>
      <c r="AA22" s="7" t="s">
        <v>1100</v>
      </c>
      <c r="AB22" s="7" t="s">
        <v>1101</v>
      </c>
      <c r="AC22" s="7" t="s">
        <v>1106</v>
      </c>
      <c r="AD22" s="7"/>
      <c r="AE22" s="7" t="s">
        <v>1102</v>
      </c>
      <c r="AF22" s="7" t="s">
        <v>773</v>
      </c>
      <c r="AG22" s="7" t="s">
        <v>34</v>
      </c>
      <c r="AH22" s="7" t="s">
        <v>174</v>
      </c>
      <c r="AI22" s="7"/>
      <c r="AJ22" s="7" t="s">
        <v>36</v>
      </c>
      <c r="AK22" s="7" t="s">
        <v>36</v>
      </c>
      <c r="AL22" s="7"/>
      <c r="AM22" s="7"/>
      <c r="AN22" s="13" t="s">
        <v>1199</v>
      </c>
      <c r="AO22" s="13"/>
    </row>
    <row r="23" s="1" customFormat="1" ht="69" customHeight="1" spans="1:41">
      <c r="A23" s="4" t="s">
        <v>1181</v>
      </c>
      <c r="B23" s="4" t="s">
        <v>1182</v>
      </c>
      <c r="C23" s="11" t="s">
        <v>722</v>
      </c>
      <c r="D23" s="7" t="s">
        <v>1098</v>
      </c>
      <c r="E23" s="7" t="s">
        <v>640</v>
      </c>
      <c r="F23" s="7" t="s">
        <v>1099</v>
      </c>
      <c r="G23" s="7" t="s">
        <v>174</v>
      </c>
      <c r="H23" s="7" t="s">
        <v>175</v>
      </c>
      <c r="I23" s="7"/>
      <c r="J23" s="7" t="s">
        <v>176</v>
      </c>
      <c r="K23" s="7" t="s">
        <v>178</v>
      </c>
      <c r="L23" s="7" t="s">
        <v>177</v>
      </c>
      <c r="M23" s="7" t="s">
        <v>178</v>
      </c>
      <c r="N23" s="7" t="s">
        <v>177</v>
      </c>
      <c r="O23" s="7" t="s">
        <v>178</v>
      </c>
      <c r="P23" s="7" t="s">
        <v>178</v>
      </c>
      <c r="Q23" s="7"/>
      <c r="R23" s="7" t="s">
        <v>177</v>
      </c>
      <c r="S23" s="7" t="s">
        <v>638</v>
      </c>
      <c r="T23" s="7" t="s">
        <v>1098</v>
      </c>
      <c r="U23" s="7"/>
      <c r="V23" s="7"/>
      <c r="W23" s="7"/>
      <c r="X23" s="7" t="s">
        <v>181</v>
      </c>
      <c r="Y23" s="7" t="s">
        <v>639</v>
      </c>
      <c r="Z23" s="7" t="s">
        <v>183</v>
      </c>
      <c r="AA23" s="7" t="s">
        <v>1100</v>
      </c>
      <c r="AB23" s="7" t="s">
        <v>1101</v>
      </c>
      <c r="AC23" s="7" t="s">
        <v>1183</v>
      </c>
      <c r="AD23" s="7"/>
      <c r="AE23" s="7" t="s">
        <v>1102</v>
      </c>
      <c r="AF23" s="7" t="s">
        <v>773</v>
      </c>
      <c r="AG23" s="7" t="s">
        <v>34</v>
      </c>
      <c r="AH23" s="7" t="s">
        <v>174</v>
      </c>
      <c r="AI23" s="7" t="s">
        <v>1184</v>
      </c>
      <c r="AJ23" s="7" t="s">
        <v>36</v>
      </c>
      <c r="AK23" s="7" t="s">
        <v>36</v>
      </c>
      <c r="AL23" s="7"/>
      <c r="AM23" s="7"/>
      <c r="AN23" s="13" t="s">
        <v>1199</v>
      </c>
      <c r="AO23" s="13"/>
    </row>
    <row r="24" s="1" customFormat="1" ht="69" customHeight="1" spans="1:41">
      <c r="A24" s="4" t="s">
        <v>1185</v>
      </c>
      <c r="B24" s="4" t="s">
        <v>1186</v>
      </c>
      <c r="C24" s="11" t="s">
        <v>722</v>
      </c>
      <c r="D24" s="7" t="s">
        <v>1098</v>
      </c>
      <c r="E24" s="7" t="s">
        <v>640</v>
      </c>
      <c r="F24" s="7" t="s">
        <v>1099</v>
      </c>
      <c r="G24" s="7" t="s">
        <v>174</v>
      </c>
      <c r="H24" s="7" t="s">
        <v>175</v>
      </c>
      <c r="I24" s="7"/>
      <c r="J24" s="7" t="s">
        <v>176</v>
      </c>
      <c r="K24" s="7" t="s">
        <v>178</v>
      </c>
      <c r="L24" s="7" t="s">
        <v>177</v>
      </c>
      <c r="M24" s="7" t="s">
        <v>178</v>
      </c>
      <c r="N24" s="7" t="s">
        <v>177</v>
      </c>
      <c r="O24" s="7" t="s">
        <v>178</v>
      </c>
      <c r="P24" s="7" t="s">
        <v>178</v>
      </c>
      <c r="Q24" s="7"/>
      <c r="R24" s="7" t="s">
        <v>177</v>
      </c>
      <c r="S24" s="7" t="s">
        <v>638</v>
      </c>
      <c r="T24" s="7" t="s">
        <v>1098</v>
      </c>
      <c r="U24" s="7"/>
      <c r="V24" s="7"/>
      <c r="W24" s="7"/>
      <c r="X24" s="7" t="s">
        <v>181</v>
      </c>
      <c r="Y24" s="7" t="s">
        <v>639</v>
      </c>
      <c r="Z24" s="7" t="s">
        <v>183</v>
      </c>
      <c r="AA24" s="7" t="s">
        <v>1100</v>
      </c>
      <c r="AB24" s="7" t="s">
        <v>1101</v>
      </c>
      <c r="AC24" s="7" t="s">
        <v>1187</v>
      </c>
      <c r="AD24" s="7"/>
      <c r="AE24" s="7" t="s">
        <v>1102</v>
      </c>
      <c r="AF24" s="7" t="s">
        <v>773</v>
      </c>
      <c r="AG24" s="7" t="s">
        <v>1188</v>
      </c>
      <c r="AH24" s="7" t="s">
        <v>174</v>
      </c>
      <c r="AI24" s="7" t="s">
        <v>33</v>
      </c>
      <c r="AJ24" s="7" t="s">
        <v>36</v>
      </c>
      <c r="AK24" s="7" t="s">
        <v>36</v>
      </c>
      <c r="AL24" s="7"/>
      <c r="AM24" s="7"/>
      <c r="AN24" s="13" t="s">
        <v>1199</v>
      </c>
      <c r="AO24" s="1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quote_fee_1_player</vt:lpstr>
      <vt:lpstr>quote_fee_1_player_VC</vt:lpstr>
      <vt:lpstr>Create_Booking_1_Player</vt:lpstr>
      <vt:lpstr>Create_Booking_1_Player_VC</vt:lpstr>
      <vt:lpstr>Create_Booking_4_Player</vt:lpstr>
      <vt:lpstr>Create_Booking_At_TeeTime</vt:lpstr>
      <vt:lpstr>Get_List_Booking_Select</vt:lpstr>
      <vt:lpstr>Get_Booking_Price</vt:lpstr>
      <vt:lpstr>Get_Booking_Price_Player1</vt:lpstr>
      <vt:lpstr>Get_Booking_Price_Player2</vt:lpstr>
      <vt:lpstr>Get_Booking_Price_Player3</vt:lpstr>
      <vt:lpstr>Get_Booking_Price_Player4</vt:lpstr>
      <vt:lpstr>Edit_Booking_At_TeeTime_Player1</vt:lpstr>
      <vt:lpstr>Edit_Booking_At_TeeTime_Player2</vt:lpstr>
      <vt:lpstr>Edit_Booking_At_TeeTime_Player3</vt:lpstr>
      <vt:lpstr>Edit_Booking_At_TeeTime_Player4</vt:lpstr>
      <vt:lpstr>Edit_Booking_1_Player</vt:lpstr>
      <vt:lpstr>Edit_Booking_1_Player_VC</vt:lpstr>
      <vt:lpstr>Edit_Booking_4_Player</vt:lpstr>
      <vt:lpstr>Edit_Booking</vt:lpstr>
      <vt:lpstr>testcase</vt:lpstr>
      <vt:lpstr>testcase_DB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2025-08-10T10:31:00Z</dcterms:created>
  <dcterms:modified xsi:type="dcterms:W3CDTF">2025-12-16T09:36:01Z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