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<sst xmlns="http://schemas.openxmlformats.org/spreadsheetml/2006/main" count="2495" uniqueCount="431">
  <si>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</si>
  <si>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</si>
  <si>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</si>
  <si>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</si>
  <si>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</si>
  <si>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</si>
  <si>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</si>
  <si>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</si>
  <si>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</si>
  <si>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</si>
  <si>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</si>
  <si>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</si>
  <si>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</si>
  <si>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</si>
  <si>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</si>
  <si>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</si>
  <si>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</si>
  <si>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</si>
  <si>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</si>
  <si>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</si>
  <si>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</si>
  <si>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</si>
  <si>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</si>
  <si>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</si>
  <si>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</si>
  <si>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</si>
  <si>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</si>
  <si>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</si>
  <si>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</si>
  <si>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</si>
  <si>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</si>
  <si>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</si>
  <si>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</si>
  <si>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</si>
  <si>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</si>
  <si>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</si>
  <si>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</si>
  <si>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</si>
  <si>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</si>
  <si>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</si>
  <si>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</si>
  <si>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</si>
  <si>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</si>
  <si>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</si>
  <si>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</si>
  <si>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</si>
  <si>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</si>
  <si>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</si>
  <si>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</si>
  <si>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</si>
  <si>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</si>
  <si>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</si>
  <si>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</si>
  <si>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</si>
  <si>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</si>
  <si>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</si>
  <si>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</si>
  <si>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</si>
  <si>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</si>
  <si>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</si>
  <si>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</si>
  <si>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</si>
  <si>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</si>
  <si>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</si>
  <si>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</si>
  <si>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</si>
  <si>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</si>
  <si>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</si>
  <si>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</si>
  <si>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</si>
  <si>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</si>
  <si>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</si>
  <si>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</si>
  <si>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</si>
  <si>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</si>
  <si>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</si>
  <si>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</si>
  <si>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</si>
  <si>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</si>
  <si>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</si>
  <si>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</si>
  <si>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</si>
  <si>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</si>
  <si>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</si>
  <si>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</si>
  <si>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Apply voucher giảm giá thông thường: Giảm 200k green fee</t>
  </si>
  <si>
    <t>VST_VC_GREEN_001</t>
  </si>
  <si>
    <t>VST_Kiểm tra giá sau khi check in có add voucher</t>
  </si>
  <si>
    <t>VST_VC_GREEN_002</t>
  </si>
  <si>
    <t>VST_Kiểm tra giá sau khi ghép xe có add voucher</t>
  </si>
  <si>
    <t>VST_VC_GREEN_003</t>
  </si>
  <si>
    <t>VST_Kiểm tra giá sau khi ghép xe + add restaurant có add voucher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</si>
  <si>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</si>
  <si>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</si>
  <si>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</si>
  <si>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</si>
  <si>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</si>
  <si>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</si>
  <si>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VST_VC_4FEE_003</t>
  </si>
  <si>
    <t>Apply voucher giảm giá thông thường: Giảm 10% green</t>
  </si>
  <si>
    <t>VST_VC_GREEN_10_001</t>
  </si>
  <si>
    <t>VST_VC_GREEN_10_002</t>
  </si>
  <si>
    <t>VST_VC_GREEN_10_003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</si>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</sst>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8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8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0" fontId="1" fillId="3" borderId="8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8" borderId="5" xfId="0" applyFont="1" applyFill="1" applyBorder="1" applyAlignment="1">
      <alignment vertical="center" wrapText="1" readingOrder="1"/>
    </xf>
    <xf numFmtId="0" fontId="0" fillId="8" borderId="5" xfId="0" applyFill="1" applyBorder="1" applyAlignment="1">
      <alignment vertical="center" wrapText="1"/>
    </xf>
    <xf numFmtId="0" fontId="0" fillId="8" borderId="5" xfId="0" applyNumberFormat="1" applyFill="1" applyBorder="1" applyAlignment="1">
      <alignment vertical="center" wrapText="1"/>
    </xf>
    <xf numFmtId="0" fontId="0" fillId="8" borderId="1" xfId="0" applyNumberFormat="1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8"/>
  <sheetViews>
    <sheetView tabSelected="1" zoomScale="85" zoomScaleNormal="85" topLeftCell="G1" workbookViewId="0">
      <pane ySplit="1" topLeftCell="A75" activePane="bottomLeft" state="frozen"/>
      <selection/>
      <selection pane="bottomLeft" activeCell="O69" sqref="O69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30" width="32.4285714285714" style="1" customWidth="1"/>
    <col min="31" max="31" width="31.2571428571429" style="1" customWidth="1"/>
    <col min="32" max="33" width="28.2380952380952" style="1" customWidth="1"/>
    <col min="34" max="34" width="32.0952380952381" style="1" customWidth="1"/>
    <col min="35" max="35" width="28.2380952380952" style="1" customWidth="1"/>
    <col min="36" max="38" width="27.047619047619" style="1" customWidth="1"/>
    <col min="39" max="39" width="23.352380952381" style="1" customWidth="1"/>
    <col min="40" max="16384" width="9.14285714285714" style="1"/>
  </cols>
  <sheetData>
    <row r="1" s="1" customFormat="1" ht="47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2" t="s">
        <v>54</v>
      </c>
      <c r="AB1" s="37" t="s">
        <v>55</v>
      </c>
      <c r="AC1" s="35" t="s">
        <v>19</v>
      </c>
      <c r="AD1" s="35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</row>
    <row r="2" s="38" customFormat="1" ht="21" customHeight="1" spans="1:52">
      <c r="A2" s="39"/>
      <c r="B2" s="40" t="s">
        <v>66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2"/>
      <c r="R2" s="53"/>
      <c r="S2" s="53"/>
      <c r="T2" s="53"/>
      <c r="U2" s="53"/>
      <c r="V2" s="53"/>
      <c r="W2" s="54"/>
      <c r="X2" s="53"/>
      <c r="Y2" s="53"/>
      <c r="Z2" s="53"/>
      <c r="AA2" s="53"/>
      <c r="AB2" s="55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</row>
    <row r="3" s="1" customFormat="1" ht="52" customHeight="1" spans="1:39">
      <c r="A3" s="5" t="s">
        <v>67</v>
      </c>
      <c r="B3" s="6" t="s">
        <v>68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69</v>
      </c>
      <c r="K3" s="9">
        <v>200</v>
      </c>
      <c r="L3" s="14">
        <v>1700000</v>
      </c>
      <c r="M3" s="6">
        <v>0</v>
      </c>
      <c r="N3" s="6">
        <v>0</v>
      </c>
      <c r="O3" s="15" t="s">
        <v>70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f t="shared" ref="Z3:Z10" si="0">X3+Y3</f>
        <v>1600000</v>
      </c>
      <c r="AA3" s="14"/>
      <c r="AB3" s="14">
        <v>0</v>
      </c>
      <c r="AC3" s="14">
        <v>1</v>
      </c>
      <c r="AD3" s="14">
        <v>100000</v>
      </c>
      <c r="AE3" s="14">
        <v>1600000</v>
      </c>
      <c r="AF3" s="14">
        <v>0</v>
      </c>
      <c r="AG3" s="14">
        <v>0</v>
      </c>
      <c r="AH3" s="14">
        <v>0</v>
      </c>
      <c r="AI3" s="14">
        <v>0</v>
      </c>
      <c r="AJ3" s="14">
        <v>100000</v>
      </c>
      <c r="AK3" s="14">
        <v>0</v>
      </c>
      <c r="AL3" s="14">
        <v>0</v>
      </c>
      <c r="AM3" s="57">
        <f t="shared" ref="AM3:AM10" si="1">SUM(AE3:AL3)</f>
        <v>1700000</v>
      </c>
    </row>
    <row r="4" s="1" customFormat="1" ht="52" customHeight="1" spans="1:39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69</v>
      </c>
      <c r="K4" s="9">
        <v>200</v>
      </c>
      <c r="L4" s="14">
        <v>2300000</v>
      </c>
      <c r="M4" s="6">
        <v>0</v>
      </c>
      <c r="N4" s="6">
        <v>0</v>
      </c>
      <c r="O4" s="15" t="s">
        <v>70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f t="shared" si="0"/>
        <v>1600000</v>
      </c>
      <c r="AA4" s="14"/>
      <c r="AB4" s="14">
        <v>0</v>
      </c>
      <c r="AC4" s="14">
        <v>3</v>
      </c>
      <c r="AD4" s="14">
        <v>700000</v>
      </c>
      <c r="AE4" s="14">
        <v>1600000</v>
      </c>
      <c r="AF4" s="14">
        <v>600000</v>
      </c>
      <c r="AG4" s="14">
        <v>0</v>
      </c>
      <c r="AH4" s="14">
        <v>0</v>
      </c>
      <c r="AI4" s="14">
        <v>0</v>
      </c>
      <c r="AJ4" s="14">
        <v>100000</v>
      </c>
      <c r="AK4" s="14">
        <v>0</v>
      </c>
      <c r="AL4" s="14">
        <v>0</v>
      </c>
      <c r="AM4" s="57">
        <f t="shared" si="1"/>
        <v>2300000</v>
      </c>
    </row>
    <row r="5" s="1" customFormat="1" ht="52" customHeight="1" spans="1:39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69</v>
      </c>
      <c r="K5" s="9">
        <v>200</v>
      </c>
      <c r="L5" s="14">
        <v>2400000</v>
      </c>
      <c r="M5" s="6">
        <v>0</v>
      </c>
      <c r="N5" s="6">
        <v>0</v>
      </c>
      <c r="O5" s="15" t="s">
        <v>70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f t="shared" si="0"/>
        <v>1600000</v>
      </c>
      <c r="AA5" s="14"/>
      <c r="AB5" s="14">
        <v>0</v>
      </c>
      <c r="AC5" s="14">
        <v>4</v>
      </c>
      <c r="AD5" s="14">
        <v>800000</v>
      </c>
      <c r="AE5" s="14">
        <v>1600000</v>
      </c>
      <c r="AF5" s="14">
        <v>600000</v>
      </c>
      <c r="AG5" s="14">
        <v>0</v>
      </c>
      <c r="AH5" s="14">
        <v>0</v>
      </c>
      <c r="AI5" s="14">
        <v>100000</v>
      </c>
      <c r="AJ5" s="14">
        <v>100000</v>
      </c>
      <c r="AK5" s="14">
        <v>0</v>
      </c>
      <c r="AL5" s="14">
        <v>0</v>
      </c>
      <c r="AM5" s="57">
        <f t="shared" si="1"/>
        <v>2400000</v>
      </c>
    </row>
    <row r="6" s="1" customFormat="1" ht="52" customHeight="1" spans="1:39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69</v>
      </c>
      <c r="K6" s="9">
        <v>200</v>
      </c>
      <c r="L6" s="14">
        <v>2500000</v>
      </c>
      <c r="M6" s="6">
        <v>0</v>
      </c>
      <c r="N6" s="6">
        <v>0</v>
      </c>
      <c r="O6" s="15" t="s">
        <v>70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f t="shared" si="0"/>
        <v>1600000</v>
      </c>
      <c r="AA6" s="14"/>
      <c r="AB6" s="14">
        <v>0</v>
      </c>
      <c r="AC6" s="14">
        <v>5</v>
      </c>
      <c r="AD6" s="14">
        <v>900000</v>
      </c>
      <c r="AE6" s="14">
        <v>1600000</v>
      </c>
      <c r="AF6" s="14">
        <v>600000</v>
      </c>
      <c r="AG6" s="14">
        <v>0</v>
      </c>
      <c r="AH6" s="14">
        <v>0</v>
      </c>
      <c r="AI6" s="14">
        <v>100000</v>
      </c>
      <c r="AJ6" s="14">
        <v>200000</v>
      </c>
      <c r="AK6" s="14">
        <v>0</v>
      </c>
      <c r="AL6" s="14">
        <v>0</v>
      </c>
      <c r="AM6" s="57">
        <f t="shared" si="1"/>
        <v>2500000</v>
      </c>
    </row>
    <row r="7" s="1" customFormat="1" ht="52" customHeight="1" spans="1:39">
      <c r="A7" s="5" t="s">
        <v>77</v>
      </c>
      <c r="B7" s="6" t="s">
        <v>78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69</v>
      </c>
      <c r="K7" s="9">
        <v>200</v>
      </c>
      <c r="L7" s="14">
        <v>2600000</v>
      </c>
      <c r="M7" s="6">
        <v>0</v>
      </c>
      <c r="N7" s="6">
        <v>0</v>
      </c>
      <c r="O7" s="15" t="s">
        <v>70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>
        <v>1000000</v>
      </c>
      <c r="Y7" s="14">
        <v>600000</v>
      </c>
      <c r="Z7" s="14">
        <f t="shared" si="0"/>
        <v>1600000</v>
      </c>
      <c r="AA7" s="14"/>
      <c r="AB7" s="14">
        <v>0</v>
      </c>
      <c r="AC7" s="14">
        <v>6</v>
      </c>
      <c r="AD7" s="6">
        <v>1000000</v>
      </c>
      <c r="AE7" s="14">
        <v>1600000</v>
      </c>
      <c r="AF7" s="14">
        <v>600000</v>
      </c>
      <c r="AG7" s="14">
        <v>0</v>
      </c>
      <c r="AH7" s="14">
        <v>0</v>
      </c>
      <c r="AI7" s="14">
        <v>100000</v>
      </c>
      <c r="AJ7" s="14">
        <v>200000</v>
      </c>
      <c r="AK7" s="14">
        <v>100000</v>
      </c>
      <c r="AL7" s="14">
        <v>0</v>
      </c>
      <c r="AM7" s="57">
        <f t="shared" si="1"/>
        <v>2600000</v>
      </c>
    </row>
    <row r="8" s="29" customFormat="1" ht="47" customHeight="1" spans="1:39">
      <c r="A8" s="5" t="s">
        <v>79</v>
      </c>
      <c r="B8" s="6" t="s">
        <v>80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69</v>
      </c>
      <c r="K8" s="9">
        <v>200</v>
      </c>
      <c r="L8" s="6">
        <v>2700000</v>
      </c>
      <c r="M8" s="6">
        <v>0</v>
      </c>
      <c r="N8" s="6">
        <v>0</v>
      </c>
      <c r="O8" s="15" t="s">
        <v>70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>
        <v>1000000</v>
      </c>
      <c r="Y8" s="14">
        <v>600000</v>
      </c>
      <c r="Z8" s="14">
        <f t="shared" si="0"/>
        <v>1600000</v>
      </c>
      <c r="AA8" s="14"/>
      <c r="AB8" s="14">
        <v>0</v>
      </c>
      <c r="AC8" s="14">
        <v>7</v>
      </c>
      <c r="AD8" s="6">
        <v>1100000</v>
      </c>
      <c r="AE8" s="14">
        <v>1600000</v>
      </c>
      <c r="AF8" s="14">
        <v>600000</v>
      </c>
      <c r="AG8" s="14">
        <v>100000</v>
      </c>
      <c r="AH8" s="14">
        <v>0</v>
      </c>
      <c r="AI8" s="14">
        <v>100000</v>
      </c>
      <c r="AJ8" s="14">
        <v>200000</v>
      </c>
      <c r="AK8" s="14">
        <v>100000</v>
      </c>
      <c r="AL8" s="14">
        <v>0</v>
      </c>
      <c r="AM8" s="57">
        <f t="shared" si="1"/>
        <v>2700000</v>
      </c>
    </row>
    <row r="9" s="29" customFormat="1" ht="47" customHeight="1" spans="1:39">
      <c r="A9" s="5" t="s">
        <v>81</v>
      </c>
      <c r="B9" s="6" t="s">
        <v>82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69</v>
      </c>
      <c r="K9" s="9">
        <v>200</v>
      </c>
      <c r="L9" s="6">
        <v>2800000</v>
      </c>
      <c r="M9" s="6">
        <v>0</v>
      </c>
      <c r="N9" s="6">
        <v>0</v>
      </c>
      <c r="O9" s="15" t="s">
        <v>70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>
        <v>1000000</v>
      </c>
      <c r="Y9" s="14">
        <v>600000</v>
      </c>
      <c r="Z9" s="14">
        <f t="shared" si="0"/>
        <v>1600000</v>
      </c>
      <c r="AA9" s="14"/>
      <c r="AB9" s="14">
        <v>0</v>
      </c>
      <c r="AC9" s="14">
        <v>8</v>
      </c>
      <c r="AD9" s="6">
        <v>1200000</v>
      </c>
      <c r="AE9" s="14">
        <v>1600000</v>
      </c>
      <c r="AF9" s="14">
        <v>700000</v>
      </c>
      <c r="AG9" s="14">
        <v>100000</v>
      </c>
      <c r="AH9" s="14">
        <v>0</v>
      </c>
      <c r="AI9" s="14">
        <v>100000</v>
      </c>
      <c r="AJ9" s="14">
        <v>200000</v>
      </c>
      <c r="AK9" s="14">
        <v>100000</v>
      </c>
      <c r="AL9" s="14">
        <v>0</v>
      </c>
      <c r="AM9" s="57">
        <f t="shared" si="1"/>
        <v>2800000</v>
      </c>
    </row>
    <row r="10" s="29" customFormat="1" ht="47" customHeight="1" spans="1:39">
      <c r="A10" s="5" t="s">
        <v>83</v>
      </c>
      <c r="B10" s="6" t="s">
        <v>84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69</v>
      </c>
      <c r="K10" s="9">
        <v>200</v>
      </c>
      <c r="L10" s="6">
        <v>2900000</v>
      </c>
      <c r="M10" s="6">
        <v>0</v>
      </c>
      <c r="N10" s="6">
        <v>0</v>
      </c>
      <c r="O10" s="15" t="s">
        <v>70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>
        <v>1000000</v>
      </c>
      <c r="Y10" s="14">
        <v>600000</v>
      </c>
      <c r="Z10" s="14">
        <f t="shared" si="0"/>
        <v>1600000</v>
      </c>
      <c r="AA10" s="14"/>
      <c r="AB10" s="14">
        <v>0</v>
      </c>
      <c r="AC10" s="14">
        <v>9</v>
      </c>
      <c r="AD10" s="6">
        <v>1300000</v>
      </c>
      <c r="AE10" s="14">
        <v>1600000</v>
      </c>
      <c r="AF10" s="14">
        <v>700000</v>
      </c>
      <c r="AG10" s="14">
        <v>100000</v>
      </c>
      <c r="AH10" s="14">
        <v>100000</v>
      </c>
      <c r="AI10" s="14">
        <v>100000</v>
      </c>
      <c r="AJ10" s="14">
        <v>200000</v>
      </c>
      <c r="AK10" s="14">
        <v>100000</v>
      </c>
      <c r="AL10" s="14">
        <v>0</v>
      </c>
      <c r="AM10" s="57">
        <f t="shared" si="1"/>
        <v>2900000</v>
      </c>
    </row>
    <row r="11" s="29" customFormat="1" ht="47" customHeight="1" spans="1:39">
      <c r="A11" s="43"/>
      <c r="B11" s="44" t="s">
        <v>85</v>
      </c>
      <c r="C11" s="45"/>
      <c r="D11" s="45"/>
      <c r="E11" s="46"/>
      <c r="F11" s="46"/>
      <c r="G11" s="46"/>
      <c r="H11" s="46"/>
      <c r="I11" s="50"/>
      <c r="J11" s="51"/>
      <c r="K11" s="34"/>
      <c r="L11" s="34"/>
      <c r="M11" s="32"/>
      <c r="N11" s="32"/>
      <c r="O11" s="33"/>
      <c r="P11" s="32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2"/>
      <c r="AB11" s="32"/>
      <c r="AC11" s="34"/>
      <c r="AD11" s="6"/>
      <c r="AE11" s="34"/>
      <c r="AF11" s="34"/>
      <c r="AG11" s="34"/>
      <c r="AH11" s="34"/>
      <c r="AI11" s="34"/>
      <c r="AJ11" s="34"/>
      <c r="AK11" s="34"/>
      <c r="AL11" s="34"/>
      <c r="AM11" s="34"/>
    </row>
    <row r="12" s="1" customFormat="1" ht="52" customHeight="1" spans="1:39">
      <c r="A12" s="5" t="s">
        <v>86</v>
      </c>
      <c r="B12" s="6" t="s">
        <v>87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69</v>
      </c>
      <c r="K12" s="9">
        <v>200</v>
      </c>
      <c r="L12" s="14">
        <v>1500000</v>
      </c>
      <c r="M12" s="6">
        <v>0</v>
      </c>
      <c r="N12" s="6">
        <v>0</v>
      </c>
      <c r="O12" s="15" t="s">
        <v>70</v>
      </c>
      <c r="P12" s="6">
        <v>0</v>
      </c>
      <c r="Q12" s="14">
        <v>1500000</v>
      </c>
      <c r="R12" s="14"/>
      <c r="S12" s="14">
        <v>1</v>
      </c>
      <c r="T12" s="14">
        <v>800000</v>
      </c>
      <c r="U12" s="14">
        <v>600000</v>
      </c>
      <c r="V12" s="14">
        <v>200000</v>
      </c>
      <c r="W12" s="14">
        <v>0</v>
      </c>
      <c r="X12" s="14">
        <v>800000</v>
      </c>
      <c r="Y12" s="14">
        <v>600000</v>
      </c>
      <c r="Z12" s="14">
        <f>X12+Y12</f>
        <v>1400000</v>
      </c>
      <c r="AA12" s="14"/>
      <c r="AB12" s="14">
        <v>0</v>
      </c>
      <c r="AC12" s="14">
        <v>1</v>
      </c>
      <c r="AD12" s="6">
        <v>100000</v>
      </c>
      <c r="AE12" s="14">
        <v>1400000</v>
      </c>
      <c r="AF12" s="14">
        <v>0</v>
      </c>
      <c r="AG12" s="14">
        <v>0</v>
      </c>
      <c r="AH12" s="14">
        <v>0</v>
      </c>
      <c r="AI12" s="14">
        <v>0</v>
      </c>
      <c r="AJ12" s="14">
        <v>100000</v>
      </c>
      <c r="AK12" s="14">
        <v>0</v>
      </c>
      <c r="AL12" s="14">
        <v>0</v>
      </c>
      <c r="AM12" s="57">
        <f>SUM(AE12:AL12)</f>
        <v>1500000</v>
      </c>
    </row>
    <row r="13" s="1" customFormat="1" ht="52" customHeight="1" spans="1:39">
      <c r="A13" s="5" t="s">
        <v>88</v>
      </c>
      <c r="B13" s="6" t="s">
        <v>89</v>
      </c>
      <c r="C13" s="26" t="s">
        <v>22</v>
      </c>
      <c r="D13" s="6"/>
      <c r="E13" s="14" t="s">
        <v>23</v>
      </c>
      <c r="F13" s="14" t="s">
        <v>24</v>
      </c>
      <c r="G13" s="9" t="s">
        <v>25</v>
      </c>
      <c r="H13" s="9" t="s">
        <v>26</v>
      </c>
      <c r="I13" s="24" t="s">
        <v>27</v>
      </c>
      <c r="J13" s="6" t="s">
        <v>69</v>
      </c>
      <c r="K13" s="9">
        <v>200</v>
      </c>
      <c r="L13" s="14">
        <v>2100000</v>
      </c>
      <c r="M13" s="6">
        <v>0</v>
      </c>
      <c r="N13" s="6">
        <v>0</v>
      </c>
      <c r="O13" s="15" t="s">
        <v>70</v>
      </c>
      <c r="P13" s="6">
        <v>0</v>
      </c>
      <c r="Q13" s="14">
        <v>2100000</v>
      </c>
      <c r="R13" s="14"/>
      <c r="S13" s="14">
        <v>1</v>
      </c>
      <c r="T13" s="14">
        <v>800000</v>
      </c>
      <c r="U13" s="14">
        <v>600000</v>
      </c>
      <c r="V13" s="14">
        <v>200000</v>
      </c>
      <c r="W13" s="14">
        <v>0</v>
      </c>
      <c r="X13" s="14">
        <v>800000</v>
      </c>
      <c r="Y13" s="14">
        <v>600000</v>
      </c>
      <c r="Z13" s="14">
        <f>X13+Y13</f>
        <v>1400000</v>
      </c>
      <c r="AA13" s="14"/>
      <c r="AB13" s="14">
        <v>0</v>
      </c>
      <c r="AC13" s="14">
        <v>3</v>
      </c>
      <c r="AD13" s="14">
        <v>700000</v>
      </c>
      <c r="AE13" s="14">
        <v>1400000</v>
      </c>
      <c r="AF13" s="14">
        <v>600000</v>
      </c>
      <c r="AG13" s="14">
        <v>0</v>
      </c>
      <c r="AH13" s="14">
        <v>0</v>
      </c>
      <c r="AI13" s="14">
        <v>0</v>
      </c>
      <c r="AJ13" s="14">
        <v>100000</v>
      </c>
      <c r="AK13" s="14">
        <v>0</v>
      </c>
      <c r="AL13" s="14">
        <v>0</v>
      </c>
      <c r="AM13" s="57">
        <f t="shared" ref="AM13:AM18" si="2">SUM(AE13:AL13)</f>
        <v>2100000</v>
      </c>
    </row>
    <row r="14" s="1" customFormat="1" ht="52" customHeight="1" spans="1:39">
      <c r="A14" s="5" t="s">
        <v>90</v>
      </c>
      <c r="B14" s="6" t="s">
        <v>91</v>
      </c>
      <c r="C14" s="26" t="s">
        <v>22</v>
      </c>
      <c r="D14" s="6"/>
      <c r="E14" s="14" t="s">
        <v>23</v>
      </c>
      <c r="F14" s="14" t="s">
        <v>24</v>
      </c>
      <c r="G14" s="9" t="s">
        <v>25</v>
      </c>
      <c r="H14" s="9" t="s">
        <v>26</v>
      </c>
      <c r="I14" s="24" t="s">
        <v>27</v>
      </c>
      <c r="J14" s="6" t="s">
        <v>69</v>
      </c>
      <c r="K14" s="9">
        <v>200</v>
      </c>
      <c r="L14" s="14">
        <v>2200000</v>
      </c>
      <c r="M14" s="6">
        <v>0</v>
      </c>
      <c r="N14" s="6">
        <v>0</v>
      </c>
      <c r="O14" s="15" t="s">
        <v>70</v>
      </c>
      <c r="P14" s="6">
        <v>0</v>
      </c>
      <c r="Q14" s="14">
        <v>2200000</v>
      </c>
      <c r="R14" s="14"/>
      <c r="S14" s="14">
        <v>1</v>
      </c>
      <c r="T14" s="14">
        <v>800000</v>
      </c>
      <c r="U14" s="14">
        <v>600000</v>
      </c>
      <c r="V14" s="14">
        <v>200000</v>
      </c>
      <c r="W14" s="14">
        <v>0</v>
      </c>
      <c r="X14" s="14">
        <v>800000</v>
      </c>
      <c r="Y14" s="14">
        <v>600000</v>
      </c>
      <c r="Z14" s="14">
        <f>X14+Y14</f>
        <v>1400000</v>
      </c>
      <c r="AA14" s="14"/>
      <c r="AB14" s="14">
        <v>0</v>
      </c>
      <c r="AC14" s="14">
        <v>4</v>
      </c>
      <c r="AD14" s="14">
        <v>800000</v>
      </c>
      <c r="AE14" s="14">
        <v>1400000</v>
      </c>
      <c r="AF14" s="14">
        <v>600000</v>
      </c>
      <c r="AG14" s="14">
        <v>0</v>
      </c>
      <c r="AH14" s="14">
        <v>0</v>
      </c>
      <c r="AI14" s="14">
        <v>100000</v>
      </c>
      <c r="AJ14" s="14">
        <v>100000</v>
      </c>
      <c r="AK14" s="14">
        <v>0</v>
      </c>
      <c r="AL14" s="14">
        <v>0</v>
      </c>
      <c r="AM14" s="57">
        <f t="shared" si="2"/>
        <v>2200000</v>
      </c>
    </row>
    <row r="15" s="1" customFormat="1" ht="52" customHeight="1" spans="1:39">
      <c r="A15" s="5"/>
      <c r="B15" s="47" t="s">
        <v>92</v>
      </c>
      <c r="C15" s="48"/>
      <c r="D15" s="48"/>
      <c r="E15" s="48"/>
      <c r="F15" s="49"/>
      <c r="G15" s="9"/>
      <c r="H15" s="9"/>
      <c r="I15" s="24"/>
      <c r="J15" s="6"/>
      <c r="K15" s="9"/>
      <c r="L15" s="14"/>
      <c r="M15" s="6"/>
      <c r="N15" s="6"/>
      <c r="O15" s="15"/>
      <c r="P15" s="6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</row>
    <row r="16" s="1" customFormat="1" ht="52" customHeight="1" spans="1:39">
      <c r="A16" s="5" t="s">
        <v>93</v>
      </c>
      <c r="B16" s="6" t="s">
        <v>87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94</v>
      </c>
      <c r="K16" s="9">
        <v>200</v>
      </c>
      <c r="L16" s="14">
        <v>0</v>
      </c>
      <c r="M16" s="6">
        <v>0</v>
      </c>
      <c r="N16" s="6">
        <v>0</v>
      </c>
      <c r="O16" s="15" t="s">
        <v>70</v>
      </c>
      <c r="P16" s="6">
        <v>0</v>
      </c>
      <c r="Q16" s="14">
        <v>0</v>
      </c>
      <c r="R16" s="14" t="s">
        <v>95</v>
      </c>
      <c r="S16" s="14">
        <v>1</v>
      </c>
      <c r="T16" s="14">
        <v>0</v>
      </c>
      <c r="U16" s="14">
        <v>0</v>
      </c>
      <c r="V16" s="14">
        <v>1000000</v>
      </c>
      <c r="W16" s="14">
        <v>600000</v>
      </c>
      <c r="X16" s="14"/>
      <c r="Y16" s="14"/>
      <c r="Z16" s="14"/>
      <c r="AA16" s="14" t="s">
        <v>95</v>
      </c>
      <c r="AB16" s="14">
        <v>0</v>
      </c>
      <c r="AC16" s="14">
        <v>1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57">
        <f t="shared" si="2"/>
        <v>0</v>
      </c>
    </row>
    <row r="17" s="1" customFormat="1" ht="52" customHeight="1" spans="1:39">
      <c r="A17" s="5" t="s">
        <v>96</v>
      </c>
      <c r="B17" s="6" t="s">
        <v>89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97</v>
      </c>
      <c r="K17" s="9">
        <v>200</v>
      </c>
      <c r="L17" s="14">
        <v>200000</v>
      </c>
      <c r="M17" s="6">
        <v>0</v>
      </c>
      <c r="N17" s="6">
        <v>0</v>
      </c>
      <c r="O17" s="15" t="s">
        <v>70</v>
      </c>
      <c r="P17" s="6">
        <v>0</v>
      </c>
      <c r="Q17" s="14">
        <v>200000</v>
      </c>
      <c r="R17" s="14"/>
      <c r="S17" s="14">
        <v>1</v>
      </c>
      <c r="T17" s="14">
        <v>0</v>
      </c>
      <c r="U17" s="14">
        <v>0</v>
      </c>
      <c r="V17" s="14">
        <v>1000000</v>
      </c>
      <c r="W17" s="14">
        <v>600000</v>
      </c>
      <c r="X17" s="14"/>
      <c r="Y17" s="14"/>
      <c r="Z17" s="14"/>
      <c r="AA17" s="14" t="s">
        <v>95</v>
      </c>
      <c r="AB17" s="14">
        <v>0</v>
      </c>
      <c r="AC17" s="14">
        <v>3</v>
      </c>
      <c r="AD17" s="14">
        <v>200000</v>
      </c>
      <c r="AE17" s="14">
        <v>0</v>
      </c>
      <c r="AF17" s="14">
        <v>200000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57">
        <f t="shared" si="2"/>
        <v>200000</v>
      </c>
    </row>
    <row r="18" s="1" customFormat="1" ht="52" customHeight="1" spans="1:39">
      <c r="A18" s="5" t="s">
        <v>98</v>
      </c>
      <c r="B18" s="6" t="s">
        <v>91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97</v>
      </c>
      <c r="K18" s="9">
        <v>200</v>
      </c>
      <c r="L18" s="14">
        <v>300000</v>
      </c>
      <c r="M18" s="6">
        <v>0</v>
      </c>
      <c r="N18" s="6">
        <v>0</v>
      </c>
      <c r="O18" s="15" t="s">
        <v>70</v>
      </c>
      <c r="P18" s="6">
        <v>0</v>
      </c>
      <c r="Q18" s="14">
        <v>300000</v>
      </c>
      <c r="R18" s="14"/>
      <c r="S18" s="14">
        <v>1</v>
      </c>
      <c r="T18" s="14">
        <v>0</v>
      </c>
      <c r="U18" s="14">
        <v>0</v>
      </c>
      <c r="V18" s="14">
        <v>1000000</v>
      </c>
      <c r="W18" s="14">
        <v>600000</v>
      </c>
      <c r="X18" s="14"/>
      <c r="Y18" s="14"/>
      <c r="Z18" s="14"/>
      <c r="AA18" s="14" t="s">
        <v>95</v>
      </c>
      <c r="AB18" s="14">
        <v>0</v>
      </c>
      <c r="AC18" s="14">
        <v>4</v>
      </c>
      <c r="AD18" s="14">
        <v>300000</v>
      </c>
      <c r="AE18" s="14">
        <v>0</v>
      </c>
      <c r="AF18" s="14">
        <v>200000</v>
      </c>
      <c r="AG18" s="14">
        <v>0</v>
      </c>
      <c r="AH18" s="14">
        <v>0</v>
      </c>
      <c r="AI18" s="14">
        <v>100000</v>
      </c>
      <c r="AJ18" s="14">
        <v>0</v>
      </c>
      <c r="AK18" s="14">
        <v>0</v>
      </c>
      <c r="AL18" s="14">
        <v>0</v>
      </c>
      <c r="AM18" s="57">
        <f t="shared" si="2"/>
        <v>300000</v>
      </c>
    </row>
    <row r="19" s="1" customFormat="1" ht="52" customHeight="1" spans="1:39">
      <c r="A19" s="5"/>
      <c r="B19" s="47" t="s">
        <v>99</v>
      </c>
      <c r="C19" s="48"/>
      <c r="D19" s="48"/>
      <c r="E19" s="48"/>
      <c r="F19" s="49"/>
      <c r="G19" s="9"/>
      <c r="H19" s="9"/>
      <c r="I19" s="24"/>
      <c r="J19" s="6"/>
      <c r="K19" s="9"/>
      <c r="L19" s="14"/>
      <c r="M19" s="6"/>
      <c r="N19" s="6"/>
      <c r="O19" s="15"/>
      <c r="P19" s="6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</row>
    <row r="20" s="1" customFormat="1" ht="52" customHeight="1" spans="1:39">
      <c r="A20" s="5" t="s">
        <v>100</v>
      </c>
      <c r="B20" s="6" t="s">
        <v>87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69</v>
      </c>
      <c r="K20" s="9">
        <v>200</v>
      </c>
      <c r="L20" s="14">
        <v>1600000</v>
      </c>
      <c r="M20" s="6">
        <v>0</v>
      </c>
      <c r="N20" s="6">
        <v>0</v>
      </c>
      <c r="O20" s="15" t="s">
        <v>70</v>
      </c>
      <c r="P20" s="6">
        <v>0</v>
      </c>
      <c r="Q20" s="14">
        <v>1600000</v>
      </c>
      <c r="R20" s="14"/>
      <c r="S20" s="14">
        <v>1</v>
      </c>
      <c r="T20" s="14">
        <v>900000</v>
      </c>
      <c r="U20" s="14">
        <v>600000</v>
      </c>
      <c r="V20" s="14">
        <v>100000</v>
      </c>
      <c r="W20" s="14">
        <v>0</v>
      </c>
      <c r="X20" s="14">
        <v>900000</v>
      </c>
      <c r="Y20" s="14">
        <v>600000</v>
      </c>
      <c r="Z20" s="14">
        <f t="shared" ref="Z20:Z22" si="3">X20+Y20</f>
        <v>1500000</v>
      </c>
      <c r="AA20" s="14"/>
      <c r="AB20" s="14">
        <v>0</v>
      </c>
      <c r="AC20" s="14">
        <v>1</v>
      </c>
      <c r="AD20" s="14">
        <v>100000</v>
      </c>
      <c r="AE20" s="14">
        <v>1500000</v>
      </c>
      <c r="AF20" s="14">
        <v>0</v>
      </c>
      <c r="AG20" s="14">
        <v>0</v>
      </c>
      <c r="AH20" s="14">
        <v>0</v>
      </c>
      <c r="AI20" s="14">
        <v>0</v>
      </c>
      <c r="AJ20" s="14">
        <v>100000</v>
      </c>
      <c r="AK20" s="14">
        <v>0</v>
      </c>
      <c r="AL20" s="14">
        <v>0</v>
      </c>
      <c r="AM20" s="57">
        <f t="shared" ref="AM20:AM22" si="4">SUM(AE20:AL20)</f>
        <v>1600000</v>
      </c>
    </row>
    <row r="21" s="1" customFormat="1" ht="52" customHeight="1" spans="1:39">
      <c r="A21" s="5" t="s">
        <v>101</v>
      </c>
      <c r="B21" s="6" t="s">
        <v>89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69</v>
      </c>
      <c r="K21" s="9">
        <v>200</v>
      </c>
      <c r="L21" s="14">
        <v>2200000</v>
      </c>
      <c r="M21" s="6">
        <v>0</v>
      </c>
      <c r="N21" s="6">
        <v>0</v>
      </c>
      <c r="O21" s="15" t="s">
        <v>70</v>
      </c>
      <c r="P21" s="6">
        <v>0</v>
      </c>
      <c r="Q21" s="14">
        <v>2200000</v>
      </c>
      <c r="R21" s="14"/>
      <c r="S21" s="14">
        <v>1</v>
      </c>
      <c r="T21" s="14">
        <v>900000</v>
      </c>
      <c r="U21" s="14">
        <v>600000</v>
      </c>
      <c r="V21" s="14">
        <v>100000</v>
      </c>
      <c r="W21" s="14">
        <v>0</v>
      </c>
      <c r="X21" s="14">
        <v>900000</v>
      </c>
      <c r="Y21" s="14">
        <v>600000</v>
      </c>
      <c r="Z21" s="14">
        <f t="shared" si="3"/>
        <v>1500000</v>
      </c>
      <c r="AA21" s="14"/>
      <c r="AB21" s="14">
        <v>0</v>
      </c>
      <c r="AC21" s="14">
        <v>3</v>
      </c>
      <c r="AD21" s="14">
        <v>700000</v>
      </c>
      <c r="AE21" s="14">
        <v>1500000</v>
      </c>
      <c r="AF21" s="14">
        <v>600000</v>
      </c>
      <c r="AG21" s="14">
        <v>0</v>
      </c>
      <c r="AH21" s="14">
        <v>0</v>
      </c>
      <c r="AI21" s="14">
        <v>0</v>
      </c>
      <c r="AJ21" s="14">
        <v>100000</v>
      </c>
      <c r="AK21" s="14">
        <v>0</v>
      </c>
      <c r="AL21" s="14">
        <v>0</v>
      </c>
      <c r="AM21" s="57">
        <f t="shared" si="4"/>
        <v>2200000</v>
      </c>
    </row>
    <row r="22" s="1" customFormat="1" ht="52" customHeight="1" spans="1:39">
      <c r="A22" s="5" t="s">
        <v>102</v>
      </c>
      <c r="B22" s="6" t="s">
        <v>91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69</v>
      </c>
      <c r="K22" s="9">
        <v>200</v>
      </c>
      <c r="L22" s="14">
        <v>2300000</v>
      </c>
      <c r="M22" s="6">
        <v>0</v>
      </c>
      <c r="N22" s="6">
        <v>0</v>
      </c>
      <c r="O22" s="15" t="s">
        <v>70</v>
      </c>
      <c r="P22" s="6">
        <v>0</v>
      </c>
      <c r="Q22" s="14">
        <v>2300000</v>
      </c>
      <c r="R22" s="14"/>
      <c r="S22" s="14">
        <v>1</v>
      </c>
      <c r="T22" s="14">
        <v>900000</v>
      </c>
      <c r="U22" s="14">
        <v>600000</v>
      </c>
      <c r="V22" s="14">
        <v>100000</v>
      </c>
      <c r="W22" s="14">
        <v>0</v>
      </c>
      <c r="X22" s="14">
        <v>900000</v>
      </c>
      <c r="Y22" s="14">
        <v>600000</v>
      </c>
      <c r="Z22" s="14">
        <f t="shared" si="3"/>
        <v>1500000</v>
      </c>
      <c r="AA22" s="14"/>
      <c r="AB22" s="14">
        <v>0</v>
      </c>
      <c r="AC22" s="14">
        <v>4</v>
      </c>
      <c r="AD22" s="14">
        <v>800000</v>
      </c>
      <c r="AE22" s="14">
        <v>1500000</v>
      </c>
      <c r="AF22" s="14">
        <v>600000</v>
      </c>
      <c r="AG22" s="14">
        <v>0</v>
      </c>
      <c r="AH22" s="14">
        <v>0</v>
      </c>
      <c r="AI22" s="14">
        <v>100000</v>
      </c>
      <c r="AJ22" s="14">
        <v>100000</v>
      </c>
      <c r="AK22" s="14">
        <v>0</v>
      </c>
      <c r="AL22" s="14">
        <v>0</v>
      </c>
      <c r="AM22" s="57">
        <f t="shared" si="4"/>
        <v>2300000</v>
      </c>
    </row>
    <row r="23" s="1" customFormat="1" ht="52" customHeight="1" spans="1:39">
      <c r="A23" s="5"/>
      <c r="B23" s="47" t="s">
        <v>103</v>
      </c>
      <c r="C23" s="48"/>
      <c r="D23" s="48"/>
      <c r="E23" s="48"/>
      <c r="F23" s="49"/>
      <c r="G23" s="9"/>
      <c r="H23" s="9"/>
      <c r="I23" s="24"/>
      <c r="J23" s="6"/>
      <c r="K23" s="9"/>
      <c r="L23" s="14"/>
      <c r="M23" s="6"/>
      <c r="N23" s="6"/>
      <c r="O23" s="15"/>
      <c r="P23" s="6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</row>
    <row r="24" s="1" customFormat="1" ht="52" customHeight="1" spans="1:39">
      <c r="A24" s="5" t="s">
        <v>104</v>
      </c>
      <c r="B24" s="6" t="s">
        <v>87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69</v>
      </c>
      <c r="K24" s="9">
        <v>200</v>
      </c>
      <c r="L24" s="14">
        <v>1530000</v>
      </c>
      <c r="M24" s="6">
        <v>0</v>
      </c>
      <c r="N24" s="6">
        <v>0</v>
      </c>
      <c r="O24" s="15" t="s">
        <v>70</v>
      </c>
      <c r="P24" s="6">
        <v>0</v>
      </c>
      <c r="Q24" s="14">
        <v>1530000</v>
      </c>
      <c r="R24" s="14"/>
      <c r="S24" s="14">
        <v>1</v>
      </c>
      <c r="T24" s="14">
        <v>900000</v>
      </c>
      <c r="U24" s="14">
        <v>540000</v>
      </c>
      <c r="V24" s="14">
        <v>100000</v>
      </c>
      <c r="W24" s="14">
        <v>60000</v>
      </c>
      <c r="X24" s="14">
        <v>900000</v>
      </c>
      <c r="Y24" s="14">
        <v>540000</v>
      </c>
      <c r="Z24" s="14">
        <f t="shared" ref="Z24:Z31" si="5">X24+Y24</f>
        <v>1440000</v>
      </c>
      <c r="AA24" s="14"/>
      <c r="AB24" s="14">
        <v>0</v>
      </c>
      <c r="AC24" s="14">
        <v>1</v>
      </c>
      <c r="AD24" s="14">
        <v>90000</v>
      </c>
      <c r="AE24" s="14">
        <v>1440000</v>
      </c>
      <c r="AF24" s="14">
        <v>0</v>
      </c>
      <c r="AG24" s="14">
        <v>0</v>
      </c>
      <c r="AH24" s="14">
        <v>0</v>
      </c>
      <c r="AI24" s="14">
        <v>0</v>
      </c>
      <c r="AJ24" s="14">
        <v>90000</v>
      </c>
      <c r="AK24" s="14">
        <v>0</v>
      </c>
      <c r="AL24" s="14">
        <v>0</v>
      </c>
      <c r="AM24" s="57">
        <f t="shared" ref="AM24:AM31" si="6">SUM(AE24:AL24)</f>
        <v>1530000</v>
      </c>
    </row>
    <row r="25" s="1" customFormat="1" ht="52" customHeight="1" spans="1:39">
      <c r="A25" s="5" t="s">
        <v>105</v>
      </c>
      <c r="B25" s="6" t="s">
        <v>89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69</v>
      </c>
      <c r="K25" s="9">
        <v>200</v>
      </c>
      <c r="L25" s="14">
        <v>2070000</v>
      </c>
      <c r="M25" s="6">
        <v>0</v>
      </c>
      <c r="N25" s="6">
        <v>0</v>
      </c>
      <c r="O25" s="15" t="s">
        <v>70</v>
      </c>
      <c r="P25" s="6">
        <v>0</v>
      </c>
      <c r="Q25" s="14">
        <v>2070000</v>
      </c>
      <c r="R25" s="14"/>
      <c r="S25" s="14">
        <v>1</v>
      </c>
      <c r="T25" s="14">
        <v>900000</v>
      </c>
      <c r="U25" s="14">
        <v>540000</v>
      </c>
      <c r="V25" s="14">
        <v>100000</v>
      </c>
      <c r="W25" s="14">
        <v>60000</v>
      </c>
      <c r="X25" s="14">
        <v>900000</v>
      </c>
      <c r="Y25" s="14">
        <v>540000</v>
      </c>
      <c r="Z25" s="14">
        <f t="shared" si="5"/>
        <v>1440000</v>
      </c>
      <c r="AA25" s="14"/>
      <c r="AB25" s="14">
        <v>0</v>
      </c>
      <c r="AC25" s="14">
        <v>3</v>
      </c>
      <c r="AD25" s="14">
        <v>630000</v>
      </c>
      <c r="AE25" s="14">
        <v>1440000</v>
      </c>
      <c r="AF25" s="14">
        <v>540000</v>
      </c>
      <c r="AG25" s="14">
        <v>0</v>
      </c>
      <c r="AH25" s="14">
        <v>0</v>
      </c>
      <c r="AI25" s="14">
        <v>0</v>
      </c>
      <c r="AJ25" s="14">
        <v>90000</v>
      </c>
      <c r="AK25" s="14">
        <v>0</v>
      </c>
      <c r="AL25" s="14">
        <v>0</v>
      </c>
      <c r="AM25" s="57">
        <f t="shared" si="6"/>
        <v>2070000</v>
      </c>
    </row>
    <row r="26" s="1" customFormat="1" ht="52" customHeight="1" spans="1:39">
      <c r="A26" s="5" t="s">
        <v>106</v>
      </c>
      <c r="B26" s="6" t="s">
        <v>91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69</v>
      </c>
      <c r="K26" s="9">
        <v>200</v>
      </c>
      <c r="L26" s="14">
        <v>2160000</v>
      </c>
      <c r="M26" s="6">
        <v>0</v>
      </c>
      <c r="N26" s="6">
        <v>0</v>
      </c>
      <c r="O26" s="15" t="s">
        <v>70</v>
      </c>
      <c r="P26" s="6">
        <v>0</v>
      </c>
      <c r="Q26" s="14">
        <v>2160000</v>
      </c>
      <c r="R26" s="14"/>
      <c r="S26" s="14">
        <v>1</v>
      </c>
      <c r="T26" s="14">
        <v>900000</v>
      </c>
      <c r="U26" s="14">
        <v>540000</v>
      </c>
      <c r="V26" s="14">
        <v>100000</v>
      </c>
      <c r="W26" s="14">
        <v>60000</v>
      </c>
      <c r="X26" s="14">
        <v>900000</v>
      </c>
      <c r="Y26" s="14">
        <v>540000</v>
      </c>
      <c r="Z26" s="14">
        <f t="shared" si="5"/>
        <v>1440000</v>
      </c>
      <c r="AA26" s="14"/>
      <c r="AB26" s="14">
        <v>0</v>
      </c>
      <c r="AC26" s="14">
        <v>4</v>
      </c>
      <c r="AD26" s="14">
        <v>720000</v>
      </c>
      <c r="AE26" s="14">
        <v>1440000</v>
      </c>
      <c r="AF26" s="14">
        <v>540000</v>
      </c>
      <c r="AG26" s="14">
        <v>0</v>
      </c>
      <c r="AH26" s="14">
        <v>0</v>
      </c>
      <c r="AI26" s="14">
        <v>90000</v>
      </c>
      <c r="AJ26" s="14">
        <v>90000</v>
      </c>
      <c r="AK26" s="14">
        <v>0</v>
      </c>
      <c r="AL26" s="14">
        <v>0</v>
      </c>
      <c r="AM26" s="57">
        <f t="shared" si="6"/>
        <v>2160000</v>
      </c>
    </row>
    <row r="27" s="1" customFormat="1" ht="52" customHeight="1" spans="1:39">
      <c r="A27" s="5" t="s">
        <v>107</v>
      </c>
      <c r="B27" s="6" t="s">
        <v>108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69</v>
      </c>
      <c r="K27" s="9">
        <v>200</v>
      </c>
      <c r="L27" s="14">
        <v>2250000</v>
      </c>
      <c r="M27" s="6">
        <v>0</v>
      </c>
      <c r="N27" s="6">
        <v>0</v>
      </c>
      <c r="O27" s="15" t="s">
        <v>70</v>
      </c>
      <c r="P27" s="6">
        <v>0</v>
      </c>
      <c r="Q27" s="14">
        <v>2250000</v>
      </c>
      <c r="R27" s="14"/>
      <c r="S27" s="14">
        <v>1</v>
      </c>
      <c r="T27" s="14">
        <v>900000</v>
      </c>
      <c r="U27" s="14">
        <v>540000</v>
      </c>
      <c r="V27" s="14">
        <v>100000</v>
      </c>
      <c r="W27" s="14">
        <v>60000</v>
      </c>
      <c r="X27" s="14">
        <v>900000</v>
      </c>
      <c r="Y27" s="14">
        <v>540000</v>
      </c>
      <c r="Z27" s="14">
        <f t="shared" si="5"/>
        <v>1440000</v>
      </c>
      <c r="AA27" s="14"/>
      <c r="AB27" s="14">
        <v>0</v>
      </c>
      <c r="AC27" s="14">
        <v>5</v>
      </c>
      <c r="AD27" s="14">
        <v>810000</v>
      </c>
      <c r="AE27" s="14">
        <v>1440000</v>
      </c>
      <c r="AF27" s="14">
        <v>540000</v>
      </c>
      <c r="AG27" s="14">
        <v>0</v>
      </c>
      <c r="AH27" s="14">
        <v>0</v>
      </c>
      <c r="AI27" s="14">
        <v>90000</v>
      </c>
      <c r="AJ27" s="14">
        <v>180000</v>
      </c>
      <c r="AK27" s="14">
        <v>0</v>
      </c>
      <c r="AL27" s="14">
        <v>0</v>
      </c>
      <c r="AM27" s="57">
        <f t="shared" si="6"/>
        <v>2250000</v>
      </c>
    </row>
    <row r="28" s="1" customFormat="1" ht="52" customHeight="1" spans="1:39">
      <c r="A28" s="5" t="s">
        <v>109</v>
      </c>
      <c r="B28" s="6" t="s">
        <v>110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69</v>
      </c>
      <c r="K28" s="9">
        <v>200</v>
      </c>
      <c r="L28" s="14">
        <v>2340000</v>
      </c>
      <c r="M28" s="6">
        <v>0</v>
      </c>
      <c r="N28" s="6">
        <v>0</v>
      </c>
      <c r="O28" s="15" t="s">
        <v>70</v>
      </c>
      <c r="P28" s="6">
        <v>0</v>
      </c>
      <c r="Q28" s="14">
        <v>2340000</v>
      </c>
      <c r="R28" s="14"/>
      <c r="S28" s="14">
        <v>1</v>
      </c>
      <c r="T28" s="14">
        <v>900000</v>
      </c>
      <c r="U28" s="14">
        <v>540000</v>
      </c>
      <c r="V28" s="14">
        <v>100000</v>
      </c>
      <c r="W28" s="14">
        <v>60000</v>
      </c>
      <c r="X28" s="14">
        <v>900000</v>
      </c>
      <c r="Y28" s="14">
        <v>540000</v>
      </c>
      <c r="Z28" s="14">
        <f t="shared" si="5"/>
        <v>1440000</v>
      </c>
      <c r="AA28" s="14"/>
      <c r="AB28" s="14">
        <v>0</v>
      </c>
      <c r="AC28" s="14">
        <v>6</v>
      </c>
      <c r="AD28" s="14">
        <v>900000</v>
      </c>
      <c r="AE28" s="14">
        <v>1440000</v>
      </c>
      <c r="AF28" s="14">
        <v>540000</v>
      </c>
      <c r="AG28" s="14">
        <v>0</v>
      </c>
      <c r="AH28" s="14">
        <v>0</v>
      </c>
      <c r="AI28" s="14">
        <v>90000</v>
      </c>
      <c r="AJ28" s="14">
        <v>180000</v>
      </c>
      <c r="AK28" s="14">
        <v>90000</v>
      </c>
      <c r="AL28" s="14">
        <v>0</v>
      </c>
      <c r="AM28" s="57">
        <f t="shared" si="6"/>
        <v>2340000</v>
      </c>
    </row>
    <row r="29" s="1" customFormat="1" ht="52" customHeight="1" spans="1:39">
      <c r="A29" s="5" t="s">
        <v>111</v>
      </c>
      <c r="B29" s="6" t="s">
        <v>112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69</v>
      </c>
      <c r="K29" s="9">
        <v>200</v>
      </c>
      <c r="L29" s="14">
        <v>2430000</v>
      </c>
      <c r="M29" s="6">
        <v>0</v>
      </c>
      <c r="N29" s="6">
        <v>0</v>
      </c>
      <c r="O29" s="15" t="s">
        <v>70</v>
      </c>
      <c r="P29" s="6">
        <v>0</v>
      </c>
      <c r="Q29" s="14">
        <v>2430000</v>
      </c>
      <c r="R29" s="14"/>
      <c r="S29" s="14">
        <v>1</v>
      </c>
      <c r="T29" s="14">
        <v>900000</v>
      </c>
      <c r="U29" s="14">
        <v>540000</v>
      </c>
      <c r="V29" s="14">
        <v>100000</v>
      </c>
      <c r="W29" s="14">
        <v>60000</v>
      </c>
      <c r="X29" s="14">
        <v>900000</v>
      </c>
      <c r="Y29" s="14">
        <v>540000</v>
      </c>
      <c r="Z29" s="14">
        <f t="shared" si="5"/>
        <v>1440000</v>
      </c>
      <c r="AA29" s="14"/>
      <c r="AB29" s="14">
        <v>0</v>
      </c>
      <c r="AC29" s="14">
        <v>7</v>
      </c>
      <c r="AD29" s="14">
        <v>990000</v>
      </c>
      <c r="AE29" s="14">
        <v>1440000</v>
      </c>
      <c r="AF29" s="14">
        <v>540000</v>
      </c>
      <c r="AG29" s="14">
        <v>90000</v>
      </c>
      <c r="AH29" s="14">
        <v>0</v>
      </c>
      <c r="AI29" s="14">
        <v>90000</v>
      </c>
      <c r="AJ29" s="14">
        <v>180000</v>
      </c>
      <c r="AK29" s="14">
        <v>90000</v>
      </c>
      <c r="AL29" s="14">
        <v>0</v>
      </c>
      <c r="AM29" s="57">
        <f t="shared" si="6"/>
        <v>2430000</v>
      </c>
    </row>
    <row r="30" s="1" customFormat="1" ht="52" customHeight="1" spans="1:39">
      <c r="A30" s="5" t="s">
        <v>113</v>
      </c>
      <c r="B30" s="6" t="s">
        <v>114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69</v>
      </c>
      <c r="K30" s="9">
        <v>200</v>
      </c>
      <c r="L30" s="14">
        <v>2520000</v>
      </c>
      <c r="M30" s="6">
        <v>0</v>
      </c>
      <c r="N30" s="6">
        <v>0</v>
      </c>
      <c r="O30" s="15" t="s">
        <v>70</v>
      </c>
      <c r="P30" s="6">
        <v>0</v>
      </c>
      <c r="Q30" s="14">
        <v>2520000</v>
      </c>
      <c r="R30" s="14"/>
      <c r="S30" s="14">
        <v>1</v>
      </c>
      <c r="T30" s="14">
        <v>900000</v>
      </c>
      <c r="U30" s="14">
        <v>540000</v>
      </c>
      <c r="V30" s="14">
        <v>100000</v>
      </c>
      <c r="W30" s="14">
        <v>60000</v>
      </c>
      <c r="X30" s="14">
        <v>900000</v>
      </c>
      <c r="Y30" s="14">
        <v>540000</v>
      </c>
      <c r="Z30" s="14">
        <f t="shared" si="5"/>
        <v>1440000</v>
      </c>
      <c r="AA30" s="14"/>
      <c r="AB30" s="14">
        <v>0</v>
      </c>
      <c r="AC30" s="14">
        <v>8</v>
      </c>
      <c r="AD30" s="14">
        <v>1080000</v>
      </c>
      <c r="AE30" s="14">
        <v>1440000</v>
      </c>
      <c r="AF30" s="14">
        <v>630000</v>
      </c>
      <c r="AG30" s="14">
        <v>90000</v>
      </c>
      <c r="AH30" s="14">
        <v>0</v>
      </c>
      <c r="AI30" s="14">
        <v>90000</v>
      </c>
      <c r="AJ30" s="14">
        <v>180000</v>
      </c>
      <c r="AK30" s="14">
        <v>90000</v>
      </c>
      <c r="AL30" s="14">
        <v>0</v>
      </c>
      <c r="AM30" s="57">
        <f t="shared" si="6"/>
        <v>2520000</v>
      </c>
    </row>
    <row r="31" s="1" customFormat="1" ht="73" customHeight="1" spans="1:39">
      <c r="A31" s="5" t="s">
        <v>115</v>
      </c>
      <c r="B31" s="6" t="s">
        <v>116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69</v>
      </c>
      <c r="K31" s="9">
        <v>200</v>
      </c>
      <c r="L31" s="14">
        <v>2610000</v>
      </c>
      <c r="M31" s="6">
        <v>0</v>
      </c>
      <c r="N31" s="6">
        <v>0</v>
      </c>
      <c r="O31" s="15" t="s">
        <v>70</v>
      </c>
      <c r="P31" s="6">
        <v>0</v>
      </c>
      <c r="Q31" s="14">
        <v>2610000</v>
      </c>
      <c r="R31" s="14"/>
      <c r="S31" s="14">
        <v>1</v>
      </c>
      <c r="T31" s="14">
        <v>900000</v>
      </c>
      <c r="U31" s="14">
        <v>540000</v>
      </c>
      <c r="V31" s="14">
        <v>100000</v>
      </c>
      <c r="W31" s="14">
        <v>60000</v>
      </c>
      <c r="X31" s="14">
        <v>900000</v>
      </c>
      <c r="Y31" s="14">
        <v>540000</v>
      </c>
      <c r="Z31" s="14">
        <f t="shared" si="5"/>
        <v>1440000</v>
      </c>
      <c r="AA31" s="14"/>
      <c r="AB31" s="14">
        <v>0</v>
      </c>
      <c r="AC31" s="14">
        <v>9</v>
      </c>
      <c r="AD31" s="14">
        <v>1170000</v>
      </c>
      <c r="AE31" s="14">
        <v>1440000</v>
      </c>
      <c r="AF31" s="14">
        <v>630000</v>
      </c>
      <c r="AG31" s="14">
        <v>90000</v>
      </c>
      <c r="AH31" s="14">
        <v>90000</v>
      </c>
      <c r="AI31" s="14">
        <v>90000</v>
      </c>
      <c r="AJ31" s="14">
        <v>180000</v>
      </c>
      <c r="AK31" s="14">
        <v>90000</v>
      </c>
      <c r="AL31" s="14">
        <v>0</v>
      </c>
      <c r="AM31" s="57">
        <f t="shared" si="6"/>
        <v>2610000</v>
      </c>
    </row>
    <row r="32" s="1" customFormat="1" ht="52" customHeight="1" spans="1:39">
      <c r="A32" s="5"/>
      <c r="B32" s="47" t="s">
        <v>117</v>
      </c>
      <c r="C32" s="48"/>
      <c r="D32" s="48"/>
      <c r="E32" s="48"/>
      <c r="F32" s="49"/>
      <c r="G32" s="9"/>
      <c r="H32" s="9"/>
      <c r="I32" s="24"/>
      <c r="J32" s="6"/>
      <c r="K32" s="9"/>
      <c r="L32" s="14"/>
      <c r="M32" s="6"/>
      <c r="N32" s="6"/>
      <c r="O32" s="15"/>
      <c r="P32" s="6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r="33" s="1" customFormat="1" ht="52" customHeight="1" spans="1:39">
      <c r="A33" s="5" t="s">
        <v>118</v>
      </c>
      <c r="B33" s="6" t="s">
        <v>87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69</v>
      </c>
      <c r="K33" s="9">
        <v>200</v>
      </c>
      <c r="L33" s="14">
        <v>250000</v>
      </c>
      <c r="M33" s="6">
        <v>0</v>
      </c>
      <c r="N33" s="6">
        <v>0</v>
      </c>
      <c r="O33" s="15" t="s">
        <v>70</v>
      </c>
      <c r="P33" s="6">
        <v>0</v>
      </c>
      <c r="Q33" s="14">
        <v>250000</v>
      </c>
      <c r="R33" s="14" t="s">
        <v>95</v>
      </c>
      <c r="S33" s="14">
        <v>1</v>
      </c>
      <c r="T33" s="14">
        <v>100000</v>
      </c>
      <c r="U33" s="14">
        <v>100000</v>
      </c>
      <c r="V33" s="14">
        <v>0</v>
      </c>
      <c r="W33" s="14">
        <v>0</v>
      </c>
      <c r="X33" s="14">
        <v>100000</v>
      </c>
      <c r="Y33" s="14">
        <v>100000</v>
      </c>
      <c r="Z33" s="14">
        <f t="shared" ref="Z33:Z35" si="7">X33+Y33</f>
        <v>200000</v>
      </c>
      <c r="AA33" s="14"/>
      <c r="AB33" s="14">
        <v>0</v>
      </c>
      <c r="AC33" s="14">
        <v>1</v>
      </c>
      <c r="AD33" s="14">
        <v>50000</v>
      </c>
      <c r="AE33" s="14">
        <v>200000</v>
      </c>
      <c r="AF33" s="14">
        <v>0</v>
      </c>
      <c r="AG33" s="14">
        <v>0</v>
      </c>
      <c r="AH33" s="14">
        <v>0</v>
      </c>
      <c r="AI33" s="14">
        <v>0</v>
      </c>
      <c r="AJ33" s="14">
        <v>50000</v>
      </c>
      <c r="AK33" s="14">
        <v>0</v>
      </c>
      <c r="AL33" s="14">
        <v>0</v>
      </c>
      <c r="AM33" s="57">
        <f t="shared" ref="AM33:AM35" si="8">SUM(AE33:AL33)</f>
        <v>250000</v>
      </c>
    </row>
    <row r="34" s="1" customFormat="1" ht="52" customHeight="1" spans="1:39">
      <c r="A34" s="5" t="s">
        <v>119</v>
      </c>
      <c r="B34" s="6" t="s">
        <v>89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69</v>
      </c>
      <c r="K34" s="9">
        <v>200</v>
      </c>
      <c r="L34" s="14">
        <v>550000</v>
      </c>
      <c r="M34" s="6">
        <v>0</v>
      </c>
      <c r="N34" s="6">
        <v>0</v>
      </c>
      <c r="O34" s="15" t="s">
        <v>70</v>
      </c>
      <c r="P34" s="6">
        <v>0</v>
      </c>
      <c r="Q34" s="14">
        <v>550000</v>
      </c>
      <c r="R34" s="14" t="s">
        <v>95</v>
      </c>
      <c r="S34" s="14">
        <v>1</v>
      </c>
      <c r="T34" s="14">
        <v>100000</v>
      </c>
      <c r="U34" s="14">
        <v>100000</v>
      </c>
      <c r="V34" s="14">
        <v>0</v>
      </c>
      <c r="W34" s="14">
        <v>0</v>
      </c>
      <c r="X34" s="14">
        <v>100000</v>
      </c>
      <c r="Y34" s="14">
        <v>100000</v>
      </c>
      <c r="Z34" s="14">
        <f t="shared" si="7"/>
        <v>200000</v>
      </c>
      <c r="AA34" s="14"/>
      <c r="AB34" s="14">
        <v>0</v>
      </c>
      <c r="AC34" s="14">
        <v>3</v>
      </c>
      <c r="AD34" s="14">
        <v>350000</v>
      </c>
      <c r="AE34" s="14">
        <v>200000</v>
      </c>
      <c r="AF34" s="14">
        <v>300000</v>
      </c>
      <c r="AG34" s="14">
        <v>0</v>
      </c>
      <c r="AH34" s="14">
        <v>0</v>
      </c>
      <c r="AI34" s="14">
        <v>0</v>
      </c>
      <c r="AJ34" s="14">
        <v>50000</v>
      </c>
      <c r="AK34" s="14">
        <v>0</v>
      </c>
      <c r="AL34" s="14">
        <v>0</v>
      </c>
      <c r="AM34" s="57">
        <f t="shared" si="8"/>
        <v>550000</v>
      </c>
    </row>
    <row r="35" s="1" customFormat="1" ht="52" customHeight="1" spans="1:39">
      <c r="A35" s="5" t="s">
        <v>120</v>
      </c>
      <c r="B35" s="6" t="s">
        <v>91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69</v>
      </c>
      <c r="K35" s="9">
        <v>200</v>
      </c>
      <c r="L35" s="14">
        <v>650000</v>
      </c>
      <c r="M35" s="6">
        <v>0</v>
      </c>
      <c r="N35" s="6">
        <v>0</v>
      </c>
      <c r="O35" s="15" t="s">
        <v>70</v>
      </c>
      <c r="P35" s="6">
        <v>0</v>
      </c>
      <c r="Q35" s="14">
        <v>650000</v>
      </c>
      <c r="R35" s="14" t="s">
        <v>95</v>
      </c>
      <c r="S35" s="14">
        <v>1</v>
      </c>
      <c r="T35" s="14">
        <v>100000</v>
      </c>
      <c r="U35" s="14">
        <v>100000</v>
      </c>
      <c r="V35" s="14">
        <v>0</v>
      </c>
      <c r="W35" s="14">
        <v>0</v>
      </c>
      <c r="X35" s="14">
        <v>100000</v>
      </c>
      <c r="Y35" s="14">
        <v>100000</v>
      </c>
      <c r="Z35" s="14">
        <f t="shared" si="7"/>
        <v>200000</v>
      </c>
      <c r="AA35" s="14"/>
      <c r="AB35" s="14">
        <v>0</v>
      </c>
      <c r="AC35" s="14">
        <v>4</v>
      </c>
      <c r="AD35" s="14">
        <v>450000</v>
      </c>
      <c r="AE35" s="14">
        <v>200000</v>
      </c>
      <c r="AF35" s="14">
        <v>300000</v>
      </c>
      <c r="AG35" s="14">
        <v>0</v>
      </c>
      <c r="AH35" s="14">
        <v>0</v>
      </c>
      <c r="AI35" s="14">
        <v>100000</v>
      </c>
      <c r="AJ35" s="14">
        <v>50000</v>
      </c>
      <c r="AK35" s="14">
        <v>0</v>
      </c>
      <c r="AL35" s="14">
        <v>0</v>
      </c>
      <c r="AM35" s="57">
        <f t="shared" si="8"/>
        <v>650000</v>
      </c>
    </row>
    <row r="36" s="1" customFormat="1" ht="52" customHeight="1" spans="1:39">
      <c r="A36" s="5"/>
      <c r="B36" s="47" t="s">
        <v>121</v>
      </c>
      <c r="C36" s="48"/>
      <c r="D36" s="48"/>
      <c r="E36" s="48"/>
      <c r="F36" s="49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</row>
    <row r="37" s="1" customFormat="1" ht="52" customHeight="1" spans="1:39">
      <c r="A37" s="5" t="s">
        <v>122</v>
      </c>
      <c r="B37" s="6" t="s">
        <v>87</v>
      </c>
      <c r="C37" s="26" t="s">
        <v>22</v>
      </c>
      <c r="D37" s="6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6" t="s">
        <v>69</v>
      </c>
      <c r="K37" s="9">
        <v>200</v>
      </c>
      <c r="L37" s="14">
        <v>250000</v>
      </c>
      <c r="M37" s="6">
        <v>0</v>
      </c>
      <c r="N37" s="6">
        <v>0</v>
      </c>
      <c r="O37" s="15" t="s">
        <v>70</v>
      </c>
      <c r="P37" s="6">
        <v>0</v>
      </c>
      <c r="Q37" s="14">
        <v>250000</v>
      </c>
      <c r="R37" s="14" t="s">
        <v>95</v>
      </c>
      <c r="S37" s="14">
        <v>1</v>
      </c>
      <c r="T37" s="14">
        <v>100000</v>
      </c>
      <c r="U37" s="14">
        <v>100000</v>
      </c>
      <c r="V37" s="14">
        <v>0</v>
      </c>
      <c r="W37" s="14">
        <v>0</v>
      </c>
      <c r="X37" s="14">
        <v>100000</v>
      </c>
      <c r="Y37" s="14">
        <v>100000</v>
      </c>
      <c r="Z37" s="14">
        <f t="shared" ref="Z37:Z39" si="9">X37+Y37</f>
        <v>200000</v>
      </c>
      <c r="AA37" s="14"/>
      <c r="AB37" s="14">
        <v>0</v>
      </c>
      <c r="AC37" s="14">
        <v>1</v>
      </c>
      <c r="AD37" s="14">
        <v>50000</v>
      </c>
      <c r="AE37" s="14">
        <v>200000</v>
      </c>
      <c r="AF37" s="14">
        <v>0</v>
      </c>
      <c r="AG37" s="14">
        <v>0</v>
      </c>
      <c r="AH37" s="14">
        <v>0</v>
      </c>
      <c r="AI37" s="14">
        <v>0</v>
      </c>
      <c r="AJ37" s="14">
        <v>50000</v>
      </c>
      <c r="AK37" s="14">
        <v>0</v>
      </c>
      <c r="AL37" s="14">
        <v>0</v>
      </c>
      <c r="AM37" s="57">
        <f t="shared" ref="AM37:AM39" si="10">SUM(AE37:AL37)</f>
        <v>250000</v>
      </c>
    </row>
    <row r="38" s="1" customFormat="1" ht="52" customHeight="1" spans="1:39">
      <c r="A38" s="5" t="s">
        <v>123</v>
      </c>
      <c r="B38" s="6" t="s">
        <v>89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69</v>
      </c>
      <c r="K38" s="9">
        <v>200</v>
      </c>
      <c r="L38" s="14">
        <v>550000</v>
      </c>
      <c r="M38" s="6">
        <v>0</v>
      </c>
      <c r="N38" s="6">
        <v>0</v>
      </c>
      <c r="O38" s="15" t="s">
        <v>70</v>
      </c>
      <c r="P38" s="6">
        <v>0</v>
      </c>
      <c r="Q38" s="14">
        <v>550000</v>
      </c>
      <c r="R38" s="14" t="s">
        <v>95</v>
      </c>
      <c r="S38" s="14">
        <v>1</v>
      </c>
      <c r="T38" s="14">
        <v>100000</v>
      </c>
      <c r="U38" s="14">
        <v>100000</v>
      </c>
      <c r="V38" s="14">
        <v>0</v>
      </c>
      <c r="W38" s="14">
        <v>0</v>
      </c>
      <c r="X38" s="14">
        <v>100000</v>
      </c>
      <c r="Y38" s="14">
        <v>100000</v>
      </c>
      <c r="Z38" s="14">
        <f t="shared" si="9"/>
        <v>200000</v>
      </c>
      <c r="AA38" s="14"/>
      <c r="AB38" s="14">
        <v>0</v>
      </c>
      <c r="AC38" s="14">
        <v>3</v>
      </c>
      <c r="AD38" s="14">
        <v>350000</v>
      </c>
      <c r="AE38" s="14">
        <v>200000</v>
      </c>
      <c r="AF38" s="14">
        <v>300000</v>
      </c>
      <c r="AG38" s="14">
        <v>0</v>
      </c>
      <c r="AH38" s="14">
        <v>0</v>
      </c>
      <c r="AI38" s="14">
        <v>0</v>
      </c>
      <c r="AJ38" s="14">
        <v>50000</v>
      </c>
      <c r="AK38" s="14">
        <v>0</v>
      </c>
      <c r="AL38" s="14">
        <v>0</v>
      </c>
      <c r="AM38" s="57">
        <f t="shared" si="10"/>
        <v>550000</v>
      </c>
    </row>
    <row r="39" s="1" customFormat="1" ht="52" customHeight="1" spans="1:39">
      <c r="A39" s="5" t="s">
        <v>124</v>
      </c>
      <c r="B39" s="6" t="s">
        <v>91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69</v>
      </c>
      <c r="K39" s="9">
        <v>200</v>
      </c>
      <c r="L39" s="14">
        <v>650000</v>
      </c>
      <c r="M39" s="6">
        <v>0</v>
      </c>
      <c r="N39" s="6">
        <v>0</v>
      </c>
      <c r="O39" s="15" t="s">
        <v>70</v>
      </c>
      <c r="P39" s="6">
        <v>0</v>
      </c>
      <c r="Q39" s="14">
        <v>650000</v>
      </c>
      <c r="R39" s="14" t="s">
        <v>95</v>
      </c>
      <c r="S39" s="14">
        <v>1</v>
      </c>
      <c r="T39" s="14">
        <v>100000</v>
      </c>
      <c r="U39" s="14">
        <v>100000</v>
      </c>
      <c r="V39" s="14">
        <v>0</v>
      </c>
      <c r="W39" s="14">
        <v>0</v>
      </c>
      <c r="X39" s="14">
        <v>100000</v>
      </c>
      <c r="Y39" s="14">
        <v>100000</v>
      </c>
      <c r="Z39" s="14">
        <f t="shared" si="9"/>
        <v>200000</v>
      </c>
      <c r="AA39" s="14"/>
      <c r="AB39" s="14">
        <v>0</v>
      </c>
      <c r="AC39" s="14">
        <v>4</v>
      </c>
      <c r="AD39" s="14">
        <v>450000</v>
      </c>
      <c r="AE39" s="14">
        <v>200000</v>
      </c>
      <c r="AF39" s="14">
        <v>300000</v>
      </c>
      <c r="AG39" s="14">
        <v>0</v>
      </c>
      <c r="AH39" s="14">
        <v>0</v>
      </c>
      <c r="AI39" s="14">
        <v>100000</v>
      </c>
      <c r="AJ39" s="14">
        <v>50000</v>
      </c>
      <c r="AK39" s="14">
        <v>0</v>
      </c>
      <c r="AL39" s="14">
        <v>0</v>
      </c>
      <c r="AM39" s="57">
        <f t="shared" si="10"/>
        <v>650000</v>
      </c>
    </row>
    <row r="40" s="38" customFormat="1" ht="21" customHeight="1" spans="1:52">
      <c r="A40" s="39"/>
      <c r="B40" s="40" t="s">
        <v>125</v>
      </c>
      <c r="C40" s="41"/>
      <c r="D40" s="4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52"/>
      <c r="R40" s="53"/>
      <c r="S40" s="53"/>
      <c r="T40" s="53"/>
      <c r="U40" s="53"/>
      <c r="V40" s="53"/>
      <c r="W40" s="54"/>
      <c r="X40" s="53"/>
      <c r="Y40" s="53"/>
      <c r="Z40" s="53"/>
      <c r="AA40" s="53"/>
      <c r="AB40" s="55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</row>
    <row r="41" s="1" customFormat="1" ht="52" customHeight="1" spans="1:39">
      <c r="A41" s="5" t="s">
        <v>126</v>
      </c>
      <c r="B41" s="6" t="s">
        <v>127</v>
      </c>
      <c r="C41" s="26" t="s">
        <v>22</v>
      </c>
      <c r="D41" s="6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6" t="s">
        <v>128</v>
      </c>
      <c r="K41" s="9">
        <v>200</v>
      </c>
      <c r="L41" s="14">
        <v>1700000</v>
      </c>
      <c r="M41" s="6">
        <v>1700000</v>
      </c>
      <c r="N41" s="6">
        <v>1700000</v>
      </c>
      <c r="O41" s="15" t="s">
        <v>70</v>
      </c>
      <c r="P41" s="6">
        <v>0</v>
      </c>
      <c r="Q41" s="14">
        <v>0</v>
      </c>
      <c r="R41" s="14" t="s">
        <v>95</v>
      </c>
      <c r="S41" s="14">
        <v>1</v>
      </c>
      <c r="T41" s="14">
        <v>1000000</v>
      </c>
      <c r="U41" s="14">
        <v>600000</v>
      </c>
      <c r="V41" s="14">
        <v>0</v>
      </c>
      <c r="W41" s="14">
        <v>0</v>
      </c>
      <c r="X41" s="14">
        <v>1000000</v>
      </c>
      <c r="Y41" s="14">
        <v>600000</v>
      </c>
      <c r="Z41" s="14">
        <f t="shared" ref="Z41:Z48" si="11">X41+Y41</f>
        <v>1600000</v>
      </c>
      <c r="AA41" s="14"/>
      <c r="AB41" s="14">
        <v>0</v>
      </c>
      <c r="AC41" s="14">
        <v>1</v>
      </c>
      <c r="AD41" s="14">
        <v>100000</v>
      </c>
      <c r="AE41" s="14">
        <v>1600000</v>
      </c>
      <c r="AF41" s="14">
        <v>0</v>
      </c>
      <c r="AG41" s="14">
        <v>0</v>
      </c>
      <c r="AH41" s="14">
        <v>0</v>
      </c>
      <c r="AI41" s="14">
        <v>0</v>
      </c>
      <c r="AJ41" s="14">
        <v>100000</v>
      </c>
      <c r="AK41" s="14">
        <v>0</v>
      </c>
      <c r="AL41" s="14">
        <v>0</v>
      </c>
      <c r="AM41" s="57">
        <f t="shared" ref="AM41:AM48" si="12">SUM(AE41:AL41)</f>
        <v>1700000</v>
      </c>
    </row>
    <row r="42" s="1" customFormat="1" ht="52" customHeight="1" spans="1:39">
      <c r="A42" s="5" t="s">
        <v>129</v>
      </c>
      <c r="B42" s="6" t="s">
        <v>130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69</v>
      </c>
      <c r="K42" s="9">
        <v>200</v>
      </c>
      <c r="L42" s="14">
        <v>2300000</v>
      </c>
      <c r="M42" s="14">
        <v>2100000</v>
      </c>
      <c r="N42" s="14">
        <v>2100000</v>
      </c>
      <c r="O42" s="15" t="s">
        <v>70</v>
      </c>
      <c r="P42" s="6">
        <v>0</v>
      </c>
      <c r="Q42" s="14">
        <v>200000</v>
      </c>
      <c r="R42" s="14"/>
      <c r="S42" s="14">
        <v>1</v>
      </c>
      <c r="T42" s="14">
        <v>1000000</v>
      </c>
      <c r="U42" s="14">
        <v>600000</v>
      </c>
      <c r="V42" s="14">
        <v>0</v>
      </c>
      <c r="W42" s="14">
        <v>0</v>
      </c>
      <c r="X42" s="14">
        <v>1000000</v>
      </c>
      <c r="Y42" s="14">
        <v>600000</v>
      </c>
      <c r="Z42" s="14">
        <f t="shared" si="11"/>
        <v>1600000</v>
      </c>
      <c r="AA42" s="14"/>
      <c r="AB42" s="14">
        <v>0</v>
      </c>
      <c r="AC42" s="14">
        <v>3</v>
      </c>
      <c r="AD42" s="14">
        <v>700000</v>
      </c>
      <c r="AE42" s="14">
        <v>1600000</v>
      </c>
      <c r="AF42" s="14">
        <v>600000</v>
      </c>
      <c r="AG42" s="14">
        <v>0</v>
      </c>
      <c r="AH42" s="14">
        <v>0</v>
      </c>
      <c r="AI42" s="14">
        <v>0</v>
      </c>
      <c r="AJ42" s="14">
        <v>100000</v>
      </c>
      <c r="AK42" s="14">
        <v>0</v>
      </c>
      <c r="AL42" s="14">
        <v>0</v>
      </c>
      <c r="AM42" s="57">
        <f t="shared" si="12"/>
        <v>2300000</v>
      </c>
    </row>
    <row r="43" s="1" customFormat="1" ht="52" customHeight="1" spans="1:39">
      <c r="A43" s="5" t="s">
        <v>131</v>
      </c>
      <c r="B43" s="6" t="s">
        <v>132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69</v>
      </c>
      <c r="K43" s="9">
        <v>200</v>
      </c>
      <c r="L43" s="14">
        <v>2400000</v>
      </c>
      <c r="M43" s="14">
        <v>2100000</v>
      </c>
      <c r="N43" s="14">
        <v>2100000</v>
      </c>
      <c r="O43" s="15" t="s">
        <v>70</v>
      </c>
      <c r="P43" s="6">
        <v>0</v>
      </c>
      <c r="Q43" s="14">
        <v>300000</v>
      </c>
      <c r="R43" s="14"/>
      <c r="S43" s="14">
        <v>1</v>
      </c>
      <c r="T43" s="14">
        <v>1000000</v>
      </c>
      <c r="U43" s="14">
        <v>600000</v>
      </c>
      <c r="V43" s="14">
        <v>0</v>
      </c>
      <c r="W43" s="14">
        <v>0</v>
      </c>
      <c r="X43" s="14">
        <v>1000000</v>
      </c>
      <c r="Y43" s="14">
        <v>600000</v>
      </c>
      <c r="Z43" s="14">
        <f t="shared" si="11"/>
        <v>1600000</v>
      </c>
      <c r="AA43" s="14"/>
      <c r="AB43" s="14">
        <v>0</v>
      </c>
      <c r="AC43" s="14">
        <v>4</v>
      </c>
      <c r="AD43" s="14">
        <v>800000</v>
      </c>
      <c r="AE43" s="14">
        <v>1600000</v>
      </c>
      <c r="AF43" s="14">
        <v>600000</v>
      </c>
      <c r="AG43" s="14">
        <v>0</v>
      </c>
      <c r="AH43" s="14">
        <v>0</v>
      </c>
      <c r="AI43" s="14">
        <v>100000</v>
      </c>
      <c r="AJ43" s="14">
        <v>100000</v>
      </c>
      <c r="AK43" s="14">
        <v>0</v>
      </c>
      <c r="AL43" s="14">
        <v>0</v>
      </c>
      <c r="AM43" s="57">
        <f t="shared" si="12"/>
        <v>2400000</v>
      </c>
    </row>
    <row r="44" s="1" customFormat="1" ht="52" customHeight="1" spans="1:39">
      <c r="A44" s="5" t="s">
        <v>133</v>
      </c>
      <c r="B44" s="6" t="s">
        <v>134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69</v>
      </c>
      <c r="K44" s="9">
        <v>200</v>
      </c>
      <c r="L44" s="14">
        <v>2500000</v>
      </c>
      <c r="M44" s="14">
        <v>2100000</v>
      </c>
      <c r="N44" s="14">
        <v>2100000</v>
      </c>
      <c r="O44" s="15" t="s">
        <v>70</v>
      </c>
      <c r="P44" s="6">
        <v>0</v>
      </c>
      <c r="Q44" s="14">
        <v>400000</v>
      </c>
      <c r="R44" s="14"/>
      <c r="S44" s="14">
        <v>1</v>
      </c>
      <c r="T44" s="14">
        <v>1000000</v>
      </c>
      <c r="U44" s="14">
        <v>600000</v>
      </c>
      <c r="V44" s="14">
        <v>0</v>
      </c>
      <c r="W44" s="14">
        <v>0</v>
      </c>
      <c r="X44" s="14">
        <v>1000000</v>
      </c>
      <c r="Y44" s="14">
        <v>600000</v>
      </c>
      <c r="Z44" s="14">
        <f t="shared" si="11"/>
        <v>1600000</v>
      </c>
      <c r="AA44" s="14"/>
      <c r="AB44" s="14">
        <v>0</v>
      </c>
      <c r="AC44" s="14">
        <v>5</v>
      </c>
      <c r="AD44" s="14">
        <v>900000</v>
      </c>
      <c r="AE44" s="14">
        <v>1600000</v>
      </c>
      <c r="AF44" s="14">
        <v>600000</v>
      </c>
      <c r="AG44" s="14">
        <v>0</v>
      </c>
      <c r="AH44" s="14">
        <v>0</v>
      </c>
      <c r="AI44" s="14">
        <v>100000</v>
      </c>
      <c r="AJ44" s="14">
        <v>200000</v>
      </c>
      <c r="AK44" s="14">
        <v>0</v>
      </c>
      <c r="AL44" s="14">
        <v>0</v>
      </c>
      <c r="AM44" s="57">
        <f t="shared" si="12"/>
        <v>2500000</v>
      </c>
    </row>
    <row r="45" s="1" customFormat="1" ht="52" customHeight="1" spans="1:39">
      <c r="A45" s="5" t="s">
        <v>135</v>
      </c>
      <c r="B45" s="6" t="s">
        <v>136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69</v>
      </c>
      <c r="K45" s="9">
        <v>200</v>
      </c>
      <c r="L45" s="14">
        <v>2600000</v>
      </c>
      <c r="M45" s="14">
        <v>2100000</v>
      </c>
      <c r="N45" s="14">
        <v>2100000</v>
      </c>
      <c r="O45" s="15" t="s">
        <v>70</v>
      </c>
      <c r="P45" s="6">
        <v>0</v>
      </c>
      <c r="Q45" s="14">
        <v>500000</v>
      </c>
      <c r="R45" s="14"/>
      <c r="S45" s="14">
        <v>1</v>
      </c>
      <c r="T45" s="14">
        <v>1000000</v>
      </c>
      <c r="U45" s="14">
        <v>600000</v>
      </c>
      <c r="V45" s="14">
        <v>0</v>
      </c>
      <c r="W45" s="14">
        <v>0</v>
      </c>
      <c r="X45" s="14">
        <v>1000000</v>
      </c>
      <c r="Y45" s="14">
        <v>600000</v>
      </c>
      <c r="Z45" s="14">
        <f t="shared" si="11"/>
        <v>1600000</v>
      </c>
      <c r="AA45" s="14"/>
      <c r="AB45" s="14">
        <v>0</v>
      </c>
      <c r="AC45" s="14">
        <v>6</v>
      </c>
      <c r="AD45" s="6">
        <v>1000000</v>
      </c>
      <c r="AE45" s="14">
        <v>1600000</v>
      </c>
      <c r="AF45" s="14">
        <v>600000</v>
      </c>
      <c r="AG45" s="14">
        <v>0</v>
      </c>
      <c r="AH45" s="14">
        <v>0</v>
      </c>
      <c r="AI45" s="14">
        <v>100000</v>
      </c>
      <c r="AJ45" s="14">
        <v>200000</v>
      </c>
      <c r="AK45" s="14">
        <v>100000</v>
      </c>
      <c r="AL45" s="14">
        <v>0</v>
      </c>
      <c r="AM45" s="57">
        <f t="shared" si="12"/>
        <v>2600000</v>
      </c>
    </row>
    <row r="46" s="29" customFormat="1" ht="47" customHeight="1" spans="1:39">
      <c r="A46" s="5" t="s">
        <v>137</v>
      </c>
      <c r="B46" s="6" t="s">
        <v>138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69</v>
      </c>
      <c r="K46" s="9">
        <v>200</v>
      </c>
      <c r="L46" s="6">
        <v>2700000</v>
      </c>
      <c r="M46" s="14">
        <v>2100000</v>
      </c>
      <c r="N46" s="14">
        <v>2100000</v>
      </c>
      <c r="O46" s="15" t="s">
        <v>70</v>
      </c>
      <c r="P46" s="6">
        <v>0</v>
      </c>
      <c r="Q46" s="6">
        <v>600000</v>
      </c>
      <c r="R46" s="14"/>
      <c r="S46" s="14">
        <v>1</v>
      </c>
      <c r="T46" s="14">
        <v>1000000</v>
      </c>
      <c r="U46" s="14">
        <v>600000</v>
      </c>
      <c r="V46" s="14">
        <v>0</v>
      </c>
      <c r="W46" s="14">
        <v>0</v>
      </c>
      <c r="X46" s="14">
        <v>1000000</v>
      </c>
      <c r="Y46" s="14">
        <v>600000</v>
      </c>
      <c r="Z46" s="14">
        <f t="shared" si="11"/>
        <v>1600000</v>
      </c>
      <c r="AA46" s="14"/>
      <c r="AB46" s="14">
        <v>0</v>
      </c>
      <c r="AC46" s="14">
        <v>7</v>
      </c>
      <c r="AD46" s="6">
        <v>1100000</v>
      </c>
      <c r="AE46" s="14">
        <v>1600000</v>
      </c>
      <c r="AF46" s="14">
        <v>600000</v>
      </c>
      <c r="AG46" s="14">
        <v>100000</v>
      </c>
      <c r="AH46" s="14">
        <v>0</v>
      </c>
      <c r="AI46" s="14">
        <v>100000</v>
      </c>
      <c r="AJ46" s="14">
        <v>200000</v>
      </c>
      <c r="AK46" s="14">
        <v>100000</v>
      </c>
      <c r="AL46" s="14">
        <v>0</v>
      </c>
      <c r="AM46" s="57">
        <f t="shared" si="12"/>
        <v>2700000</v>
      </c>
    </row>
    <row r="47" s="29" customFormat="1" ht="47" customHeight="1" spans="1:39">
      <c r="A47" s="5" t="s">
        <v>139</v>
      </c>
      <c r="B47" s="6" t="s">
        <v>140</v>
      </c>
      <c r="C47" s="26" t="s">
        <v>22</v>
      </c>
      <c r="D47" s="6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6" t="s">
        <v>69</v>
      </c>
      <c r="K47" s="9">
        <v>200</v>
      </c>
      <c r="L47" s="6">
        <v>2800000</v>
      </c>
      <c r="M47" s="14">
        <v>2100000</v>
      </c>
      <c r="N47" s="14">
        <v>2100000</v>
      </c>
      <c r="O47" s="15" t="s">
        <v>70</v>
      </c>
      <c r="P47" s="6">
        <v>0</v>
      </c>
      <c r="Q47" s="6">
        <v>700000</v>
      </c>
      <c r="R47" s="14"/>
      <c r="S47" s="14">
        <v>1</v>
      </c>
      <c r="T47" s="14">
        <v>1000000</v>
      </c>
      <c r="U47" s="14">
        <v>600000</v>
      </c>
      <c r="V47" s="14">
        <v>0</v>
      </c>
      <c r="W47" s="14">
        <v>0</v>
      </c>
      <c r="X47" s="14">
        <v>1000000</v>
      </c>
      <c r="Y47" s="14">
        <v>600000</v>
      </c>
      <c r="Z47" s="14">
        <f t="shared" si="11"/>
        <v>1600000</v>
      </c>
      <c r="AA47" s="14"/>
      <c r="AB47" s="14">
        <v>0</v>
      </c>
      <c r="AC47" s="14">
        <v>8</v>
      </c>
      <c r="AD47" s="6">
        <v>1200000</v>
      </c>
      <c r="AE47" s="14">
        <v>1600000</v>
      </c>
      <c r="AF47" s="14">
        <v>700000</v>
      </c>
      <c r="AG47" s="14">
        <v>100000</v>
      </c>
      <c r="AH47" s="14">
        <v>0</v>
      </c>
      <c r="AI47" s="14">
        <v>100000</v>
      </c>
      <c r="AJ47" s="14">
        <v>200000</v>
      </c>
      <c r="AK47" s="14">
        <v>100000</v>
      </c>
      <c r="AL47" s="14">
        <v>0</v>
      </c>
      <c r="AM47" s="57">
        <f t="shared" si="12"/>
        <v>2800000</v>
      </c>
    </row>
    <row r="48" s="29" customFormat="1" ht="47" customHeight="1" spans="1:39">
      <c r="A48" s="5" t="s">
        <v>141</v>
      </c>
      <c r="B48" s="6" t="s">
        <v>142</v>
      </c>
      <c r="C48" s="26" t="s">
        <v>22</v>
      </c>
      <c r="D48" s="6"/>
      <c r="E48" s="14" t="s">
        <v>23</v>
      </c>
      <c r="F48" s="14" t="s">
        <v>24</v>
      </c>
      <c r="G48" s="9" t="s">
        <v>25</v>
      </c>
      <c r="H48" s="9" t="s">
        <v>26</v>
      </c>
      <c r="I48" s="24" t="s">
        <v>27</v>
      </c>
      <c r="J48" s="6" t="s">
        <v>69</v>
      </c>
      <c r="K48" s="9">
        <v>200</v>
      </c>
      <c r="L48" s="6">
        <v>2900000</v>
      </c>
      <c r="M48" s="14">
        <v>2100000</v>
      </c>
      <c r="N48" s="14">
        <v>2100000</v>
      </c>
      <c r="O48" s="15" t="s">
        <v>70</v>
      </c>
      <c r="P48" s="6">
        <v>0</v>
      </c>
      <c r="Q48" s="6">
        <v>800000</v>
      </c>
      <c r="R48" s="14"/>
      <c r="S48" s="14">
        <v>1</v>
      </c>
      <c r="T48" s="14">
        <v>1000000</v>
      </c>
      <c r="U48" s="14">
        <v>600000</v>
      </c>
      <c r="V48" s="14">
        <v>0</v>
      </c>
      <c r="W48" s="14">
        <v>0</v>
      </c>
      <c r="X48" s="14">
        <v>1000000</v>
      </c>
      <c r="Y48" s="14">
        <v>600000</v>
      </c>
      <c r="Z48" s="14">
        <f t="shared" si="11"/>
        <v>1600000</v>
      </c>
      <c r="AA48" s="14"/>
      <c r="AB48" s="14">
        <v>0</v>
      </c>
      <c r="AC48" s="14">
        <v>9</v>
      </c>
      <c r="AD48" s="6">
        <v>1300000</v>
      </c>
      <c r="AE48" s="14">
        <v>1600000</v>
      </c>
      <c r="AF48" s="14">
        <v>700000</v>
      </c>
      <c r="AG48" s="14">
        <v>100000</v>
      </c>
      <c r="AH48" s="14">
        <v>100000</v>
      </c>
      <c r="AI48" s="14">
        <v>100000</v>
      </c>
      <c r="AJ48" s="14">
        <v>200000</v>
      </c>
      <c r="AK48" s="14">
        <v>100000</v>
      </c>
      <c r="AL48" s="14">
        <v>0</v>
      </c>
      <c r="AM48" s="57">
        <f t="shared" si="12"/>
        <v>2900000</v>
      </c>
    </row>
    <row r="49" s="29" customFormat="1" ht="47" customHeight="1" spans="1:39">
      <c r="A49" s="43"/>
      <c r="B49" s="44" t="s">
        <v>85</v>
      </c>
      <c r="C49" s="45"/>
      <c r="D49" s="45"/>
      <c r="E49" s="46"/>
      <c r="F49" s="46"/>
      <c r="G49" s="46"/>
      <c r="H49" s="46"/>
      <c r="I49" s="50"/>
      <c r="J49" s="51"/>
      <c r="K49" s="34"/>
      <c r="L49" s="34"/>
      <c r="M49" s="32"/>
      <c r="N49" s="32"/>
      <c r="O49" s="33"/>
      <c r="P49" s="32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2"/>
      <c r="AB49" s="32"/>
      <c r="AC49" s="34"/>
      <c r="AD49" s="6"/>
      <c r="AE49" s="34"/>
      <c r="AF49" s="34"/>
      <c r="AG49" s="34"/>
      <c r="AH49" s="34"/>
      <c r="AI49" s="34"/>
      <c r="AJ49" s="34"/>
      <c r="AK49" s="34"/>
      <c r="AL49" s="34"/>
      <c r="AM49" s="34"/>
    </row>
    <row r="50" s="1" customFormat="1" ht="52" customHeight="1" spans="1:39">
      <c r="A50" s="5" t="s">
        <v>143</v>
      </c>
      <c r="B50" s="6" t="s">
        <v>144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128</v>
      </c>
      <c r="K50" s="9">
        <v>200</v>
      </c>
      <c r="L50" s="14">
        <v>1500000</v>
      </c>
      <c r="M50" s="14">
        <v>1500000</v>
      </c>
      <c r="N50" s="14">
        <v>1500000</v>
      </c>
      <c r="O50" s="15" t="s">
        <v>70</v>
      </c>
      <c r="P50" s="6">
        <v>200000</v>
      </c>
      <c r="Q50" s="14">
        <v>0</v>
      </c>
      <c r="R50" s="14" t="s">
        <v>95</v>
      </c>
      <c r="S50" s="14">
        <v>1</v>
      </c>
      <c r="T50" s="14">
        <v>800000</v>
      </c>
      <c r="U50" s="14">
        <v>600000</v>
      </c>
      <c r="V50" s="14">
        <v>200000</v>
      </c>
      <c r="W50" s="14">
        <v>0</v>
      </c>
      <c r="X50" s="14">
        <v>800000</v>
      </c>
      <c r="Y50" s="14">
        <v>600000</v>
      </c>
      <c r="Z50" s="14">
        <f t="shared" ref="Z50:Z52" si="13">X50+Y50</f>
        <v>1400000</v>
      </c>
      <c r="AA50" s="14"/>
      <c r="AB50" s="14">
        <v>0</v>
      </c>
      <c r="AC50" s="14">
        <v>1</v>
      </c>
      <c r="AD50" s="6">
        <v>100000</v>
      </c>
      <c r="AE50" s="14">
        <v>1400000</v>
      </c>
      <c r="AF50" s="14">
        <v>0</v>
      </c>
      <c r="AG50" s="14">
        <v>0</v>
      </c>
      <c r="AH50" s="14">
        <v>0</v>
      </c>
      <c r="AI50" s="14">
        <v>0</v>
      </c>
      <c r="AJ50" s="14">
        <v>100000</v>
      </c>
      <c r="AK50" s="14">
        <v>0</v>
      </c>
      <c r="AL50" s="14">
        <v>0</v>
      </c>
      <c r="AM50" s="57">
        <f t="shared" ref="AM50:AM52" si="14">SUM(AE50:AL50)</f>
        <v>1500000</v>
      </c>
    </row>
    <row r="51" s="1" customFormat="1" ht="52" customHeight="1" spans="1:39">
      <c r="A51" s="5" t="s">
        <v>145</v>
      </c>
      <c r="B51" s="6" t="s">
        <v>146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69</v>
      </c>
      <c r="K51" s="9">
        <v>200</v>
      </c>
      <c r="L51" s="14">
        <v>2100000</v>
      </c>
      <c r="M51" s="14">
        <v>1900000</v>
      </c>
      <c r="N51" s="14">
        <v>1900000</v>
      </c>
      <c r="O51" s="15" t="s">
        <v>70</v>
      </c>
      <c r="P51" s="6">
        <v>200000</v>
      </c>
      <c r="Q51" s="14">
        <v>200000</v>
      </c>
      <c r="R51" s="14"/>
      <c r="S51" s="14">
        <v>1</v>
      </c>
      <c r="T51" s="14">
        <v>800000</v>
      </c>
      <c r="U51" s="14">
        <v>600000</v>
      </c>
      <c r="V51" s="14">
        <v>200000</v>
      </c>
      <c r="W51" s="14">
        <v>0</v>
      </c>
      <c r="X51" s="14">
        <v>800000</v>
      </c>
      <c r="Y51" s="14">
        <v>600000</v>
      </c>
      <c r="Z51" s="14">
        <f t="shared" si="13"/>
        <v>1400000</v>
      </c>
      <c r="AA51" s="14"/>
      <c r="AB51" s="14">
        <v>0</v>
      </c>
      <c r="AC51" s="14">
        <v>3</v>
      </c>
      <c r="AD51" s="14">
        <v>700000</v>
      </c>
      <c r="AE51" s="14">
        <v>1400000</v>
      </c>
      <c r="AF51" s="14">
        <v>600000</v>
      </c>
      <c r="AG51" s="14">
        <v>0</v>
      </c>
      <c r="AH51" s="14">
        <v>0</v>
      </c>
      <c r="AI51" s="14">
        <v>0</v>
      </c>
      <c r="AJ51" s="14">
        <v>100000</v>
      </c>
      <c r="AK51" s="14">
        <v>0</v>
      </c>
      <c r="AL51" s="14">
        <v>0</v>
      </c>
      <c r="AM51" s="57">
        <f t="shared" si="14"/>
        <v>2100000</v>
      </c>
    </row>
    <row r="52" s="1" customFormat="1" ht="52" customHeight="1" spans="1:39">
      <c r="A52" s="5" t="s">
        <v>147</v>
      </c>
      <c r="B52" s="6" t="s">
        <v>148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69</v>
      </c>
      <c r="K52" s="9">
        <v>200</v>
      </c>
      <c r="L52" s="14">
        <v>2200000</v>
      </c>
      <c r="M52" s="14">
        <v>1900000</v>
      </c>
      <c r="N52" s="14">
        <v>1900000</v>
      </c>
      <c r="O52" s="15" t="s">
        <v>70</v>
      </c>
      <c r="P52" s="6">
        <v>200000</v>
      </c>
      <c r="Q52" s="14">
        <v>300000</v>
      </c>
      <c r="R52" s="14"/>
      <c r="S52" s="14">
        <v>1</v>
      </c>
      <c r="T52" s="14">
        <v>800000</v>
      </c>
      <c r="U52" s="14">
        <v>600000</v>
      </c>
      <c r="V52" s="14">
        <v>200000</v>
      </c>
      <c r="W52" s="14">
        <v>0</v>
      </c>
      <c r="X52" s="14">
        <v>800000</v>
      </c>
      <c r="Y52" s="14">
        <v>600000</v>
      </c>
      <c r="Z52" s="14">
        <f t="shared" si="13"/>
        <v>1400000</v>
      </c>
      <c r="AA52" s="14"/>
      <c r="AB52" s="14">
        <v>0</v>
      </c>
      <c r="AC52" s="14">
        <v>4</v>
      </c>
      <c r="AD52" s="14">
        <v>800000</v>
      </c>
      <c r="AE52" s="14">
        <v>1400000</v>
      </c>
      <c r="AF52" s="14">
        <v>600000</v>
      </c>
      <c r="AG52" s="14">
        <v>0</v>
      </c>
      <c r="AH52" s="14">
        <v>0</v>
      </c>
      <c r="AI52" s="14">
        <v>100000</v>
      </c>
      <c r="AJ52" s="14">
        <v>100000</v>
      </c>
      <c r="AK52" s="14">
        <v>0</v>
      </c>
      <c r="AL52" s="14">
        <v>0</v>
      </c>
      <c r="AM52" s="57">
        <f t="shared" si="14"/>
        <v>2200000</v>
      </c>
    </row>
    <row r="53" s="1" customFormat="1" ht="52" customHeight="1" spans="1:39">
      <c r="A53" s="5"/>
      <c r="B53" s="47" t="s">
        <v>92</v>
      </c>
      <c r="C53" s="48"/>
      <c r="D53" s="48"/>
      <c r="E53" s="48"/>
      <c r="F53" s="49"/>
      <c r="G53" s="9"/>
      <c r="H53" s="9"/>
      <c r="I53" s="24"/>
      <c r="J53" s="6"/>
      <c r="K53" s="9"/>
      <c r="L53" s="14"/>
      <c r="M53" s="6"/>
      <c r="N53" s="6"/>
      <c r="O53" s="15"/>
      <c r="P53" s="6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</row>
    <row r="54" s="1" customFormat="1" ht="52" customHeight="1" spans="1:39">
      <c r="A54" s="5" t="s">
        <v>149</v>
      </c>
      <c r="B54" s="6" t="s">
        <v>144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94</v>
      </c>
      <c r="K54" s="9">
        <v>200</v>
      </c>
      <c r="L54" s="14">
        <v>0</v>
      </c>
      <c r="M54" s="6">
        <v>0</v>
      </c>
      <c r="N54" s="6">
        <v>0</v>
      </c>
      <c r="O54" s="15" t="s">
        <v>70</v>
      </c>
      <c r="P54" s="6">
        <v>1700000</v>
      </c>
      <c r="Q54" s="14">
        <v>0</v>
      </c>
      <c r="R54" s="14" t="s">
        <v>95</v>
      </c>
      <c r="S54" s="14">
        <v>1</v>
      </c>
      <c r="T54" s="14">
        <v>0</v>
      </c>
      <c r="U54" s="14">
        <v>0</v>
      </c>
      <c r="V54" s="14">
        <v>1000000</v>
      </c>
      <c r="W54" s="14">
        <v>600000</v>
      </c>
      <c r="X54" s="14"/>
      <c r="Y54" s="14"/>
      <c r="Z54" s="14"/>
      <c r="AA54" s="14" t="s">
        <v>95</v>
      </c>
      <c r="AB54" s="14">
        <v>0</v>
      </c>
      <c r="AC54" s="14">
        <v>1</v>
      </c>
      <c r="AD54" s="14">
        <v>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4">
        <v>0</v>
      </c>
      <c r="AL54" s="14">
        <v>0</v>
      </c>
      <c r="AM54" s="57">
        <f t="shared" ref="AM54:AM56" si="15">SUM(AE54:AL54)</f>
        <v>0</v>
      </c>
    </row>
    <row r="55" s="1" customFormat="1" ht="52" customHeight="1" spans="1:39">
      <c r="A55" s="5" t="s">
        <v>150</v>
      </c>
      <c r="B55" s="6" t="s">
        <v>146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97</v>
      </c>
      <c r="K55" s="9">
        <v>200</v>
      </c>
      <c r="L55" s="14">
        <v>200000</v>
      </c>
      <c r="M55" s="6">
        <v>0</v>
      </c>
      <c r="N55" s="6">
        <v>0</v>
      </c>
      <c r="O55" s="15" t="s">
        <v>70</v>
      </c>
      <c r="P55" s="6">
        <v>2100000</v>
      </c>
      <c r="Q55" s="14">
        <v>200000</v>
      </c>
      <c r="R55" s="14"/>
      <c r="S55" s="14">
        <v>1</v>
      </c>
      <c r="T55" s="14">
        <v>0</v>
      </c>
      <c r="U55" s="14">
        <v>0</v>
      </c>
      <c r="V55" s="14">
        <v>1000000</v>
      </c>
      <c r="W55" s="14">
        <v>600000</v>
      </c>
      <c r="X55" s="14"/>
      <c r="Y55" s="14"/>
      <c r="Z55" s="14"/>
      <c r="AA55" s="14" t="s">
        <v>95</v>
      </c>
      <c r="AB55" s="14">
        <v>0</v>
      </c>
      <c r="AC55" s="14">
        <v>3</v>
      </c>
      <c r="AD55" s="14">
        <v>200000</v>
      </c>
      <c r="AE55" s="14">
        <v>0</v>
      </c>
      <c r="AF55" s="14">
        <v>200000</v>
      </c>
      <c r="AG55" s="14">
        <v>0</v>
      </c>
      <c r="AH55" s="14">
        <v>0</v>
      </c>
      <c r="AI55" s="14">
        <v>0</v>
      </c>
      <c r="AJ55" s="14">
        <v>0</v>
      </c>
      <c r="AK55" s="14">
        <v>0</v>
      </c>
      <c r="AL55" s="14">
        <v>0</v>
      </c>
      <c r="AM55" s="57">
        <f t="shared" si="15"/>
        <v>200000</v>
      </c>
    </row>
    <row r="56" s="1" customFormat="1" ht="52" customHeight="1" spans="1:39">
      <c r="A56" s="5" t="s">
        <v>151</v>
      </c>
      <c r="B56" s="6" t="s">
        <v>148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97</v>
      </c>
      <c r="K56" s="9">
        <v>200</v>
      </c>
      <c r="L56" s="14">
        <v>300000</v>
      </c>
      <c r="M56" s="6">
        <v>0</v>
      </c>
      <c r="N56" s="6">
        <v>0</v>
      </c>
      <c r="O56" s="15" t="s">
        <v>70</v>
      </c>
      <c r="P56" s="6">
        <v>2100000</v>
      </c>
      <c r="Q56" s="14">
        <v>300000</v>
      </c>
      <c r="R56" s="14"/>
      <c r="S56" s="14">
        <v>1</v>
      </c>
      <c r="T56" s="14">
        <v>0</v>
      </c>
      <c r="U56" s="14">
        <v>0</v>
      </c>
      <c r="V56" s="14">
        <v>1000000</v>
      </c>
      <c r="W56" s="14">
        <v>600000</v>
      </c>
      <c r="X56" s="14"/>
      <c r="Y56" s="14"/>
      <c r="Z56" s="14"/>
      <c r="AA56" s="14" t="s">
        <v>95</v>
      </c>
      <c r="AB56" s="14">
        <v>0</v>
      </c>
      <c r="AC56" s="14">
        <v>4</v>
      </c>
      <c r="AD56" s="14">
        <v>300000</v>
      </c>
      <c r="AE56" s="14">
        <v>0</v>
      </c>
      <c r="AF56" s="14">
        <v>200000</v>
      </c>
      <c r="AG56" s="14">
        <v>0</v>
      </c>
      <c r="AH56" s="14">
        <v>0</v>
      </c>
      <c r="AI56" s="14">
        <v>100000</v>
      </c>
      <c r="AJ56" s="14">
        <v>0</v>
      </c>
      <c r="AK56" s="14">
        <v>0</v>
      </c>
      <c r="AL56" s="14">
        <v>0</v>
      </c>
      <c r="AM56" s="57">
        <f t="shared" si="15"/>
        <v>300000</v>
      </c>
    </row>
    <row r="57" s="1" customFormat="1" ht="52" customHeight="1" spans="1:39">
      <c r="A57" s="5"/>
      <c r="B57" s="47" t="s">
        <v>99</v>
      </c>
      <c r="C57" s="48"/>
      <c r="D57" s="48"/>
      <c r="E57" s="48"/>
      <c r="F57" s="49"/>
      <c r="G57" s="9"/>
      <c r="H57" s="9"/>
      <c r="I57" s="24"/>
      <c r="J57" s="6"/>
      <c r="K57" s="9"/>
      <c r="L57" s="14"/>
      <c r="M57" s="6"/>
      <c r="N57" s="6"/>
      <c r="O57" s="15"/>
      <c r="P57" s="6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</row>
    <row r="58" s="1" customFormat="1" ht="52" customHeight="1" spans="1:39">
      <c r="A58" s="5" t="s">
        <v>152</v>
      </c>
      <c r="B58" s="6" t="s">
        <v>144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128</v>
      </c>
      <c r="K58" s="9">
        <v>200</v>
      </c>
      <c r="L58" s="14">
        <v>1600000</v>
      </c>
      <c r="M58" s="14">
        <v>1600000</v>
      </c>
      <c r="N58" s="14">
        <v>1600000</v>
      </c>
      <c r="O58" s="15" t="s">
        <v>70</v>
      </c>
      <c r="P58" s="6">
        <v>100000</v>
      </c>
      <c r="Q58" s="14">
        <v>0</v>
      </c>
      <c r="R58" s="14" t="s">
        <v>95</v>
      </c>
      <c r="S58" s="14">
        <v>1</v>
      </c>
      <c r="T58" s="14">
        <v>900000</v>
      </c>
      <c r="U58" s="14">
        <v>600000</v>
      </c>
      <c r="V58" s="14">
        <v>100000</v>
      </c>
      <c r="W58" s="14">
        <v>0</v>
      </c>
      <c r="X58" s="14">
        <v>900000</v>
      </c>
      <c r="Y58" s="14">
        <v>600000</v>
      </c>
      <c r="Z58" s="14">
        <f t="shared" ref="Z58:Z60" si="16">X58+Y58</f>
        <v>1500000</v>
      </c>
      <c r="AA58" s="14"/>
      <c r="AB58" s="14">
        <v>0</v>
      </c>
      <c r="AC58" s="14">
        <v>1</v>
      </c>
      <c r="AD58" s="14">
        <v>100000</v>
      </c>
      <c r="AE58" s="14">
        <v>1500000</v>
      </c>
      <c r="AF58" s="14">
        <v>0</v>
      </c>
      <c r="AG58" s="14">
        <v>0</v>
      </c>
      <c r="AH58" s="14">
        <v>0</v>
      </c>
      <c r="AI58" s="14">
        <v>0</v>
      </c>
      <c r="AJ58" s="14">
        <v>100000</v>
      </c>
      <c r="AK58" s="14">
        <v>0</v>
      </c>
      <c r="AL58" s="14">
        <v>0</v>
      </c>
      <c r="AM58" s="57">
        <f t="shared" ref="AM58:AM60" si="17">SUM(AE58:AL58)</f>
        <v>1600000</v>
      </c>
    </row>
    <row r="59" s="1" customFormat="1" ht="52" customHeight="1" spans="1:39">
      <c r="A59" s="5" t="s">
        <v>153</v>
      </c>
      <c r="B59" s="6" t="s">
        <v>146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69</v>
      </c>
      <c r="K59" s="9">
        <v>200</v>
      </c>
      <c r="L59" s="14">
        <v>2200000</v>
      </c>
      <c r="M59" s="14">
        <v>2000000</v>
      </c>
      <c r="N59" s="14">
        <v>2000000</v>
      </c>
      <c r="O59" s="15" t="s">
        <v>70</v>
      </c>
      <c r="P59" s="6">
        <v>100000</v>
      </c>
      <c r="Q59" s="14">
        <v>200000</v>
      </c>
      <c r="R59" s="14"/>
      <c r="S59" s="14">
        <v>1</v>
      </c>
      <c r="T59" s="14">
        <v>900000</v>
      </c>
      <c r="U59" s="14">
        <v>600000</v>
      </c>
      <c r="V59" s="14">
        <v>100000</v>
      </c>
      <c r="W59" s="14">
        <v>0</v>
      </c>
      <c r="X59" s="14">
        <v>900000</v>
      </c>
      <c r="Y59" s="14">
        <v>600000</v>
      </c>
      <c r="Z59" s="14">
        <f t="shared" si="16"/>
        <v>1500000</v>
      </c>
      <c r="AA59" s="14"/>
      <c r="AB59" s="14">
        <v>0</v>
      </c>
      <c r="AC59" s="14">
        <v>3</v>
      </c>
      <c r="AD59" s="14">
        <v>700000</v>
      </c>
      <c r="AE59" s="14">
        <v>1500000</v>
      </c>
      <c r="AF59" s="14">
        <v>600000</v>
      </c>
      <c r="AG59" s="14">
        <v>0</v>
      </c>
      <c r="AH59" s="14">
        <v>0</v>
      </c>
      <c r="AI59" s="14">
        <v>0</v>
      </c>
      <c r="AJ59" s="14">
        <v>100000</v>
      </c>
      <c r="AK59" s="14">
        <v>0</v>
      </c>
      <c r="AL59" s="14">
        <v>0</v>
      </c>
      <c r="AM59" s="57">
        <f t="shared" si="17"/>
        <v>2200000</v>
      </c>
    </row>
    <row r="60" s="1" customFormat="1" ht="52" customHeight="1" spans="1:39">
      <c r="A60" s="5" t="s">
        <v>154</v>
      </c>
      <c r="B60" s="6" t="s">
        <v>148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69</v>
      </c>
      <c r="K60" s="9">
        <v>200</v>
      </c>
      <c r="L60" s="14">
        <v>2300000</v>
      </c>
      <c r="M60" s="14">
        <v>2000000</v>
      </c>
      <c r="N60" s="14">
        <v>2000000</v>
      </c>
      <c r="O60" s="15" t="s">
        <v>70</v>
      </c>
      <c r="P60" s="6">
        <v>100000</v>
      </c>
      <c r="Q60" s="14">
        <v>300000</v>
      </c>
      <c r="R60" s="14"/>
      <c r="S60" s="14">
        <v>1</v>
      </c>
      <c r="T60" s="14">
        <v>900000</v>
      </c>
      <c r="U60" s="14">
        <v>600000</v>
      </c>
      <c r="V60" s="14">
        <v>100000</v>
      </c>
      <c r="W60" s="14">
        <v>0</v>
      </c>
      <c r="X60" s="14">
        <v>900000</v>
      </c>
      <c r="Y60" s="14">
        <v>600000</v>
      </c>
      <c r="Z60" s="14">
        <f t="shared" si="16"/>
        <v>1500000</v>
      </c>
      <c r="AA60" s="14"/>
      <c r="AB60" s="14">
        <v>0</v>
      </c>
      <c r="AC60" s="14">
        <v>4</v>
      </c>
      <c r="AD60" s="14">
        <v>800000</v>
      </c>
      <c r="AE60" s="14">
        <v>1500000</v>
      </c>
      <c r="AF60" s="14">
        <v>600000</v>
      </c>
      <c r="AG60" s="14">
        <v>0</v>
      </c>
      <c r="AH60" s="14">
        <v>0</v>
      </c>
      <c r="AI60" s="14">
        <v>100000</v>
      </c>
      <c r="AJ60" s="14">
        <v>100000</v>
      </c>
      <c r="AK60" s="14">
        <v>0</v>
      </c>
      <c r="AL60" s="14">
        <v>0</v>
      </c>
      <c r="AM60" s="57">
        <f t="shared" si="17"/>
        <v>2300000</v>
      </c>
    </row>
    <row r="61" s="1" customFormat="1" ht="52" customHeight="1" spans="1:39">
      <c r="A61" s="5"/>
      <c r="B61" s="47" t="s">
        <v>103</v>
      </c>
      <c r="C61" s="48"/>
      <c r="D61" s="48"/>
      <c r="E61" s="48"/>
      <c r="F61" s="49"/>
      <c r="G61" s="9"/>
      <c r="H61" s="9"/>
      <c r="I61" s="24"/>
      <c r="J61" s="6"/>
      <c r="K61" s="9"/>
      <c r="L61" s="14"/>
      <c r="M61" s="6"/>
      <c r="N61" s="6"/>
      <c r="O61" s="15"/>
      <c r="P61" s="6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</row>
    <row r="62" s="1" customFormat="1" ht="52" customHeight="1" spans="1:39">
      <c r="A62" s="5" t="s">
        <v>155</v>
      </c>
      <c r="B62" s="6" t="s">
        <v>144</v>
      </c>
      <c r="C62" s="26" t="s">
        <v>22</v>
      </c>
      <c r="D62" s="6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6" t="s">
        <v>128</v>
      </c>
      <c r="K62" s="9">
        <v>200</v>
      </c>
      <c r="L62" s="14">
        <v>1530000</v>
      </c>
      <c r="M62" s="14">
        <v>1530000</v>
      </c>
      <c r="N62" s="14">
        <v>1530000</v>
      </c>
      <c r="O62" s="15" t="s">
        <v>70</v>
      </c>
      <c r="P62" s="6">
        <v>170000</v>
      </c>
      <c r="Q62" s="14">
        <v>0</v>
      </c>
      <c r="R62" s="14" t="s">
        <v>95</v>
      </c>
      <c r="S62" s="14">
        <v>1</v>
      </c>
      <c r="T62" s="14">
        <v>900000</v>
      </c>
      <c r="U62" s="14">
        <v>540000</v>
      </c>
      <c r="V62" s="14">
        <v>100000</v>
      </c>
      <c r="W62" s="14">
        <v>60000</v>
      </c>
      <c r="X62" s="14">
        <v>900000</v>
      </c>
      <c r="Y62" s="14">
        <v>540000</v>
      </c>
      <c r="Z62" s="14">
        <f t="shared" ref="Z62:Z69" si="18">X62+Y62</f>
        <v>1440000</v>
      </c>
      <c r="AA62" s="14"/>
      <c r="AB62" s="14">
        <v>0</v>
      </c>
      <c r="AC62" s="14">
        <v>1</v>
      </c>
      <c r="AD62" s="14">
        <v>90000</v>
      </c>
      <c r="AE62" s="14">
        <v>1440000</v>
      </c>
      <c r="AF62" s="14">
        <v>0</v>
      </c>
      <c r="AG62" s="14">
        <v>0</v>
      </c>
      <c r="AH62" s="14">
        <v>0</v>
      </c>
      <c r="AI62" s="14">
        <v>0</v>
      </c>
      <c r="AJ62" s="14">
        <v>90000</v>
      </c>
      <c r="AK62" s="14">
        <v>0</v>
      </c>
      <c r="AL62" s="14">
        <v>0</v>
      </c>
      <c r="AM62" s="57">
        <f t="shared" ref="AM62:AM69" si="19">SUM(AE62:AL62)</f>
        <v>1530000</v>
      </c>
    </row>
    <row r="63" s="1" customFormat="1" ht="52" customHeight="1" spans="1:39">
      <c r="A63" s="5" t="s">
        <v>156</v>
      </c>
      <c r="B63" s="6" t="s">
        <v>146</v>
      </c>
      <c r="C63" s="26" t="s">
        <v>22</v>
      </c>
      <c r="D63" s="6"/>
      <c r="E63" s="14" t="s">
        <v>23</v>
      </c>
      <c r="F63" s="14" t="s">
        <v>24</v>
      </c>
      <c r="G63" s="9" t="s">
        <v>25</v>
      </c>
      <c r="H63" s="9" t="s">
        <v>26</v>
      </c>
      <c r="I63" s="24" t="s">
        <v>27</v>
      </c>
      <c r="J63" s="6" t="s">
        <v>69</v>
      </c>
      <c r="K63" s="9">
        <v>200</v>
      </c>
      <c r="L63" s="14">
        <v>2070000</v>
      </c>
      <c r="M63" s="6">
        <v>1890000</v>
      </c>
      <c r="N63" s="6">
        <v>1890000</v>
      </c>
      <c r="O63" s="15" t="s">
        <v>70</v>
      </c>
      <c r="P63" s="6">
        <v>210000</v>
      </c>
      <c r="Q63" s="14">
        <v>180000</v>
      </c>
      <c r="R63" s="14"/>
      <c r="S63" s="14">
        <v>1</v>
      </c>
      <c r="T63" s="14">
        <v>900000</v>
      </c>
      <c r="U63" s="14">
        <v>540000</v>
      </c>
      <c r="V63" s="14">
        <v>100000</v>
      </c>
      <c r="W63" s="14">
        <v>60000</v>
      </c>
      <c r="X63" s="14">
        <v>900000</v>
      </c>
      <c r="Y63" s="14">
        <v>540000</v>
      </c>
      <c r="Z63" s="14">
        <f t="shared" si="18"/>
        <v>1440000</v>
      </c>
      <c r="AA63" s="14"/>
      <c r="AB63" s="14">
        <v>0</v>
      </c>
      <c r="AC63" s="14">
        <v>3</v>
      </c>
      <c r="AD63" s="14">
        <v>630000</v>
      </c>
      <c r="AE63" s="14">
        <v>1440000</v>
      </c>
      <c r="AF63" s="14">
        <v>540000</v>
      </c>
      <c r="AG63" s="14">
        <v>0</v>
      </c>
      <c r="AH63" s="14">
        <v>0</v>
      </c>
      <c r="AI63" s="14">
        <v>0</v>
      </c>
      <c r="AJ63" s="14">
        <v>90000</v>
      </c>
      <c r="AK63" s="14">
        <v>0</v>
      </c>
      <c r="AL63" s="14">
        <v>0</v>
      </c>
      <c r="AM63" s="57">
        <f t="shared" si="19"/>
        <v>2070000</v>
      </c>
    </row>
    <row r="64" s="1" customFormat="1" ht="52" customHeight="1" spans="1:39">
      <c r="A64" s="5" t="s">
        <v>157</v>
      </c>
      <c r="B64" s="6" t="s">
        <v>148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69</v>
      </c>
      <c r="K64" s="9">
        <v>200</v>
      </c>
      <c r="L64" s="14">
        <v>2160000</v>
      </c>
      <c r="M64" s="6">
        <v>1890000</v>
      </c>
      <c r="N64" s="6">
        <v>1890000</v>
      </c>
      <c r="O64" s="15" t="s">
        <v>70</v>
      </c>
      <c r="P64" s="6">
        <v>210000</v>
      </c>
      <c r="Q64" s="14">
        <v>270000</v>
      </c>
      <c r="R64" s="14"/>
      <c r="S64" s="14">
        <v>1</v>
      </c>
      <c r="T64" s="14">
        <v>900000</v>
      </c>
      <c r="U64" s="14">
        <v>540000</v>
      </c>
      <c r="V64" s="14">
        <v>100000</v>
      </c>
      <c r="W64" s="14">
        <v>60000</v>
      </c>
      <c r="X64" s="14">
        <v>900000</v>
      </c>
      <c r="Y64" s="14">
        <v>540000</v>
      </c>
      <c r="Z64" s="14">
        <f t="shared" si="18"/>
        <v>1440000</v>
      </c>
      <c r="AA64" s="14"/>
      <c r="AB64" s="14">
        <v>0</v>
      </c>
      <c r="AC64" s="14">
        <v>4</v>
      </c>
      <c r="AD64" s="14">
        <v>720000</v>
      </c>
      <c r="AE64" s="14">
        <v>1440000</v>
      </c>
      <c r="AF64" s="14">
        <v>540000</v>
      </c>
      <c r="AG64" s="14">
        <v>0</v>
      </c>
      <c r="AH64" s="14">
        <v>0</v>
      </c>
      <c r="AI64" s="14">
        <v>90000</v>
      </c>
      <c r="AJ64" s="14">
        <v>90000</v>
      </c>
      <c r="AK64" s="14">
        <v>0</v>
      </c>
      <c r="AL64" s="14">
        <v>0</v>
      </c>
      <c r="AM64" s="57">
        <f t="shared" si="19"/>
        <v>2160000</v>
      </c>
    </row>
    <row r="65" s="1" customFormat="1" ht="52" customHeight="1" spans="1:39">
      <c r="A65" s="5" t="s">
        <v>158</v>
      </c>
      <c r="B65" s="6" t="s">
        <v>159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69</v>
      </c>
      <c r="K65" s="9">
        <v>200</v>
      </c>
      <c r="L65" s="14">
        <v>2250000</v>
      </c>
      <c r="M65" s="6">
        <v>1890000</v>
      </c>
      <c r="N65" s="6">
        <v>1890000</v>
      </c>
      <c r="O65" s="15" t="s">
        <v>70</v>
      </c>
      <c r="P65" s="6">
        <v>210000</v>
      </c>
      <c r="Q65" s="14">
        <v>360000</v>
      </c>
      <c r="R65" s="14"/>
      <c r="S65" s="14">
        <v>1</v>
      </c>
      <c r="T65" s="14">
        <v>900000</v>
      </c>
      <c r="U65" s="14">
        <v>540000</v>
      </c>
      <c r="V65" s="14">
        <v>100000</v>
      </c>
      <c r="W65" s="14">
        <v>60000</v>
      </c>
      <c r="X65" s="14">
        <v>900000</v>
      </c>
      <c r="Y65" s="14">
        <v>540000</v>
      </c>
      <c r="Z65" s="14">
        <f t="shared" si="18"/>
        <v>1440000</v>
      </c>
      <c r="AA65" s="14"/>
      <c r="AB65" s="14">
        <v>0</v>
      </c>
      <c r="AC65" s="14">
        <v>5</v>
      </c>
      <c r="AD65" s="14">
        <v>810000</v>
      </c>
      <c r="AE65" s="14">
        <v>1440000</v>
      </c>
      <c r="AF65" s="14">
        <v>540000</v>
      </c>
      <c r="AG65" s="14">
        <v>0</v>
      </c>
      <c r="AH65" s="14">
        <v>0</v>
      </c>
      <c r="AI65" s="14">
        <v>90000</v>
      </c>
      <c r="AJ65" s="14">
        <v>180000</v>
      </c>
      <c r="AK65" s="14">
        <v>0</v>
      </c>
      <c r="AL65" s="14">
        <v>0</v>
      </c>
      <c r="AM65" s="57">
        <f t="shared" si="19"/>
        <v>2250000</v>
      </c>
    </row>
    <row r="66" s="1" customFormat="1" ht="52" customHeight="1" spans="1:39">
      <c r="A66" s="5" t="s">
        <v>160</v>
      </c>
      <c r="B66" s="6" t="s">
        <v>161</v>
      </c>
      <c r="C66" s="26" t="s">
        <v>22</v>
      </c>
      <c r="D66" s="6"/>
      <c r="E66" s="14" t="s">
        <v>23</v>
      </c>
      <c r="F66" s="14" t="s">
        <v>24</v>
      </c>
      <c r="G66" s="9" t="s">
        <v>25</v>
      </c>
      <c r="H66" s="9" t="s">
        <v>26</v>
      </c>
      <c r="I66" s="24" t="s">
        <v>27</v>
      </c>
      <c r="J66" s="6" t="s">
        <v>69</v>
      </c>
      <c r="K66" s="9">
        <v>200</v>
      </c>
      <c r="L66" s="14">
        <v>2340000</v>
      </c>
      <c r="M66" s="6">
        <v>1890000</v>
      </c>
      <c r="N66" s="6">
        <v>1890000</v>
      </c>
      <c r="O66" s="15" t="s">
        <v>70</v>
      </c>
      <c r="P66" s="6">
        <v>210000</v>
      </c>
      <c r="Q66" s="14">
        <v>450000</v>
      </c>
      <c r="R66" s="14"/>
      <c r="S66" s="14">
        <v>1</v>
      </c>
      <c r="T66" s="14">
        <v>900000</v>
      </c>
      <c r="U66" s="14">
        <v>540000</v>
      </c>
      <c r="V66" s="14">
        <v>100000</v>
      </c>
      <c r="W66" s="14">
        <v>60000</v>
      </c>
      <c r="X66" s="14">
        <v>900000</v>
      </c>
      <c r="Y66" s="14">
        <v>540000</v>
      </c>
      <c r="Z66" s="14">
        <f t="shared" si="18"/>
        <v>1440000</v>
      </c>
      <c r="AA66" s="14"/>
      <c r="AB66" s="14">
        <v>0</v>
      </c>
      <c r="AC66" s="14">
        <v>6</v>
      </c>
      <c r="AD66" s="14">
        <v>900000</v>
      </c>
      <c r="AE66" s="14">
        <v>1440000</v>
      </c>
      <c r="AF66" s="14">
        <v>540000</v>
      </c>
      <c r="AG66" s="14">
        <v>0</v>
      </c>
      <c r="AH66" s="14">
        <v>0</v>
      </c>
      <c r="AI66" s="14">
        <v>90000</v>
      </c>
      <c r="AJ66" s="14">
        <v>180000</v>
      </c>
      <c r="AK66" s="14">
        <v>90000</v>
      </c>
      <c r="AL66" s="14">
        <v>0</v>
      </c>
      <c r="AM66" s="57">
        <f t="shared" si="19"/>
        <v>2340000</v>
      </c>
    </row>
    <row r="67" s="1" customFormat="1" ht="52" customHeight="1" spans="1:39">
      <c r="A67" s="5" t="s">
        <v>162</v>
      </c>
      <c r="B67" s="6" t="s">
        <v>163</v>
      </c>
      <c r="C67" s="26" t="s">
        <v>22</v>
      </c>
      <c r="D67" s="6"/>
      <c r="E67" s="14" t="s">
        <v>23</v>
      </c>
      <c r="F67" s="14" t="s">
        <v>24</v>
      </c>
      <c r="G67" s="9" t="s">
        <v>25</v>
      </c>
      <c r="H67" s="9" t="s">
        <v>26</v>
      </c>
      <c r="I67" s="24" t="s">
        <v>27</v>
      </c>
      <c r="J67" s="6" t="s">
        <v>69</v>
      </c>
      <c r="K67" s="9">
        <v>200</v>
      </c>
      <c r="L67" s="14">
        <v>2430000</v>
      </c>
      <c r="M67" s="6">
        <v>1890000</v>
      </c>
      <c r="N67" s="6">
        <v>1890000</v>
      </c>
      <c r="O67" s="15" t="s">
        <v>70</v>
      </c>
      <c r="P67" s="6">
        <v>210000</v>
      </c>
      <c r="Q67" s="14">
        <v>540000</v>
      </c>
      <c r="R67" s="14"/>
      <c r="S67" s="14">
        <v>1</v>
      </c>
      <c r="T67" s="14">
        <v>900000</v>
      </c>
      <c r="U67" s="14">
        <v>540000</v>
      </c>
      <c r="V67" s="14">
        <v>100000</v>
      </c>
      <c r="W67" s="14">
        <v>60000</v>
      </c>
      <c r="X67" s="14">
        <v>900000</v>
      </c>
      <c r="Y67" s="14">
        <v>540000</v>
      </c>
      <c r="Z67" s="14">
        <f t="shared" si="18"/>
        <v>1440000</v>
      </c>
      <c r="AA67" s="14"/>
      <c r="AB67" s="14">
        <v>0</v>
      </c>
      <c r="AC67" s="14">
        <v>7</v>
      </c>
      <c r="AD67" s="14">
        <v>990000</v>
      </c>
      <c r="AE67" s="14">
        <v>1440000</v>
      </c>
      <c r="AF67" s="14">
        <v>540000</v>
      </c>
      <c r="AG67" s="14">
        <v>90000</v>
      </c>
      <c r="AH67" s="14">
        <v>0</v>
      </c>
      <c r="AI67" s="14">
        <v>90000</v>
      </c>
      <c r="AJ67" s="14">
        <v>180000</v>
      </c>
      <c r="AK67" s="14">
        <v>90000</v>
      </c>
      <c r="AL67" s="14">
        <v>0</v>
      </c>
      <c r="AM67" s="57">
        <f t="shared" si="19"/>
        <v>2430000</v>
      </c>
    </row>
    <row r="68" s="1" customFormat="1" ht="52" customHeight="1" spans="1:39">
      <c r="A68" s="5" t="s">
        <v>164</v>
      </c>
      <c r="B68" s="6" t="s">
        <v>165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69</v>
      </c>
      <c r="K68" s="9">
        <v>200</v>
      </c>
      <c r="L68" s="14">
        <v>2520000</v>
      </c>
      <c r="M68" s="6">
        <v>1890000</v>
      </c>
      <c r="N68" s="6">
        <v>1890000</v>
      </c>
      <c r="O68" s="15" t="s">
        <v>70</v>
      </c>
      <c r="P68" s="6">
        <v>210000</v>
      </c>
      <c r="Q68" s="14">
        <v>630000</v>
      </c>
      <c r="R68" s="14"/>
      <c r="S68" s="14">
        <v>1</v>
      </c>
      <c r="T68" s="14">
        <v>900000</v>
      </c>
      <c r="U68" s="14">
        <v>540000</v>
      </c>
      <c r="V68" s="14">
        <v>100000</v>
      </c>
      <c r="W68" s="14">
        <v>60000</v>
      </c>
      <c r="X68" s="14">
        <v>900000</v>
      </c>
      <c r="Y68" s="14">
        <v>540000</v>
      </c>
      <c r="Z68" s="14">
        <f t="shared" si="18"/>
        <v>1440000</v>
      </c>
      <c r="AA68" s="14"/>
      <c r="AB68" s="14">
        <v>0</v>
      </c>
      <c r="AC68" s="14">
        <v>8</v>
      </c>
      <c r="AD68" s="14">
        <v>1080000</v>
      </c>
      <c r="AE68" s="14">
        <v>1440000</v>
      </c>
      <c r="AF68" s="14">
        <v>630000</v>
      </c>
      <c r="AG68" s="14">
        <v>90000</v>
      </c>
      <c r="AH68" s="14">
        <v>0</v>
      </c>
      <c r="AI68" s="14">
        <v>90000</v>
      </c>
      <c r="AJ68" s="14">
        <v>180000</v>
      </c>
      <c r="AK68" s="14">
        <v>90000</v>
      </c>
      <c r="AL68" s="14">
        <v>0</v>
      </c>
      <c r="AM68" s="57">
        <f t="shared" si="19"/>
        <v>2520000</v>
      </c>
    </row>
    <row r="69" s="1" customFormat="1" ht="73" customHeight="1" spans="1:39">
      <c r="A69" s="5" t="s">
        <v>166</v>
      </c>
      <c r="B69" s="6" t="s">
        <v>167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69</v>
      </c>
      <c r="K69" s="9">
        <v>200</v>
      </c>
      <c r="L69" s="14">
        <v>2610000</v>
      </c>
      <c r="M69" s="6">
        <v>1890000</v>
      </c>
      <c r="N69" s="6">
        <v>1890000</v>
      </c>
      <c r="O69" s="15" t="s">
        <v>70</v>
      </c>
      <c r="P69" s="6">
        <v>210000</v>
      </c>
      <c r="Q69" s="14">
        <v>720000</v>
      </c>
      <c r="R69" s="14"/>
      <c r="S69" s="14">
        <v>1</v>
      </c>
      <c r="T69" s="14">
        <v>900000</v>
      </c>
      <c r="U69" s="14">
        <v>540000</v>
      </c>
      <c r="V69" s="14">
        <v>100000</v>
      </c>
      <c r="W69" s="14">
        <v>60000</v>
      </c>
      <c r="X69" s="14">
        <v>900000</v>
      </c>
      <c r="Y69" s="14">
        <v>540000</v>
      </c>
      <c r="Z69" s="14">
        <f t="shared" si="18"/>
        <v>1440000</v>
      </c>
      <c r="AA69" s="14"/>
      <c r="AB69" s="14">
        <v>0</v>
      </c>
      <c r="AC69" s="14">
        <v>9</v>
      </c>
      <c r="AD69" s="14">
        <v>1170000</v>
      </c>
      <c r="AE69" s="14">
        <v>1440000</v>
      </c>
      <c r="AF69" s="14">
        <v>630000</v>
      </c>
      <c r="AG69" s="14">
        <v>90000</v>
      </c>
      <c r="AH69" s="14">
        <v>90000</v>
      </c>
      <c r="AI69" s="14">
        <v>90000</v>
      </c>
      <c r="AJ69" s="14">
        <v>180000</v>
      </c>
      <c r="AK69" s="14">
        <v>90000</v>
      </c>
      <c r="AL69" s="14">
        <v>0</v>
      </c>
      <c r="AM69" s="57">
        <f t="shared" si="19"/>
        <v>2610000</v>
      </c>
    </row>
    <row r="70" s="1" customFormat="1" ht="52" customHeight="1" spans="1:39">
      <c r="A70" s="5"/>
      <c r="B70" s="47" t="s">
        <v>117</v>
      </c>
      <c r="C70" s="48"/>
      <c r="D70" s="48"/>
      <c r="E70" s="48"/>
      <c r="F70" s="49"/>
      <c r="G70" s="9"/>
      <c r="H70" s="9"/>
      <c r="I70" s="24"/>
      <c r="J70" s="6"/>
      <c r="K70" s="9"/>
      <c r="L70" s="14"/>
      <c r="M70" s="6"/>
      <c r="N70" s="6"/>
      <c r="O70" s="15"/>
      <c r="P70" s="6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</row>
    <row r="71" s="1" customFormat="1" ht="52" customHeight="1" spans="1:39">
      <c r="A71" s="5" t="s">
        <v>168</v>
      </c>
      <c r="B71" s="6" t="s">
        <v>144</v>
      </c>
      <c r="C71" s="26" t="s">
        <v>22</v>
      </c>
      <c r="D71" s="6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6" t="s">
        <v>128</v>
      </c>
      <c r="K71" s="9">
        <v>200</v>
      </c>
      <c r="L71" s="14">
        <v>250000</v>
      </c>
      <c r="M71" s="14">
        <v>250000</v>
      </c>
      <c r="N71" s="14">
        <v>250000</v>
      </c>
      <c r="O71" s="15" t="s">
        <v>70</v>
      </c>
      <c r="P71" s="6">
        <v>0</v>
      </c>
      <c r="Q71" s="14">
        <v>0</v>
      </c>
      <c r="R71" s="14" t="s">
        <v>95</v>
      </c>
      <c r="S71" s="14">
        <v>1</v>
      </c>
      <c r="T71" s="14">
        <v>100000</v>
      </c>
      <c r="U71" s="14">
        <v>100000</v>
      </c>
      <c r="V71" s="14">
        <v>0</v>
      </c>
      <c r="W71" s="14">
        <v>0</v>
      </c>
      <c r="X71" s="14">
        <v>100000</v>
      </c>
      <c r="Y71" s="14">
        <v>100000</v>
      </c>
      <c r="Z71" s="14">
        <f t="shared" ref="Z71:Z73" si="20">X71+Y71</f>
        <v>200000</v>
      </c>
      <c r="AA71" s="14"/>
      <c r="AB71" s="14">
        <v>0</v>
      </c>
      <c r="AC71" s="14">
        <v>1</v>
      </c>
      <c r="AD71" s="14">
        <v>50000</v>
      </c>
      <c r="AE71" s="14">
        <v>200000</v>
      </c>
      <c r="AF71" s="14">
        <v>0</v>
      </c>
      <c r="AG71" s="14">
        <v>0</v>
      </c>
      <c r="AH71" s="14">
        <v>0</v>
      </c>
      <c r="AI71" s="14">
        <v>0</v>
      </c>
      <c r="AJ71" s="14">
        <v>50000</v>
      </c>
      <c r="AK71" s="14">
        <v>0</v>
      </c>
      <c r="AL71" s="14">
        <v>0</v>
      </c>
      <c r="AM71" s="57">
        <f t="shared" ref="AM71:AM73" si="21">SUM(AE71:AL71)</f>
        <v>250000</v>
      </c>
    </row>
    <row r="72" s="1" customFormat="1" ht="52" customHeight="1" spans="1:39">
      <c r="A72" s="5" t="s">
        <v>169</v>
      </c>
      <c r="B72" s="6" t="s">
        <v>146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69</v>
      </c>
      <c r="K72" s="9">
        <v>200</v>
      </c>
      <c r="L72" s="14">
        <v>550000</v>
      </c>
      <c r="M72" s="6">
        <v>350000</v>
      </c>
      <c r="N72" s="6">
        <v>350000</v>
      </c>
      <c r="O72" s="15" t="s">
        <v>70</v>
      </c>
      <c r="P72" s="6">
        <v>0</v>
      </c>
      <c r="Q72" s="14">
        <v>200000</v>
      </c>
      <c r="R72" s="14" t="s">
        <v>95</v>
      </c>
      <c r="S72" s="14">
        <v>1</v>
      </c>
      <c r="T72" s="14">
        <v>100000</v>
      </c>
      <c r="U72" s="14">
        <v>100000</v>
      </c>
      <c r="V72" s="14">
        <v>0</v>
      </c>
      <c r="W72" s="14">
        <v>0</v>
      </c>
      <c r="X72" s="14">
        <v>100000</v>
      </c>
      <c r="Y72" s="14">
        <v>100000</v>
      </c>
      <c r="Z72" s="14">
        <f t="shared" si="20"/>
        <v>200000</v>
      </c>
      <c r="AA72" s="14"/>
      <c r="AB72" s="14">
        <v>0</v>
      </c>
      <c r="AC72" s="14">
        <v>3</v>
      </c>
      <c r="AD72" s="14">
        <v>350000</v>
      </c>
      <c r="AE72" s="14">
        <v>200000</v>
      </c>
      <c r="AF72" s="14">
        <v>300000</v>
      </c>
      <c r="AG72" s="14">
        <v>0</v>
      </c>
      <c r="AH72" s="14">
        <v>0</v>
      </c>
      <c r="AI72" s="14">
        <v>0</v>
      </c>
      <c r="AJ72" s="14">
        <v>50000</v>
      </c>
      <c r="AK72" s="14">
        <v>0</v>
      </c>
      <c r="AL72" s="14">
        <v>0</v>
      </c>
      <c r="AM72" s="57">
        <f t="shared" si="21"/>
        <v>550000</v>
      </c>
    </row>
    <row r="73" s="1" customFormat="1" ht="52" customHeight="1" spans="1:39">
      <c r="A73" s="5" t="s">
        <v>170</v>
      </c>
      <c r="B73" s="6" t="s">
        <v>148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69</v>
      </c>
      <c r="K73" s="9">
        <v>200</v>
      </c>
      <c r="L73" s="14">
        <v>650000</v>
      </c>
      <c r="M73" s="6">
        <v>350000</v>
      </c>
      <c r="N73" s="6">
        <v>350000</v>
      </c>
      <c r="O73" s="15" t="s">
        <v>70</v>
      </c>
      <c r="P73" s="6">
        <v>0</v>
      </c>
      <c r="Q73" s="14">
        <v>300000</v>
      </c>
      <c r="R73" s="14" t="s">
        <v>95</v>
      </c>
      <c r="S73" s="14">
        <v>1</v>
      </c>
      <c r="T73" s="14">
        <v>100000</v>
      </c>
      <c r="U73" s="14">
        <v>100000</v>
      </c>
      <c r="V73" s="14">
        <v>0</v>
      </c>
      <c r="W73" s="14">
        <v>0</v>
      </c>
      <c r="X73" s="14">
        <v>100000</v>
      </c>
      <c r="Y73" s="14">
        <v>100000</v>
      </c>
      <c r="Z73" s="14">
        <f t="shared" si="20"/>
        <v>200000</v>
      </c>
      <c r="AA73" s="14"/>
      <c r="AB73" s="14">
        <v>0</v>
      </c>
      <c r="AC73" s="14">
        <v>4</v>
      </c>
      <c r="AD73" s="14">
        <v>450000</v>
      </c>
      <c r="AE73" s="14">
        <v>200000</v>
      </c>
      <c r="AF73" s="14">
        <v>300000</v>
      </c>
      <c r="AG73" s="14">
        <v>0</v>
      </c>
      <c r="AH73" s="14">
        <v>0</v>
      </c>
      <c r="AI73" s="14">
        <v>100000</v>
      </c>
      <c r="AJ73" s="14">
        <v>50000</v>
      </c>
      <c r="AK73" s="14">
        <v>0</v>
      </c>
      <c r="AL73" s="14">
        <v>0</v>
      </c>
      <c r="AM73" s="57">
        <f t="shared" si="21"/>
        <v>650000</v>
      </c>
    </row>
    <row r="74" s="1" customFormat="1" ht="52" customHeight="1" spans="1:39">
      <c r="A74" s="5"/>
      <c r="B74" s="47" t="s">
        <v>121</v>
      </c>
      <c r="C74" s="48"/>
      <c r="D74" s="48"/>
      <c r="E74" s="48"/>
      <c r="F74" s="49"/>
      <c r="G74" s="9"/>
      <c r="H74" s="9"/>
      <c r="I74" s="24"/>
      <c r="J74" s="6"/>
      <c r="K74" s="9"/>
      <c r="L74" s="14"/>
      <c r="M74" s="6"/>
      <c r="N74" s="6"/>
      <c r="O74" s="15"/>
      <c r="P74" s="6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</row>
    <row r="75" s="1" customFormat="1" ht="52" customHeight="1" spans="1:39">
      <c r="A75" s="5" t="s">
        <v>171</v>
      </c>
      <c r="B75" s="6" t="s">
        <v>144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128</v>
      </c>
      <c r="K75" s="9">
        <v>200</v>
      </c>
      <c r="L75" s="14">
        <v>250000</v>
      </c>
      <c r="M75" s="14">
        <v>250000</v>
      </c>
      <c r="N75" s="14">
        <v>250000</v>
      </c>
      <c r="O75" s="15" t="s">
        <v>70</v>
      </c>
      <c r="P75" s="6">
        <v>0</v>
      </c>
      <c r="Q75" s="14">
        <v>0</v>
      </c>
      <c r="R75" s="14" t="s">
        <v>95</v>
      </c>
      <c r="S75" s="14">
        <v>1</v>
      </c>
      <c r="T75" s="14">
        <v>100000</v>
      </c>
      <c r="U75" s="14">
        <v>100000</v>
      </c>
      <c r="V75" s="14">
        <v>0</v>
      </c>
      <c r="W75" s="14">
        <v>0</v>
      </c>
      <c r="X75" s="14">
        <v>100000</v>
      </c>
      <c r="Y75" s="14">
        <v>100000</v>
      </c>
      <c r="Z75" s="14">
        <f t="shared" ref="Z75:Z77" si="22">X75+Y75</f>
        <v>200000</v>
      </c>
      <c r="AA75" s="14"/>
      <c r="AB75" s="14">
        <v>0</v>
      </c>
      <c r="AC75" s="14">
        <v>1</v>
      </c>
      <c r="AD75" s="14">
        <v>50000</v>
      </c>
      <c r="AE75" s="14">
        <v>200000</v>
      </c>
      <c r="AF75" s="14">
        <v>0</v>
      </c>
      <c r="AG75" s="14">
        <v>0</v>
      </c>
      <c r="AH75" s="14">
        <v>0</v>
      </c>
      <c r="AI75" s="14">
        <v>0</v>
      </c>
      <c r="AJ75" s="14">
        <v>50000</v>
      </c>
      <c r="AK75" s="14">
        <v>0</v>
      </c>
      <c r="AL75" s="14">
        <v>0</v>
      </c>
      <c r="AM75" s="57">
        <f t="shared" ref="AM75:AM77" si="23">SUM(AE75:AL75)</f>
        <v>250000</v>
      </c>
    </row>
    <row r="76" s="1" customFormat="1" ht="52" customHeight="1" spans="1:39">
      <c r="A76" s="5" t="s">
        <v>172</v>
      </c>
      <c r="B76" s="6" t="s">
        <v>146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69</v>
      </c>
      <c r="K76" s="9">
        <v>200</v>
      </c>
      <c r="L76" s="14">
        <v>550000</v>
      </c>
      <c r="M76" s="6">
        <v>350000</v>
      </c>
      <c r="N76" s="6">
        <v>350000</v>
      </c>
      <c r="O76" s="15" t="s">
        <v>70</v>
      </c>
      <c r="P76" s="6">
        <v>0</v>
      </c>
      <c r="Q76" s="14">
        <v>200000</v>
      </c>
      <c r="R76" s="14" t="s">
        <v>95</v>
      </c>
      <c r="S76" s="14">
        <v>1</v>
      </c>
      <c r="T76" s="14">
        <v>100000</v>
      </c>
      <c r="U76" s="14">
        <v>100000</v>
      </c>
      <c r="V76" s="14">
        <v>0</v>
      </c>
      <c r="W76" s="14">
        <v>0</v>
      </c>
      <c r="X76" s="14">
        <v>100000</v>
      </c>
      <c r="Y76" s="14">
        <v>100000</v>
      </c>
      <c r="Z76" s="14">
        <f t="shared" si="22"/>
        <v>200000</v>
      </c>
      <c r="AA76" s="14"/>
      <c r="AB76" s="14">
        <v>0</v>
      </c>
      <c r="AC76" s="14">
        <v>3</v>
      </c>
      <c r="AD76" s="14">
        <v>350000</v>
      </c>
      <c r="AE76" s="14">
        <v>200000</v>
      </c>
      <c r="AF76" s="14">
        <v>300000</v>
      </c>
      <c r="AG76" s="14">
        <v>0</v>
      </c>
      <c r="AH76" s="14">
        <v>0</v>
      </c>
      <c r="AI76" s="14">
        <v>0</v>
      </c>
      <c r="AJ76" s="14">
        <v>50000</v>
      </c>
      <c r="AK76" s="14">
        <v>0</v>
      </c>
      <c r="AL76" s="14">
        <v>0</v>
      </c>
      <c r="AM76" s="57">
        <f t="shared" si="23"/>
        <v>550000</v>
      </c>
    </row>
    <row r="77" s="1" customFormat="1" ht="52" customHeight="1" spans="1:39">
      <c r="A77" s="5" t="s">
        <v>173</v>
      </c>
      <c r="B77" s="6" t="s">
        <v>148</v>
      </c>
      <c r="C77" s="26" t="s">
        <v>22</v>
      </c>
      <c r="D77" s="6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6" t="s">
        <v>69</v>
      </c>
      <c r="K77" s="9">
        <v>200</v>
      </c>
      <c r="L77" s="14">
        <v>650000</v>
      </c>
      <c r="M77" s="6">
        <v>350000</v>
      </c>
      <c r="N77" s="6">
        <v>350000</v>
      </c>
      <c r="O77" s="15" t="s">
        <v>70</v>
      </c>
      <c r="P77" s="6">
        <v>0</v>
      </c>
      <c r="Q77" s="14">
        <v>300000</v>
      </c>
      <c r="R77" s="14" t="s">
        <v>95</v>
      </c>
      <c r="S77" s="14">
        <v>1</v>
      </c>
      <c r="T77" s="14">
        <v>100000</v>
      </c>
      <c r="U77" s="14">
        <v>100000</v>
      </c>
      <c r="V77" s="14">
        <v>0</v>
      </c>
      <c r="W77" s="14">
        <v>0</v>
      </c>
      <c r="X77" s="14">
        <v>100000</v>
      </c>
      <c r="Y77" s="14">
        <v>100000</v>
      </c>
      <c r="Z77" s="14">
        <f t="shared" si="22"/>
        <v>200000</v>
      </c>
      <c r="AA77" s="14"/>
      <c r="AB77" s="14">
        <v>0</v>
      </c>
      <c r="AC77" s="14">
        <v>4</v>
      </c>
      <c r="AD77" s="14">
        <v>450000</v>
      </c>
      <c r="AE77" s="14">
        <v>200000</v>
      </c>
      <c r="AF77" s="14">
        <v>300000</v>
      </c>
      <c r="AG77" s="14">
        <v>0</v>
      </c>
      <c r="AH77" s="14">
        <v>0</v>
      </c>
      <c r="AI77" s="14">
        <v>100000</v>
      </c>
      <c r="AJ77" s="14">
        <v>50000</v>
      </c>
      <c r="AK77" s="14">
        <v>0</v>
      </c>
      <c r="AL77" s="14">
        <v>0</v>
      </c>
      <c r="AM77" s="57">
        <f t="shared" si="23"/>
        <v>650000</v>
      </c>
    </row>
    <row r="78" s="1" customFormat="1" ht="52" customHeight="1" spans="1:39">
      <c r="A78" s="5"/>
      <c r="B78" s="6"/>
      <c r="C78" s="26"/>
      <c r="D78" s="6"/>
      <c r="E78" s="14"/>
      <c r="F78" s="14"/>
      <c r="G78" s="9"/>
      <c r="H78" s="9"/>
      <c r="I78" s="24"/>
      <c r="J78" s="6"/>
      <c r="K78" s="9"/>
      <c r="L78" s="14"/>
      <c r="M78" s="6"/>
      <c r="N78" s="6"/>
      <c r="O78" s="15"/>
      <c r="P78" s="6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</row>
    <row r="79" s="1" customFormat="1" ht="52" customHeight="1" spans="1:39">
      <c r="A79" s="5" t="s">
        <v>174</v>
      </c>
      <c r="B79" s="6" t="s">
        <v>175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69</v>
      </c>
      <c r="K79" s="9">
        <v>200</v>
      </c>
      <c r="L79" s="14">
        <v>2400000</v>
      </c>
      <c r="M79" s="6">
        <v>0</v>
      </c>
      <c r="N79" s="6">
        <v>0</v>
      </c>
      <c r="O79" s="15" t="s">
        <v>70</v>
      </c>
      <c r="P79" s="6">
        <v>0</v>
      </c>
      <c r="Q79" s="14">
        <v>2400000</v>
      </c>
      <c r="R79" s="14"/>
      <c r="S79" s="14">
        <v>1</v>
      </c>
      <c r="T79" s="14">
        <v>1000000</v>
      </c>
      <c r="U79" s="14">
        <v>600000</v>
      </c>
      <c r="V79" s="14">
        <v>0</v>
      </c>
      <c r="W79" s="14">
        <v>0</v>
      </c>
      <c r="X79" s="14">
        <v>1000000</v>
      </c>
      <c r="Y79" s="14">
        <v>600000</v>
      </c>
      <c r="Z79" s="14">
        <v>1600000</v>
      </c>
      <c r="AA79" s="14"/>
      <c r="AB79" s="14">
        <v>0</v>
      </c>
      <c r="AC79" s="14">
        <v>4</v>
      </c>
      <c r="AD79" s="14">
        <v>800000</v>
      </c>
      <c r="AE79" s="14">
        <v>1600000</v>
      </c>
      <c r="AF79" s="14">
        <v>600000</v>
      </c>
      <c r="AG79" s="14">
        <v>0</v>
      </c>
      <c r="AH79" s="14">
        <v>200000</v>
      </c>
      <c r="AI79" s="14">
        <v>0</v>
      </c>
      <c r="AJ79" s="14">
        <v>0</v>
      </c>
      <c r="AK79" s="14">
        <v>0</v>
      </c>
      <c r="AL79" s="14">
        <v>0</v>
      </c>
      <c r="AM79" s="14">
        <v>2400000</v>
      </c>
    </row>
    <row r="80" s="1" customFormat="1" ht="52" customHeight="1" spans="1:39">
      <c r="A80" s="5" t="s">
        <v>176</v>
      </c>
      <c r="B80" s="6" t="s">
        <v>177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69</v>
      </c>
      <c r="K80" s="9">
        <v>200</v>
      </c>
      <c r="L80" s="14">
        <v>2400000</v>
      </c>
      <c r="M80" s="6">
        <v>2000000</v>
      </c>
      <c r="N80" s="6">
        <v>2000000</v>
      </c>
      <c r="O80" s="15" t="s">
        <v>70</v>
      </c>
      <c r="P80" s="6">
        <v>0</v>
      </c>
      <c r="Q80" s="14">
        <v>400000</v>
      </c>
      <c r="R80" s="14"/>
      <c r="S80" s="14">
        <v>1</v>
      </c>
      <c r="T80" s="14">
        <v>1000000</v>
      </c>
      <c r="U80" s="14">
        <v>600000</v>
      </c>
      <c r="V80" s="14">
        <v>0</v>
      </c>
      <c r="W80" s="14">
        <v>0</v>
      </c>
      <c r="X80" s="14">
        <v>1000000</v>
      </c>
      <c r="Y80" s="14">
        <v>600000</v>
      </c>
      <c r="Z80" s="14">
        <v>1600000</v>
      </c>
      <c r="AA80" s="14"/>
      <c r="AB80" s="14">
        <v>0</v>
      </c>
      <c r="AC80" s="14">
        <v>4</v>
      </c>
      <c r="AD80" s="14">
        <v>800000</v>
      </c>
      <c r="AE80" s="14">
        <v>1600000</v>
      </c>
      <c r="AF80" s="14">
        <v>600000</v>
      </c>
      <c r="AG80" s="14">
        <v>0</v>
      </c>
      <c r="AH80" s="14">
        <v>200000</v>
      </c>
      <c r="AI80" s="14">
        <v>0</v>
      </c>
      <c r="AJ80" s="14">
        <v>0</v>
      </c>
      <c r="AK80" s="14">
        <v>0</v>
      </c>
      <c r="AL80" s="14">
        <v>0</v>
      </c>
      <c r="AM80" s="14">
        <v>2400000</v>
      </c>
    </row>
    <row r="81" s="1" customFormat="1" ht="52" customHeight="1" spans="1:39">
      <c r="A81" s="5" t="s">
        <v>178</v>
      </c>
      <c r="B81" s="6" t="s">
        <v>179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69</v>
      </c>
      <c r="K81" s="9">
        <v>200</v>
      </c>
      <c r="L81" s="14">
        <v>2100000</v>
      </c>
      <c r="M81" s="6">
        <v>0</v>
      </c>
      <c r="N81" s="6">
        <v>0</v>
      </c>
      <c r="O81" s="15" t="s">
        <v>70</v>
      </c>
      <c r="P81" s="6">
        <v>0</v>
      </c>
      <c r="Q81" s="14">
        <v>2100000</v>
      </c>
      <c r="R81" s="14"/>
      <c r="S81" s="14">
        <v>1</v>
      </c>
      <c r="T81" s="14">
        <v>1000000</v>
      </c>
      <c r="U81" s="14">
        <v>600000</v>
      </c>
      <c r="V81" s="14">
        <v>0</v>
      </c>
      <c r="W81" s="14">
        <v>0</v>
      </c>
      <c r="X81" s="14">
        <v>1000000</v>
      </c>
      <c r="Y81" s="14">
        <v>600000</v>
      </c>
      <c r="Z81" s="14">
        <v>1600000</v>
      </c>
      <c r="AA81" s="14"/>
      <c r="AB81" s="14">
        <v>0</v>
      </c>
      <c r="AC81" s="14">
        <v>2</v>
      </c>
      <c r="AD81" s="14">
        <v>500000</v>
      </c>
      <c r="AE81" s="14">
        <v>1600000</v>
      </c>
      <c r="AF81" s="14">
        <v>400000</v>
      </c>
      <c r="AG81" s="14">
        <v>0</v>
      </c>
      <c r="AH81" s="14">
        <v>100000</v>
      </c>
      <c r="AI81" s="14">
        <v>0</v>
      </c>
      <c r="AJ81" s="14">
        <v>0</v>
      </c>
      <c r="AK81" s="14">
        <v>0</v>
      </c>
      <c r="AL81" s="14">
        <v>0</v>
      </c>
      <c r="AM81" s="14">
        <v>2100000</v>
      </c>
    </row>
    <row r="82" s="1" customFormat="1" ht="52" customHeight="1" spans="1:39">
      <c r="A82" s="5" t="s">
        <v>180</v>
      </c>
      <c r="B82" s="6" t="s">
        <v>181</v>
      </c>
      <c r="C82" s="26" t="s">
        <v>22</v>
      </c>
      <c r="D82" s="6"/>
      <c r="E82" s="14" t="s">
        <v>23</v>
      </c>
      <c r="F82" s="14" t="s">
        <v>24</v>
      </c>
      <c r="G82" s="9" t="s">
        <v>25</v>
      </c>
      <c r="H82" s="9" t="s">
        <v>26</v>
      </c>
      <c r="I82" s="24" t="s">
        <v>27</v>
      </c>
      <c r="J82" s="6" t="s">
        <v>69</v>
      </c>
      <c r="K82" s="9">
        <v>200</v>
      </c>
      <c r="L82" s="14">
        <v>4200000</v>
      </c>
      <c r="M82" s="6">
        <v>0</v>
      </c>
      <c r="N82" s="6">
        <v>0</v>
      </c>
      <c r="O82" s="15" t="s">
        <v>70</v>
      </c>
      <c r="P82" s="6">
        <v>0</v>
      </c>
      <c r="Q82" s="14">
        <v>4200000</v>
      </c>
      <c r="R82" s="14"/>
      <c r="S82" s="14">
        <v>1</v>
      </c>
      <c r="T82" s="14">
        <v>1000000</v>
      </c>
      <c r="U82" s="14">
        <v>600000</v>
      </c>
      <c r="V82" s="14">
        <v>0</v>
      </c>
      <c r="W82" s="14">
        <v>0</v>
      </c>
      <c r="X82" s="14">
        <v>2000000</v>
      </c>
      <c r="Y82" s="14">
        <v>1200000</v>
      </c>
      <c r="Z82" s="14">
        <v>3200000</v>
      </c>
      <c r="AA82" s="14"/>
      <c r="AB82" s="14">
        <v>1</v>
      </c>
      <c r="AC82" s="14">
        <v>4</v>
      </c>
      <c r="AD82" s="14">
        <v>1000000</v>
      </c>
      <c r="AE82" s="14">
        <v>1600000</v>
      </c>
      <c r="AF82" s="14">
        <v>400000</v>
      </c>
      <c r="AG82" s="14">
        <v>0</v>
      </c>
      <c r="AH82" s="14">
        <v>100000</v>
      </c>
      <c r="AI82" s="14">
        <v>0</v>
      </c>
      <c r="AJ82" s="14">
        <v>0</v>
      </c>
      <c r="AK82" s="14">
        <v>0</v>
      </c>
      <c r="AL82" s="14">
        <v>0</v>
      </c>
      <c r="AM82" s="14">
        <v>2100000</v>
      </c>
    </row>
    <row r="83" s="1" customFormat="1" ht="52" customHeight="1" spans="1:39">
      <c r="A83" s="5" t="s">
        <v>182</v>
      </c>
      <c r="B83" s="6" t="s">
        <v>183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128</v>
      </c>
      <c r="K83" s="9">
        <v>200</v>
      </c>
      <c r="L83" s="6">
        <v>2000000</v>
      </c>
      <c r="M83" s="6">
        <v>2000000</v>
      </c>
      <c r="N83" s="6">
        <v>2000000</v>
      </c>
      <c r="O83" s="15" t="s">
        <v>70</v>
      </c>
      <c r="P83" s="6">
        <v>0</v>
      </c>
      <c r="Q83" s="14"/>
      <c r="R83" s="14" t="s">
        <v>95</v>
      </c>
      <c r="S83" s="14">
        <v>1</v>
      </c>
      <c r="T83" s="14">
        <v>1000000</v>
      </c>
      <c r="U83" s="14">
        <v>600000</v>
      </c>
      <c r="V83" s="14">
        <v>0</v>
      </c>
      <c r="W83" s="14">
        <v>0</v>
      </c>
      <c r="X83" s="14">
        <v>1000000</v>
      </c>
      <c r="Y83" s="14">
        <v>600000</v>
      </c>
      <c r="Z83" s="14">
        <v>1600000</v>
      </c>
      <c r="AA83" s="14"/>
      <c r="AB83" s="14">
        <v>0</v>
      </c>
      <c r="AC83" s="14">
        <v>1</v>
      </c>
      <c r="AD83" s="14">
        <v>400000</v>
      </c>
      <c r="AE83" s="14">
        <v>1600000</v>
      </c>
      <c r="AF83" s="14">
        <v>400000</v>
      </c>
      <c r="AG83" s="14">
        <v>0</v>
      </c>
      <c r="AH83" s="14">
        <v>0</v>
      </c>
      <c r="AI83" s="14">
        <v>0</v>
      </c>
      <c r="AJ83" s="14">
        <v>0</v>
      </c>
      <c r="AK83" s="14">
        <v>0</v>
      </c>
      <c r="AL83" s="14">
        <v>0</v>
      </c>
      <c r="AM83" s="14">
        <v>2000000</v>
      </c>
    </row>
    <row r="84" s="1" customFormat="1" ht="52" customHeight="1" spans="1:39">
      <c r="A84" s="5" t="s">
        <v>184</v>
      </c>
      <c r="B84" s="6" t="s">
        <v>185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69</v>
      </c>
      <c r="K84" s="9">
        <v>200</v>
      </c>
      <c r="L84" s="14">
        <v>1600000</v>
      </c>
      <c r="M84" s="6">
        <v>0</v>
      </c>
      <c r="N84" s="6">
        <v>0</v>
      </c>
      <c r="O84" s="15" t="s">
        <v>70</v>
      </c>
      <c r="P84" s="6">
        <v>0</v>
      </c>
      <c r="Q84" s="14">
        <v>1600000</v>
      </c>
      <c r="R84" s="14"/>
      <c r="S84" s="14">
        <v>1</v>
      </c>
      <c r="T84" s="14">
        <v>800000</v>
      </c>
      <c r="U84" s="14">
        <v>400000</v>
      </c>
      <c r="V84" s="14">
        <v>200000</v>
      </c>
      <c r="W84" s="14">
        <v>200000</v>
      </c>
      <c r="X84" s="14">
        <v>800000</v>
      </c>
      <c r="Y84" s="14">
        <v>400000</v>
      </c>
      <c r="Z84" s="14">
        <v>1200000</v>
      </c>
      <c r="AA84" s="14"/>
      <c r="AB84" s="14">
        <v>0</v>
      </c>
      <c r="AC84" s="14">
        <v>2</v>
      </c>
      <c r="AD84" s="14">
        <v>400000</v>
      </c>
      <c r="AE84" s="14">
        <v>1200000</v>
      </c>
      <c r="AF84" s="14">
        <v>400000</v>
      </c>
      <c r="AG84" s="14">
        <v>0</v>
      </c>
      <c r="AH84" s="14">
        <v>0</v>
      </c>
      <c r="AI84" s="14">
        <v>0</v>
      </c>
      <c r="AJ84" s="14">
        <v>0</v>
      </c>
      <c r="AK84" s="14">
        <v>0</v>
      </c>
      <c r="AL84" s="14">
        <v>0</v>
      </c>
      <c r="AM84" s="14">
        <v>1600000</v>
      </c>
    </row>
    <row r="85" s="1" customFormat="1" ht="52" customHeight="1" spans="1:39">
      <c r="A85" s="5" t="s">
        <v>186</v>
      </c>
      <c r="B85" s="6" t="s">
        <v>185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69</v>
      </c>
      <c r="K85" s="9">
        <v>200</v>
      </c>
      <c r="L85" s="14">
        <v>1200000</v>
      </c>
      <c r="M85" s="6">
        <v>0</v>
      </c>
      <c r="N85" s="6">
        <v>0</v>
      </c>
      <c r="O85" s="15" t="s">
        <v>70</v>
      </c>
      <c r="P85" s="6">
        <v>0</v>
      </c>
      <c r="Q85" s="14">
        <v>1200000</v>
      </c>
      <c r="R85" s="14"/>
      <c r="S85" s="14">
        <v>1</v>
      </c>
      <c r="T85" s="14">
        <v>800000</v>
      </c>
      <c r="U85" s="14">
        <v>400000</v>
      </c>
      <c r="V85" s="14">
        <v>200000</v>
      </c>
      <c r="W85" s="14">
        <v>200000</v>
      </c>
      <c r="X85" s="14">
        <v>800000</v>
      </c>
      <c r="Y85" s="14">
        <v>400000</v>
      </c>
      <c r="Z85" s="14">
        <v>1200000</v>
      </c>
      <c r="AA85" s="14"/>
      <c r="AB85" s="14">
        <v>0</v>
      </c>
      <c r="AC85" s="14">
        <v>2</v>
      </c>
      <c r="AD85" s="14">
        <v>800000</v>
      </c>
      <c r="AE85" s="14">
        <v>1200000</v>
      </c>
      <c r="AF85" s="14">
        <v>0</v>
      </c>
      <c r="AG85" s="14">
        <v>0</v>
      </c>
      <c r="AH85" s="14">
        <v>0</v>
      </c>
      <c r="AI85" s="14">
        <v>0</v>
      </c>
      <c r="AJ85" s="14">
        <v>0</v>
      </c>
      <c r="AK85" s="14">
        <v>0</v>
      </c>
      <c r="AL85" s="14">
        <v>0</v>
      </c>
      <c r="AM85" s="14">
        <v>1200000</v>
      </c>
    </row>
    <row r="88" customHeight="1" spans="12:12">
      <c r="L88" s="36"/>
    </row>
  </sheetData>
  <mergeCells count="14">
    <mergeCell ref="B2:D2"/>
    <mergeCell ref="B11:D11"/>
    <mergeCell ref="B15:F15"/>
    <mergeCell ref="B19:F19"/>
    <mergeCell ref="B23:F23"/>
    <mergeCell ref="B32:F32"/>
    <mergeCell ref="B36:F36"/>
    <mergeCell ref="B40:D40"/>
    <mergeCell ref="B49:D49"/>
    <mergeCell ref="B53:F53"/>
    <mergeCell ref="B57:F57"/>
    <mergeCell ref="B61:F61"/>
    <mergeCell ref="B70:F70"/>
    <mergeCell ref="B74:F7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174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176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178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187</v>
      </c>
      <c r="B5" s="6" t="s">
        <v>179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128</v>
      </c>
      <c r="K5" s="9">
        <v>200</v>
      </c>
      <c r="L5" s="14">
        <v>0</v>
      </c>
      <c r="M5" s="6">
        <v>0</v>
      </c>
      <c r="N5" s="6">
        <v>0</v>
      </c>
      <c r="O5" s="15" t="s">
        <v>70</v>
      </c>
      <c r="P5" s="6">
        <v>0</v>
      </c>
      <c r="Q5" s="14">
        <v>0</v>
      </c>
      <c r="R5" s="14" t="s">
        <v>95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182</v>
      </c>
      <c r="B6" s="6" t="s">
        <v>183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128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>
        <v>0</v>
      </c>
      <c r="R6" s="14" t="s">
        <v>95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174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176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178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182</v>
      </c>
      <c r="B5" s="6" t="s">
        <v>183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128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95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174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176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178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182</v>
      </c>
      <c r="B5" s="6" t="s">
        <v>183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128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95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55</v>
      </c>
      <c r="W1" s="34" t="s">
        <v>19</v>
      </c>
    </row>
    <row r="2" s="1" customFormat="1" customHeight="1" spans="1:23">
      <c r="A2" s="5" t="s">
        <v>189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70</v>
      </c>
      <c r="J2" s="6" t="s">
        <v>190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191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70</v>
      </c>
      <c r="J3" s="6" t="s">
        <v>190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192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70</v>
      </c>
      <c r="J4" s="6" t="s">
        <v>190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180</v>
      </c>
      <c r="B5" s="6" t="s">
        <v>181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70</v>
      </c>
      <c r="J5" s="6" t="s">
        <v>190</v>
      </c>
      <c r="K5" s="9">
        <v>200</v>
      </c>
      <c r="L5" s="6">
        <v>0</v>
      </c>
      <c r="M5" s="15" t="s">
        <v>70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193</v>
      </c>
      <c r="B6" s="6" t="s">
        <v>183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70</v>
      </c>
      <c r="J6" s="6" t="s">
        <v>194</v>
      </c>
      <c r="K6" s="9">
        <v>200</v>
      </c>
      <c r="L6" s="6">
        <v>2000000</v>
      </c>
      <c r="M6" s="15" t="s">
        <v>70</v>
      </c>
      <c r="N6" s="6">
        <v>0</v>
      </c>
      <c r="O6" s="14"/>
      <c r="P6" s="14" t="s">
        <v>95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189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70</v>
      </c>
      <c r="J2" s="6" t="s">
        <v>190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191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70</v>
      </c>
      <c r="J3" s="6" t="s">
        <v>190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192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70</v>
      </c>
      <c r="J4" s="6" t="s">
        <v>190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187</v>
      </c>
      <c r="B5" s="6" t="s">
        <v>179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70</v>
      </c>
      <c r="J5" s="6" t="s">
        <v>194</v>
      </c>
      <c r="K5" s="9">
        <v>200</v>
      </c>
      <c r="L5" s="6">
        <v>0</v>
      </c>
      <c r="M5" s="15" t="s">
        <v>70</v>
      </c>
      <c r="N5" s="6">
        <v>0</v>
      </c>
      <c r="O5" s="14">
        <v>0</v>
      </c>
      <c r="P5" s="14" t="s">
        <v>95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193</v>
      </c>
      <c r="B6" s="6" t="s">
        <v>183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70</v>
      </c>
      <c r="J6" s="6" t="s">
        <v>194</v>
      </c>
      <c r="K6" s="9">
        <v>200</v>
      </c>
      <c r="L6" s="6">
        <v>2000000</v>
      </c>
      <c r="M6" s="15" t="s">
        <v>70</v>
      </c>
      <c r="N6" s="6">
        <v>0</v>
      </c>
      <c r="O6" s="14">
        <v>0</v>
      </c>
      <c r="P6" s="14" t="s">
        <v>95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189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70</v>
      </c>
      <c r="J2" s="6" t="s">
        <v>190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191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70</v>
      </c>
      <c r="J3" s="6" t="s">
        <v>190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192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70</v>
      </c>
      <c r="J4" s="6" t="s">
        <v>190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193</v>
      </c>
      <c r="B5" s="6" t="s">
        <v>183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70</v>
      </c>
      <c r="J5" s="6" t="s">
        <v>194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95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188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189</v>
      </c>
      <c r="B2" s="6" t="s">
        <v>175</v>
      </c>
      <c r="C2" s="26" t="s">
        <v>22</v>
      </c>
      <c r="D2" s="6"/>
      <c r="E2" s="14" t="s">
        <v>23</v>
      </c>
      <c r="F2" s="14" t="s">
        <v>24</v>
      </c>
      <c r="G2" s="9" t="s">
        <v>195</v>
      </c>
      <c r="H2" s="9" t="s">
        <v>26</v>
      </c>
      <c r="I2" s="24" t="s">
        <v>70</v>
      </c>
      <c r="J2" s="6" t="s">
        <v>190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191</v>
      </c>
      <c r="B3" s="6" t="s">
        <v>177</v>
      </c>
      <c r="C3" s="26" t="s">
        <v>22</v>
      </c>
      <c r="D3" s="6"/>
      <c r="E3" s="14" t="s">
        <v>23</v>
      </c>
      <c r="F3" s="14" t="s">
        <v>24</v>
      </c>
      <c r="G3" s="9" t="s">
        <v>195</v>
      </c>
      <c r="H3" s="9" t="s">
        <v>26</v>
      </c>
      <c r="I3" s="24" t="s">
        <v>70</v>
      </c>
      <c r="J3" s="6" t="s">
        <v>190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192</v>
      </c>
      <c r="B4" s="6" t="s">
        <v>179</v>
      </c>
      <c r="C4" s="26" t="s">
        <v>22</v>
      </c>
      <c r="D4" s="6"/>
      <c r="E4" s="14" t="s">
        <v>23</v>
      </c>
      <c r="F4" s="14" t="s">
        <v>24</v>
      </c>
      <c r="G4" s="9" t="s">
        <v>195</v>
      </c>
      <c r="H4" s="9" t="s">
        <v>26</v>
      </c>
      <c r="I4" s="24" t="s">
        <v>70</v>
      </c>
      <c r="J4" s="6" t="s">
        <v>190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193</v>
      </c>
      <c r="B5" s="6" t="s">
        <v>183</v>
      </c>
      <c r="C5" s="26" t="s">
        <v>22</v>
      </c>
      <c r="D5" s="6"/>
      <c r="E5" s="14" t="s">
        <v>23</v>
      </c>
      <c r="F5" s="14" t="s">
        <v>24</v>
      </c>
      <c r="G5" s="9" t="s">
        <v>195</v>
      </c>
      <c r="H5" s="9" t="s">
        <v>26</v>
      </c>
      <c r="I5" s="24" t="s">
        <v>70</v>
      </c>
      <c r="J5" s="6" t="s">
        <v>194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95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196</v>
      </c>
      <c r="F1" s="4" t="s">
        <v>197</v>
      </c>
      <c r="G1" s="4" t="s">
        <v>198</v>
      </c>
      <c r="H1" s="4" t="s">
        <v>199</v>
      </c>
      <c r="I1" s="4" t="s">
        <v>200</v>
      </c>
      <c r="J1" s="4" t="s">
        <v>201</v>
      </c>
      <c r="K1" s="4" t="s">
        <v>202</v>
      </c>
      <c r="L1" s="27" t="s">
        <v>9</v>
      </c>
      <c r="M1" s="11" t="s">
        <v>10</v>
      </c>
      <c r="N1" s="11" t="s">
        <v>203</v>
      </c>
    </row>
    <row r="2" s="29" customFormat="1" ht="166" customHeight="1" spans="1:14">
      <c r="A2" s="6" t="s">
        <v>204</v>
      </c>
      <c r="B2" s="6" t="s">
        <v>205</v>
      </c>
      <c r="C2" s="30" t="s">
        <v>22</v>
      </c>
      <c r="D2" s="6" t="s">
        <v>206</v>
      </c>
      <c r="E2" s="14" t="s">
        <v>207</v>
      </c>
      <c r="F2" s="14" t="s">
        <v>208</v>
      </c>
      <c r="G2" s="14" t="s">
        <v>209</v>
      </c>
      <c r="H2" s="14"/>
      <c r="I2" s="14"/>
      <c r="J2" s="14"/>
      <c r="K2" s="14"/>
      <c r="L2" s="6" t="s">
        <v>210</v>
      </c>
      <c r="M2" s="14">
        <v>200</v>
      </c>
      <c r="N2" s="14">
        <v>1</v>
      </c>
    </row>
    <row r="3" s="29" customFormat="1" ht="166" customHeight="1" spans="1:14">
      <c r="A3" s="6" t="s">
        <v>211</v>
      </c>
      <c r="B3" s="6" t="s">
        <v>212</v>
      </c>
      <c r="C3" s="30" t="s">
        <v>22</v>
      </c>
      <c r="D3" s="6" t="s">
        <v>213</v>
      </c>
      <c r="E3" s="14" t="s">
        <v>207</v>
      </c>
      <c r="F3" s="14" t="s">
        <v>208</v>
      </c>
      <c r="G3" s="14" t="s">
        <v>209</v>
      </c>
      <c r="H3" s="14" t="s">
        <v>214</v>
      </c>
      <c r="I3" s="14" t="s">
        <v>209</v>
      </c>
      <c r="J3" s="14"/>
      <c r="K3" s="14"/>
      <c r="L3" s="6" t="s">
        <v>210</v>
      </c>
      <c r="M3" s="14">
        <v>200</v>
      </c>
      <c r="N3" s="14">
        <v>2</v>
      </c>
    </row>
    <row r="4" s="29" customFormat="1" ht="166" customHeight="1" spans="1:14">
      <c r="A4" s="6" t="s">
        <v>215</v>
      </c>
      <c r="B4" s="6" t="s">
        <v>216</v>
      </c>
      <c r="C4" s="30" t="s">
        <v>22</v>
      </c>
      <c r="D4" s="6" t="s">
        <v>217</v>
      </c>
      <c r="E4" s="14" t="s">
        <v>207</v>
      </c>
      <c r="F4" s="14" t="s">
        <v>208</v>
      </c>
      <c r="G4" s="14" t="s">
        <v>209</v>
      </c>
      <c r="H4" s="14" t="s">
        <v>214</v>
      </c>
      <c r="I4" s="14" t="s">
        <v>209</v>
      </c>
      <c r="J4" s="14" t="s">
        <v>218</v>
      </c>
      <c r="K4" s="14" t="s">
        <v>209</v>
      </c>
      <c r="L4" s="6" t="s">
        <v>210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219</v>
      </c>
      <c r="F1" s="4" t="s">
        <v>220</v>
      </c>
      <c r="G1" s="4" t="s">
        <v>221</v>
      </c>
      <c r="H1" s="4" t="s">
        <v>222</v>
      </c>
      <c r="I1" s="4" t="s">
        <v>223</v>
      </c>
      <c r="J1" s="4" t="s">
        <v>224</v>
      </c>
      <c r="K1" s="4" t="s">
        <v>225</v>
      </c>
      <c r="L1" s="4" t="s">
        <v>196</v>
      </c>
      <c r="M1" s="4" t="s">
        <v>226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227</v>
      </c>
      <c r="S1" s="11" t="s">
        <v>228</v>
      </c>
    </row>
    <row r="2" s="1" customFormat="1" customHeight="1" spans="1:19">
      <c r="A2" s="5" t="s">
        <v>229</v>
      </c>
      <c r="B2" s="6" t="s">
        <v>230</v>
      </c>
      <c r="C2" s="26" t="s">
        <v>22</v>
      </c>
      <c r="D2" s="6" t="s">
        <v>231</v>
      </c>
      <c r="E2" s="14" t="s">
        <v>23</v>
      </c>
      <c r="F2" s="14" t="s">
        <v>24</v>
      </c>
      <c r="G2" s="9" t="s">
        <v>232</v>
      </c>
      <c r="H2" s="17" t="s">
        <v>26</v>
      </c>
      <c r="I2" s="9" t="s">
        <v>233</v>
      </c>
      <c r="J2" s="9" t="s">
        <v>234</v>
      </c>
      <c r="K2" s="9" t="s">
        <v>235</v>
      </c>
      <c r="L2" s="14" t="s">
        <v>207</v>
      </c>
      <c r="M2" s="28" t="s">
        <v>236</v>
      </c>
      <c r="N2" s="6" t="s">
        <v>237</v>
      </c>
      <c r="O2" s="9">
        <v>200</v>
      </c>
      <c r="P2" s="24" t="s">
        <v>70</v>
      </c>
      <c r="Q2" s="24" t="s">
        <v>70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238</v>
      </c>
      <c r="F1" s="22" t="s">
        <v>219</v>
      </c>
      <c r="G1" s="22" t="s">
        <v>220</v>
      </c>
      <c r="H1" s="22" t="s">
        <v>239</v>
      </c>
      <c r="I1" s="22" t="s">
        <v>240</v>
      </c>
      <c r="J1" s="22" t="s">
        <v>224</v>
      </c>
      <c r="K1" s="22" t="s">
        <v>223</v>
      </c>
      <c r="L1" s="22" t="s">
        <v>225</v>
      </c>
      <c r="M1" s="22" t="s">
        <v>241</v>
      </c>
      <c r="N1" s="22" t="s">
        <v>242</v>
      </c>
      <c r="O1" s="22" t="s">
        <v>243</v>
      </c>
      <c r="P1" s="23" t="s">
        <v>244</v>
      </c>
      <c r="Q1" s="22" t="s">
        <v>245</v>
      </c>
      <c r="R1" s="23" t="s">
        <v>246</v>
      </c>
      <c r="S1" s="19" t="s">
        <v>247</v>
      </c>
      <c r="T1" s="19" t="s">
        <v>248</v>
      </c>
      <c r="U1" s="19" t="s">
        <v>249</v>
      </c>
      <c r="V1" s="19" t="s">
        <v>250</v>
      </c>
      <c r="W1" s="19" t="s">
        <v>251</v>
      </c>
      <c r="X1" s="25" t="s">
        <v>252</v>
      </c>
      <c r="Y1" s="19" t="s">
        <v>253</v>
      </c>
      <c r="Z1" s="19" t="s">
        <v>254</v>
      </c>
      <c r="AA1" s="25" t="s">
        <v>255</v>
      </c>
      <c r="AB1" s="23" t="s">
        <v>256</v>
      </c>
      <c r="AC1" s="10" t="s">
        <v>9</v>
      </c>
      <c r="AD1" s="11" t="s">
        <v>10</v>
      </c>
      <c r="AE1" s="12" t="s">
        <v>41</v>
      </c>
      <c r="AF1" s="11" t="s">
        <v>227</v>
      </c>
    </row>
    <row r="2" s="1" customFormat="1" ht="69" customHeight="1" spans="1:32">
      <c r="A2" s="5" t="s">
        <v>257</v>
      </c>
      <c r="B2" s="6" t="s">
        <v>258</v>
      </c>
      <c r="C2" s="7" t="s">
        <v>22</v>
      </c>
      <c r="D2" s="8" t="s">
        <v>259</v>
      </c>
      <c r="E2" s="9" t="s">
        <v>260</v>
      </c>
      <c r="F2" s="5" t="s">
        <v>23</v>
      </c>
      <c r="G2" s="5" t="s">
        <v>24</v>
      </c>
      <c r="H2" s="9" t="s">
        <v>207</v>
      </c>
      <c r="I2" s="5" t="s">
        <v>261</v>
      </c>
      <c r="J2" s="5" t="s">
        <v>234</v>
      </c>
      <c r="K2" s="5" t="s">
        <v>233</v>
      </c>
      <c r="L2" s="5" t="s">
        <v>235</v>
      </c>
      <c r="M2" s="5" t="s">
        <v>262</v>
      </c>
      <c r="N2" s="5" t="s">
        <v>263</v>
      </c>
      <c r="O2" s="5" t="s">
        <v>264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265</v>
      </c>
      <c r="Y2" s="9">
        <v>0</v>
      </c>
      <c r="Z2" s="9">
        <v>0</v>
      </c>
      <c r="AA2" s="24" t="s">
        <v>70</v>
      </c>
      <c r="AB2" s="24" t="s">
        <v>70</v>
      </c>
      <c r="AC2" s="8" t="s">
        <v>266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267</v>
      </c>
      <c r="B3" s="6" t="s">
        <v>268</v>
      </c>
      <c r="C3" s="7" t="s">
        <v>22</v>
      </c>
      <c r="D3" s="8" t="s">
        <v>259</v>
      </c>
      <c r="E3" s="9" t="s">
        <v>260</v>
      </c>
      <c r="F3" s="5" t="s">
        <v>23</v>
      </c>
      <c r="G3" s="5" t="s">
        <v>24</v>
      </c>
      <c r="H3" s="9" t="s">
        <v>207</v>
      </c>
      <c r="I3" s="5" t="s">
        <v>261</v>
      </c>
      <c r="J3" s="5" t="s">
        <v>234</v>
      </c>
      <c r="K3" s="5" t="s">
        <v>233</v>
      </c>
      <c r="L3" s="5" t="s">
        <v>235</v>
      </c>
      <c r="M3" s="5" t="s">
        <v>262</v>
      </c>
      <c r="N3" s="5" t="s">
        <v>263</v>
      </c>
      <c r="O3" s="5" t="s">
        <v>264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265</v>
      </c>
      <c r="Y3" s="9">
        <v>0</v>
      </c>
      <c r="Z3" s="9">
        <v>0</v>
      </c>
      <c r="AA3" s="24" t="s">
        <v>70</v>
      </c>
      <c r="AB3" s="24" t="s">
        <v>70</v>
      </c>
      <c r="AC3" s="8" t="s">
        <v>266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269</v>
      </c>
      <c r="B4" s="6" t="s">
        <v>270</v>
      </c>
      <c r="C4" s="7" t="s">
        <v>22</v>
      </c>
      <c r="D4" s="8" t="s">
        <v>259</v>
      </c>
      <c r="E4" s="9" t="s">
        <v>260</v>
      </c>
      <c r="F4" s="5" t="s">
        <v>23</v>
      </c>
      <c r="G4" s="5" t="s">
        <v>24</v>
      </c>
      <c r="H4" s="9" t="s">
        <v>207</v>
      </c>
      <c r="I4" s="5" t="s">
        <v>261</v>
      </c>
      <c r="J4" s="5" t="s">
        <v>234</v>
      </c>
      <c r="K4" s="5" t="s">
        <v>233</v>
      </c>
      <c r="L4" s="5" t="s">
        <v>235</v>
      </c>
      <c r="M4" s="5" t="s">
        <v>262</v>
      </c>
      <c r="N4" s="5" t="s">
        <v>263</v>
      </c>
      <c r="O4" s="5" t="s">
        <v>264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265</v>
      </c>
      <c r="Y4" s="9">
        <v>0</v>
      </c>
      <c r="Z4" s="9">
        <v>0</v>
      </c>
      <c r="AA4" s="24" t="s">
        <v>70</v>
      </c>
      <c r="AB4" s="24" t="s">
        <v>70</v>
      </c>
      <c r="AC4" s="8" t="s">
        <v>266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271</v>
      </c>
      <c r="B5" s="6" t="s">
        <v>272</v>
      </c>
      <c r="C5" s="7" t="s">
        <v>22</v>
      </c>
      <c r="D5" s="8" t="s">
        <v>259</v>
      </c>
      <c r="E5" s="9" t="s">
        <v>260</v>
      </c>
      <c r="F5" s="5" t="s">
        <v>23</v>
      </c>
      <c r="G5" s="5" t="s">
        <v>24</v>
      </c>
      <c r="H5" s="9" t="s">
        <v>207</v>
      </c>
      <c r="I5" s="5" t="s">
        <v>261</v>
      </c>
      <c r="J5" s="5" t="s">
        <v>234</v>
      </c>
      <c r="K5" s="5" t="s">
        <v>233</v>
      </c>
      <c r="L5" s="5" t="s">
        <v>235</v>
      </c>
      <c r="M5" s="5" t="s">
        <v>262</v>
      </c>
      <c r="N5" s="5" t="s">
        <v>263</v>
      </c>
      <c r="O5" s="5" t="s">
        <v>264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265</v>
      </c>
      <c r="Y5" s="9">
        <v>0</v>
      </c>
      <c r="Z5" s="9">
        <v>0</v>
      </c>
      <c r="AA5" s="24" t="s">
        <v>70</v>
      </c>
      <c r="AB5" s="24" t="s">
        <v>70</v>
      </c>
      <c r="AC5" s="8" t="s">
        <v>266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273</v>
      </c>
      <c r="B6" s="6" t="s">
        <v>274</v>
      </c>
      <c r="C6" s="7" t="s">
        <v>22</v>
      </c>
      <c r="D6" s="8" t="s">
        <v>259</v>
      </c>
      <c r="E6" s="9" t="s">
        <v>260</v>
      </c>
      <c r="F6" s="5" t="s">
        <v>23</v>
      </c>
      <c r="G6" s="5" t="s">
        <v>24</v>
      </c>
      <c r="H6" s="9" t="s">
        <v>207</v>
      </c>
      <c r="I6" s="5" t="s">
        <v>261</v>
      </c>
      <c r="J6" s="5" t="s">
        <v>234</v>
      </c>
      <c r="K6" s="5" t="s">
        <v>233</v>
      </c>
      <c r="L6" s="5" t="s">
        <v>235</v>
      </c>
      <c r="M6" s="5" t="s">
        <v>262</v>
      </c>
      <c r="N6" s="5" t="s">
        <v>263</v>
      </c>
      <c r="O6" s="5" t="s">
        <v>264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265</v>
      </c>
      <c r="Y6" s="9">
        <v>0</v>
      </c>
      <c r="Z6" s="9">
        <v>0</v>
      </c>
      <c r="AA6" s="24" t="s">
        <v>70</v>
      </c>
      <c r="AB6" s="24" t="s">
        <v>70</v>
      </c>
      <c r="AC6" s="8" t="s">
        <v>266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238</v>
      </c>
      <c r="F1" s="22" t="s">
        <v>219</v>
      </c>
      <c r="G1" s="22" t="s">
        <v>220</v>
      </c>
      <c r="H1" s="22" t="s">
        <v>239</v>
      </c>
      <c r="I1" s="22" t="s">
        <v>240</v>
      </c>
      <c r="J1" s="22" t="s">
        <v>224</v>
      </c>
      <c r="K1" s="22" t="s">
        <v>223</v>
      </c>
      <c r="L1" s="22" t="s">
        <v>225</v>
      </c>
      <c r="M1" s="22" t="s">
        <v>241</v>
      </c>
      <c r="N1" s="22" t="s">
        <v>242</v>
      </c>
      <c r="O1" s="22" t="s">
        <v>243</v>
      </c>
      <c r="P1" s="23" t="s">
        <v>244</v>
      </c>
      <c r="Q1" s="22" t="s">
        <v>245</v>
      </c>
      <c r="R1" s="23" t="s">
        <v>246</v>
      </c>
      <c r="S1" s="19" t="s">
        <v>247</v>
      </c>
      <c r="T1" s="19" t="s">
        <v>248</v>
      </c>
      <c r="U1" s="19" t="s">
        <v>249</v>
      </c>
      <c r="V1" s="19" t="s">
        <v>250</v>
      </c>
      <c r="W1" s="19" t="s">
        <v>251</v>
      </c>
      <c r="X1" s="25" t="s">
        <v>252</v>
      </c>
      <c r="Y1" s="19" t="s">
        <v>253</v>
      </c>
      <c r="Z1" s="19" t="s">
        <v>254</v>
      </c>
      <c r="AA1" s="25" t="s">
        <v>255</v>
      </c>
      <c r="AB1" s="23" t="s">
        <v>256</v>
      </c>
      <c r="AC1" s="10" t="s">
        <v>9</v>
      </c>
      <c r="AD1" s="11" t="s">
        <v>10</v>
      </c>
      <c r="AE1" s="12" t="s">
        <v>41</v>
      </c>
      <c r="AF1" s="11" t="s">
        <v>227</v>
      </c>
    </row>
    <row r="2" s="1" customFormat="1" ht="69" customHeight="1" spans="1:32">
      <c r="A2" s="5" t="s">
        <v>275</v>
      </c>
      <c r="B2" s="6" t="s">
        <v>258</v>
      </c>
      <c r="C2" s="7" t="s">
        <v>22</v>
      </c>
      <c r="D2" s="8" t="s">
        <v>259</v>
      </c>
      <c r="E2" s="9" t="s">
        <v>260</v>
      </c>
      <c r="F2" s="5" t="s">
        <v>23</v>
      </c>
      <c r="G2" s="5" t="s">
        <v>24</v>
      </c>
      <c r="H2" s="9" t="s">
        <v>208</v>
      </c>
      <c r="I2" s="5" t="s">
        <v>276</v>
      </c>
      <c r="J2" s="5" t="s">
        <v>277</v>
      </c>
      <c r="K2" s="5" t="s">
        <v>278</v>
      </c>
      <c r="L2" s="5" t="s">
        <v>279</v>
      </c>
      <c r="M2" s="5" t="s">
        <v>280</v>
      </c>
      <c r="N2" s="5" t="s">
        <v>281</v>
      </c>
      <c r="O2" s="5" t="s">
        <v>282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265</v>
      </c>
      <c r="Y2" s="9">
        <v>0</v>
      </c>
      <c r="Z2" s="9">
        <v>0</v>
      </c>
      <c r="AA2" s="24" t="s">
        <v>70</v>
      </c>
      <c r="AB2" s="24" t="s">
        <v>70</v>
      </c>
      <c r="AC2" s="8" t="s">
        <v>266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283</v>
      </c>
      <c r="B3" s="6" t="s">
        <v>268</v>
      </c>
      <c r="C3" s="7" t="s">
        <v>22</v>
      </c>
      <c r="D3" s="8" t="s">
        <v>259</v>
      </c>
      <c r="E3" s="9" t="s">
        <v>260</v>
      </c>
      <c r="F3" s="5" t="s">
        <v>23</v>
      </c>
      <c r="G3" s="5" t="s">
        <v>24</v>
      </c>
      <c r="H3" s="9" t="s">
        <v>208</v>
      </c>
      <c r="I3" s="5" t="s">
        <v>276</v>
      </c>
      <c r="J3" s="5" t="s">
        <v>277</v>
      </c>
      <c r="K3" s="5" t="s">
        <v>278</v>
      </c>
      <c r="L3" s="5" t="s">
        <v>279</v>
      </c>
      <c r="M3" s="5" t="s">
        <v>280</v>
      </c>
      <c r="N3" s="5" t="s">
        <v>281</v>
      </c>
      <c r="O3" s="5" t="s">
        <v>282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265</v>
      </c>
      <c r="Y3" s="9">
        <v>0</v>
      </c>
      <c r="Z3" s="9">
        <v>0</v>
      </c>
      <c r="AA3" s="24" t="s">
        <v>70</v>
      </c>
      <c r="AB3" s="24" t="s">
        <v>70</v>
      </c>
      <c r="AC3" s="8" t="s">
        <v>266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284</v>
      </c>
      <c r="B4" s="6" t="s">
        <v>270</v>
      </c>
      <c r="C4" s="7" t="s">
        <v>22</v>
      </c>
      <c r="D4" s="8" t="s">
        <v>259</v>
      </c>
      <c r="E4" s="9" t="s">
        <v>260</v>
      </c>
      <c r="F4" s="5" t="s">
        <v>23</v>
      </c>
      <c r="G4" s="5" t="s">
        <v>24</v>
      </c>
      <c r="H4" s="9" t="s">
        <v>208</v>
      </c>
      <c r="I4" s="5" t="s">
        <v>276</v>
      </c>
      <c r="J4" s="5" t="s">
        <v>277</v>
      </c>
      <c r="K4" s="5" t="s">
        <v>278</v>
      </c>
      <c r="L4" s="5" t="s">
        <v>279</v>
      </c>
      <c r="M4" s="5" t="s">
        <v>280</v>
      </c>
      <c r="N4" s="5" t="s">
        <v>281</v>
      </c>
      <c r="O4" s="5" t="s">
        <v>282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265</v>
      </c>
      <c r="Y4" s="9">
        <v>0</v>
      </c>
      <c r="Z4" s="9">
        <v>0</v>
      </c>
      <c r="AA4" s="24" t="s">
        <v>70</v>
      </c>
      <c r="AB4" s="24" t="s">
        <v>70</v>
      </c>
      <c r="AC4" s="8" t="s">
        <v>266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285</v>
      </c>
      <c r="B5" s="6" t="s">
        <v>272</v>
      </c>
      <c r="C5" s="7" t="s">
        <v>22</v>
      </c>
      <c r="D5" s="8" t="s">
        <v>259</v>
      </c>
      <c r="E5" s="9" t="s">
        <v>260</v>
      </c>
      <c r="F5" s="5" t="s">
        <v>23</v>
      </c>
      <c r="G5" s="5" t="s">
        <v>24</v>
      </c>
      <c r="H5" s="9" t="s">
        <v>208</v>
      </c>
      <c r="I5" s="5" t="s">
        <v>276</v>
      </c>
      <c r="J5" s="5" t="s">
        <v>277</v>
      </c>
      <c r="K5" s="5" t="s">
        <v>278</v>
      </c>
      <c r="L5" s="5" t="s">
        <v>279</v>
      </c>
      <c r="M5" s="5" t="s">
        <v>280</v>
      </c>
      <c r="N5" s="5" t="s">
        <v>281</v>
      </c>
      <c r="O5" s="5" t="s">
        <v>282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265</v>
      </c>
      <c r="Y5" s="9">
        <v>0</v>
      </c>
      <c r="Z5" s="9">
        <v>0</v>
      </c>
      <c r="AA5" s="24" t="s">
        <v>70</v>
      </c>
      <c r="AB5" s="24" t="s">
        <v>70</v>
      </c>
      <c r="AC5" s="8" t="s">
        <v>266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286</v>
      </c>
      <c r="B6" s="6" t="s">
        <v>274</v>
      </c>
      <c r="C6" s="7" t="s">
        <v>22</v>
      </c>
      <c r="D6" s="8" t="s">
        <v>259</v>
      </c>
      <c r="E6" s="9" t="s">
        <v>260</v>
      </c>
      <c r="F6" s="5" t="s">
        <v>23</v>
      </c>
      <c r="G6" s="5" t="s">
        <v>24</v>
      </c>
      <c r="H6" s="9" t="s">
        <v>208</v>
      </c>
      <c r="I6" s="5" t="s">
        <v>276</v>
      </c>
      <c r="J6" s="5" t="s">
        <v>277</v>
      </c>
      <c r="K6" s="5" t="s">
        <v>278</v>
      </c>
      <c r="L6" s="5" t="s">
        <v>279</v>
      </c>
      <c r="M6" s="5" t="s">
        <v>280</v>
      </c>
      <c r="N6" s="5" t="s">
        <v>281</v>
      </c>
      <c r="O6" s="5" t="s">
        <v>282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265</v>
      </c>
      <c r="Y6" s="9">
        <v>0</v>
      </c>
      <c r="Z6" s="9">
        <v>0</v>
      </c>
      <c r="AA6" s="24" t="s">
        <v>70</v>
      </c>
      <c r="AB6" s="24" t="s">
        <v>70</v>
      </c>
      <c r="AC6" s="8" t="s">
        <v>266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238</v>
      </c>
      <c r="F1" s="22" t="s">
        <v>219</v>
      </c>
      <c r="G1" s="22" t="s">
        <v>220</v>
      </c>
      <c r="H1" s="22" t="s">
        <v>239</v>
      </c>
      <c r="I1" s="22" t="s">
        <v>240</v>
      </c>
      <c r="J1" s="22" t="s">
        <v>224</v>
      </c>
      <c r="K1" s="22" t="s">
        <v>223</v>
      </c>
      <c r="L1" s="22" t="s">
        <v>225</v>
      </c>
      <c r="M1" s="22" t="s">
        <v>241</v>
      </c>
      <c r="N1" s="22" t="s">
        <v>242</v>
      </c>
      <c r="O1" s="22" t="s">
        <v>243</v>
      </c>
      <c r="P1" s="23" t="s">
        <v>244</v>
      </c>
      <c r="Q1" s="22" t="s">
        <v>245</v>
      </c>
      <c r="R1" s="23" t="s">
        <v>246</v>
      </c>
      <c r="S1" s="19" t="s">
        <v>247</v>
      </c>
      <c r="T1" s="19" t="s">
        <v>248</v>
      </c>
      <c r="U1" s="19" t="s">
        <v>249</v>
      </c>
      <c r="V1" s="19" t="s">
        <v>250</v>
      </c>
      <c r="W1" s="19" t="s">
        <v>251</v>
      </c>
      <c r="X1" s="25" t="s">
        <v>252</v>
      </c>
      <c r="Y1" s="19" t="s">
        <v>253</v>
      </c>
      <c r="Z1" s="19" t="s">
        <v>254</v>
      </c>
      <c r="AA1" s="25" t="s">
        <v>255</v>
      </c>
      <c r="AB1" s="23" t="s">
        <v>256</v>
      </c>
      <c r="AC1" s="10" t="s">
        <v>9</v>
      </c>
      <c r="AD1" s="11" t="s">
        <v>10</v>
      </c>
      <c r="AE1" s="12" t="s">
        <v>41</v>
      </c>
      <c r="AF1" s="11" t="s">
        <v>227</v>
      </c>
    </row>
    <row r="2" s="1" customFormat="1" ht="69" customHeight="1" spans="1:32">
      <c r="A2" s="5" t="s">
        <v>287</v>
      </c>
      <c r="B2" s="6" t="s">
        <v>258</v>
      </c>
      <c r="C2" s="7" t="s">
        <v>22</v>
      </c>
      <c r="D2" s="8" t="s">
        <v>259</v>
      </c>
      <c r="E2" s="9" t="s">
        <v>260</v>
      </c>
      <c r="F2" s="5" t="s">
        <v>23</v>
      </c>
      <c r="G2" s="5" t="s">
        <v>24</v>
      </c>
      <c r="H2" s="9" t="s">
        <v>214</v>
      </c>
      <c r="I2" s="5" t="s">
        <v>288</v>
      </c>
      <c r="J2" s="5" t="s">
        <v>289</v>
      </c>
      <c r="K2" s="5" t="s">
        <v>290</v>
      </c>
      <c r="L2" s="5" t="s">
        <v>291</v>
      </c>
      <c r="M2" s="5" t="s">
        <v>292</v>
      </c>
      <c r="N2" s="5" t="s">
        <v>293</v>
      </c>
      <c r="O2" s="5" t="s">
        <v>294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265</v>
      </c>
      <c r="Y2" s="9">
        <v>0</v>
      </c>
      <c r="Z2" s="9">
        <v>0</v>
      </c>
      <c r="AA2" s="24" t="s">
        <v>70</v>
      </c>
      <c r="AB2" s="24" t="s">
        <v>70</v>
      </c>
      <c r="AC2" s="8" t="s">
        <v>266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295</v>
      </c>
      <c r="B3" s="6" t="s">
        <v>268</v>
      </c>
      <c r="C3" s="7" t="s">
        <v>22</v>
      </c>
      <c r="D3" s="8" t="s">
        <v>259</v>
      </c>
      <c r="E3" s="9" t="s">
        <v>260</v>
      </c>
      <c r="F3" s="5" t="s">
        <v>23</v>
      </c>
      <c r="G3" s="5" t="s">
        <v>24</v>
      </c>
      <c r="H3" s="9" t="s">
        <v>214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265</v>
      </c>
      <c r="Y3" s="9">
        <v>0</v>
      </c>
      <c r="Z3" s="9">
        <v>0</v>
      </c>
      <c r="AA3" s="24" t="s">
        <v>70</v>
      </c>
      <c r="AB3" s="24" t="s">
        <v>70</v>
      </c>
      <c r="AC3" s="8" t="s">
        <v>266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296</v>
      </c>
      <c r="B4" s="6" t="s">
        <v>270</v>
      </c>
      <c r="C4" s="7" t="s">
        <v>22</v>
      </c>
      <c r="D4" s="8" t="s">
        <v>259</v>
      </c>
      <c r="E4" s="9" t="s">
        <v>260</v>
      </c>
      <c r="F4" s="5" t="s">
        <v>23</v>
      </c>
      <c r="G4" s="5" t="s">
        <v>24</v>
      </c>
      <c r="H4" s="9" t="s">
        <v>214</v>
      </c>
      <c r="I4" s="5" t="s">
        <v>288</v>
      </c>
      <c r="J4" s="5" t="s">
        <v>289</v>
      </c>
      <c r="K4" s="5" t="s">
        <v>290</v>
      </c>
      <c r="L4" s="5" t="s">
        <v>291</v>
      </c>
      <c r="M4" s="5" t="s">
        <v>292</v>
      </c>
      <c r="N4" s="5" t="s">
        <v>293</v>
      </c>
      <c r="O4" s="5" t="s">
        <v>294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265</v>
      </c>
      <c r="Y4" s="9">
        <v>0</v>
      </c>
      <c r="Z4" s="9">
        <v>0</v>
      </c>
      <c r="AA4" s="24" t="s">
        <v>70</v>
      </c>
      <c r="AB4" s="24" t="s">
        <v>70</v>
      </c>
      <c r="AC4" s="8" t="s">
        <v>266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297</v>
      </c>
      <c r="B5" s="6" t="s">
        <v>272</v>
      </c>
      <c r="C5" s="7" t="s">
        <v>22</v>
      </c>
      <c r="D5" s="8" t="s">
        <v>259</v>
      </c>
      <c r="E5" s="9" t="s">
        <v>260</v>
      </c>
      <c r="F5" s="5" t="s">
        <v>23</v>
      </c>
      <c r="G5" s="5" t="s">
        <v>24</v>
      </c>
      <c r="H5" s="9" t="s">
        <v>214</v>
      </c>
      <c r="I5" s="5" t="s">
        <v>288</v>
      </c>
      <c r="J5" s="5" t="s">
        <v>289</v>
      </c>
      <c r="K5" s="5" t="s">
        <v>290</v>
      </c>
      <c r="L5" s="5" t="s">
        <v>291</v>
      </c>
      <c r="M5" s="5" t="s">
        <v>292</v>
      </c>
      <c r="N5" s="5" t="s">
        <v>293</v>
      </c>
      <c r="O5" s="5" t="s">
        <v>294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265</v>
      </c>
      <c r="Y5" s="9">
        <v>0</v>
      </c>
      <c r="Z5" s="9">
        <v>0</v>
      </c>
      <c r="AA5" s="24" t="s">
        <v>70</v>
      </c>
      <c r="AB5" s="24" t="s">
        <v>70</v>
      </c>
      <c r="AC5" s="8" t="s">
        <v>266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298</v>
      </c>
      <c r="B6" s="6" t="s">
        <v>274</v>
      </c>
      <c r="C6" s="7" t="s">
        <v>22</v>
      </c>
      <c r="D6" s="8" t="s">
        <v>259</v>
      </c>
      <c r="E6" s="9" t="s">
        <v>260</v>
      </c>
      <c r="F6" s="5" t="s">
        <v>23</v>
      </c>
      <c r="G6" s="5" t="s">
        <v>24</v>
      </c>
      <c r="H6" s="9" t="s">
        <v>214</v>
      </c>
      <c r="I6" s="5" t="s">
        <v>288</v>
      </c>
      <c r="J6" s="5" t="s">
        <v>289</v>
      </c>
      <c r="K6" s="5" t="s">
        <v>290</v>
      </c>
      <c r="L6" s="5" t="s">
        <v>291</v>
      </c>
      <c r="M6" s="5" t="s">
        <v>292</v>
      </c>
      <c r="N6" s="5" t="s">
        <v>293</v>
      </c>
      <c r="O6" s="5" t="s">
        <v>294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265</v>
      </c>
      <c r="Y6" s="9">
        <v>0</v>
      </c>
      <c r="Z6" s="9">
        <v>0</v>
      </c>
      <c r="AA6" s="24" t="s">
        <v>70</v>
      </c>
      <c r="AB6" s="24" t="s">
        <v>70</v>
      </c>
      <c r="AC6" s="8" t="s">
        <v>266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238</v>
      </c>
      <c r="F1" s="22" t="s">
        <v>219</v>
      </c>
      <c r="G1" s="22" t="s">
        <v>220</v>
      </c>
      <c r="H1" s="22" t="s">
        <v>239</v>
      </c>
      <c r="I1" s="22" t="s">
        <v>240</v>
      </c>
      <c r="J1" s="22" t="s">
        <v>224</v>
      </c>
      <c r="K1" s="22" t="s">
        <v>223</v>
      </c>
      <c r="L1" s="22" t="s">
        <v>225</v>
      </c>
      <c r="M1" s="22" t="s">
        <v>241</v>
      </c>
      <c r="N1" s="22" t="s">
        <v>242</v>
      </c>
      <c r="O1" s="22" t="s">
        <v>243</v>
      </c>
      <c r="P1" s="23" t="s">
        <v>244</v>
      </c>
      <c r="Q1" s="22" t="s">
        <v>245</v>
      </c>
      <c r="R1" s="23" t="s">
        <v>246</v>
      </c>
      <c r="S1" s="19" t="s">
        <v>247</v>
      </c>
      <c r="T1" s="19" t="s">
        <v>248</v>
      </c>
      <c r="U1" s="19" t="s">
        <v>249</v>
      </c>
      <c r="V1" s="19" t="s">
        <v>250</v>
      </c>
      <c r="W1" s="19" t="s">
        <v>251</v>
      </c>
      <c r="X1" s="25" t="s">
        <v>252</v>
      </c>
      <c r="Y1" s="19" t="s">
        <v>253</v>
      </c>
      <c r="Z1" s="19" t="s">
        <v>254</v>
      </c>
      <c r="AA1" s="25" t="s">
        <v>255</v>
      </c>
      <c r="AB1" s="23" t="s">
        <v>256</v>
      </c>
      <c r="AC1" s="10" t="s">
        <v>9</v>
      </c>
      <c r="AD1" s="11" t="s">
        <v>10</v>
      </c>
      <c r="AE1" s="12" t="s">
        <v>41</v>
      </c>
      <c r="AF1" s="11" t="s">
        <v>227</v>
      </c>
    </row>
    <row r="2" s="1" customFormat="1" ht="69" customHeight="1" spans="1:32">
      <c r="A2" s="5" t="s">
        <v>299</v>
      </c>
      <c r="B2" s="6" t="s">
        <v>258</v>
      </c>
      <c r="C2" s="7" t="s">
        <v>22</v>
      </c>
      <c r="D2" s="8" t="s">
        <v>259</v>
      </c>
      <c r="E2" s="9" t="s">
        <v>260</v>
      </c>
      <c r="F2" s="5" t="s">
        <v>23</v>
      </c>
      <c r="G2" s="5" t="s">
        <v>24</v>
      </c>
      <c r="H2" s="9" t="s">
        <v>218</v>
      </c>
      <c r="I2" s="5" t="s">
        <v>300</v>
      </c>
      <c r="J2" s="5" t="s">
        <v>301</v>
      </c>
      <c r="K2" s="5" t="s">
        <v>302</v>
      </c>
      <c r="L2" s="5" t="s">
        <v>303</v>
      </c>
      <c r="M2" s="5" t="s">
        <v>304</v>
      </c>
      <c r="N2" s="5" t="s">
        <v>305</v>
      </c>
      <c r="O2" s="5" t="s">
        <v>306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265</v>
      </c>
      <c r="Y2" s="9">
        <v>0</v>
      </c>
      <c r="Z2" s="9">
        <v>0</v>
      </c>
      <c r="AA2" s="24" t="s">
        <v>70</v>
      </c>
      <c r="AB2" s="24" t="s">
        <v>70</v>
      </c>
      <c r="AC2" s="8" t="s">
        <v>266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307</v>
      </c>
      <c r="B3" s="6" t="s">
        <v>268</v>
      </c>
      <c r="C3" s="7" t="s">
        <v>22</v>
      </c>
      <c r="D3" s="8" t="s">
        <v>259</v>
      </c>
      <c r="E3" s="9" t="s">
        <v>260</v>
      </c>
      <c r="F3" s="5" t="s">
        <v>23</v>
      </c>
      <c r="G3" s="5" t="s">
        <v>24</v>
      </c>
      <c r="H3" s="9" t="s">
        <v>218</v>
      </c>
      <c r="I3" s="5" t="s">
        <v>300</v>
      </c>
      <c r="J3" s="5" t="s">
        <v>301</v>
      </c>
      <c r="K3" s="5" t="s">
        <v>302</v>
      </c>
      <c r="L3" s="5" t="s">
        <v>303</v>
      </c>
      <c r="M3" s="5" t="s">
        <v>304</v>
      </c>
      <c r="N3" s="5" t="s">
        <v>305</v>
      </c>
      <c r="O3" s="5" t="s">
        <v>306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265</v>
      </c>
      <c r="Y3" s="9">
        <v>0</v>
      </c>
      <c r="Z3" s="9">
        <v>0</v>
      </c>
      <c r="AA3" s="24" t="s">
        <v>70</v>
      </c>
      <c r="AB3" s="24" t="s">
        <v>70</v>
      </c>
      <c r="AC3" s="8" t="s">
        <v>266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308</v>
      </c>
      <c r="B4" s="6" t="s">
        <v>270</v>
      </c>
      <c r="C4" s="7" t="s">
        <v>22</v>
      </c>
      <c r="D4" s="8" t="s">
        <v>259</v>
      </c>
      <c r="E4" s="9" t="s">
        <v>260</v>
      </c>
      <c r="F4" s="5" t="s">
        <v>23</v>
      </c>
      <c r="G4" s="5" t="s">
        <v>24</v>
      </c>
      <c r="H4" s="9" t="s">
        <v>218</v>
      </c>
      <c r="I4" s="5" t="s">
        <v>300</v>
      </c>
      <c r="J4" s="5" t="s">
        <v>301</v>
      </c>
      <c r="K4" s="5" t="s">
        <v>302</v>
      </c>
      <c r="L4" s="5" t="s">
        <v>303</v>
      </c>
      <c r="M4" s="5" t="s">
        <v>304</v>
      </c>
      <c r="N4" s="5" t="s">
        <v>305</v>
      </c>
      <c r="O4" s="5" t="s">
        <v>306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265</v>
      </c>
      <c r="Y4" s="9">
        <v>0</v>
      </c>
      <c r="Z4" s="9">
        <v>0</v>
      </c>
      <c r="AA4" s="24" t="s">
        <v>70</v>
      </c>
      <c r="AB4" s="24" t="s">
        <v>70</v>
      </c>
      <c r="AC4" s="8" t="s">
        <v>266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309</v>
      </c>
      <c r="B5" s="6" t="s">
        <v>272</v>
      </c>
      <c r="C5" s="7" t="s">
        <v>22</v>
      </c>
      <c r="D5" s="8" t="s">
        <v>259</v>
      </c>
      <c r="E5" s="9" t="s">
        <v>260</v>
      </c>
      <c r="F5" s="5" t="s">
        <v>23</v>
      </c>
      <c r="G5" s="5" t="s">
        <v>24</v>
      </c>
      <c r="H5" s="9" t="s">
        <v>218</v>
      </c>
      <c r="I5" s="5" t="s">
        <v>300</v>
      </c>
      <c r="J5" s="5" t="s">
        <v>301</v>
      </c>
      <c r="K5" s="5" t="s">
        <v>302</v>
      </c>
      <c r="L5" s="5" t="s">
        <v>303</v>
      </c>
      <c r="M5" s="5" t="s">
        <v>304</v>
      </c>
      <c r="N5" s="5" t="s">
        <v>305</v>
      </c>
      <c r="O5" s="5" t="s">
        <v>306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265</v>
      </c>
      <c r="Y5" s="9">
        <v>0</v>
      </c>
      <c r="Z5" s="9">
        <v>0</v>
      </c>
      <c r="AA5" s="24" t="s">
        <v>70</v>
      </c>
      <c r="AB5" s="24" t="s">
        <v>70</v>
      </c>
      <c r="AC5" s="8" t="s">
        <v>266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310</v>
      </c>
      <c r="B6" s="6" t="s">
        <v>274</v>
      </c>
      <c r="C6" s="7" t="s">
        <v>22</v>
      </c>
      <c r="D6" s="8" t="s">
        <v>259</v>
      </c>
      <c r="E6" s="9" t="s">
        <v>260</v>
      </c>
      <c r="F6" s="5" t="s">
        <v>23</v>
      </c>
      <c r="G6" s="5" t="s">
        <v>24</v>
      </c>
      <c r="H6" s="9" t="s">
        <v>218</v>
      </c>
      <c r="I6" s="5" t="s">
        <v>300</v>
      </c>
      <c r="J6" s="5" t="s">
        <v>301</v>
      </c>
      <c r="K6" s="5" t="s">
        <v>302</v>
      </c>
      <c r="L6" s="5" t="s">
        <v>303</v>
      </c>
      <c r="M6" s="5" t="s">
        <v>304</v>
      </c>
      <c r="N6" s="5" t="s">
        <v>305</v>
      </c>
      <c r="O6" s="5" t="s">
        <v>306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265</v>
      </c>
      <c r="Y6" s="9">
        <v>0</v>
      </c>
      <c r="Z6" s="9">
        <v>0</v>
      </c>
      <c r="AA6" s="24" t="s">
        <v>70</v>
      </c>
      <c r="AB6" s="24" t="s">
        <v>70</v>
      </c>
      <c r="AC6" s="8" t="s">
        <v>266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196</v>
      </c>
      <c r="F1" s="18" t="s">
        <v>221</v>
      </c>
      <c r="G1" s="18" t="s">
        <v>311</v>
      </c>
      <c r="H1" s="18" t="s">
        <v>312</v>
      </c>
      <c r="I1" s="18" t="s">
        <v>313</v>
      </c>
      <c r="J1" s="18" t="s">
        <v>314</v>
      </c>
      <c r="K1" s="18" t="s">
        <v>315</v>
      </c>
      <c r="L1" s="18" t="s">
        <v>316</v>
      </c>
      <c r="M1" s="18" t="s">
        <v>317</v>
      </c>
      <c r="N1" s="18" t="s">
        <v>318</v>
      </c>
      <c r="O1" s="18" t="s">
        <v>319</v>
      </c>
      <c r="P1" s="18" t="s">
        <v>320</v>
      </c>
      <c r="Q1" s="18" t="s">
        <v>321</v>
      </c>
      <c r="R1" s="18" t="s">
        <v>322</v>
      </c>
      <c r="S1" s="18" t="s">
        <v>323</v>
      </c>
      <c r="T1" s="18" t="s">
        <v>324</v>
      </c>
      <c r="U1" s="18" t="s">
        <v>325</v>
      </c>
      <c r="V1" s="18" t="s">
        <v>326</v>
      </c>
      <c r="W1" s="18" t="s">
        <v>327</v>
      </c>
      <c r="X1" s="18" t="s">
        <v>328</v>
      </c>
      <c r="Y1" s="18" t="s">
        <v>329</v>
      </c>
      <c r="Z1" s="19" t="s">
        <v>330</v>
      </c>
      <c r="AA1" s="19" t="s">
        <v>331</v>
      </c>
      <c r="AB1" s="19" t="s">
        <v>332</v>
      </c>
      <c r="AC1" s="19" t="s">
        <v>333</v>
      </c>
      <c r="AD1" s="19" t="s">
        <v>334</v>
      </c>
      <c r="AE1" s="19" t="s">
        <v>335</v>
      </c>
      <c r="AF1" s="19" t="s">
        <v>336</v>
      </c>
      <c r="AG1" s="19" t="s">
        <v>337</v>
      </c>
      <c r="AH1" s="19" t="s">
        <v>338</v>
      </c>
      <c r="AI1" s="19" t="s">
        <v>339</v>
      </c>
      <c r="AJ1" s="19" t="s">
        <v>340</v>
      </c>
      <c r="AK1" s="19" t="s">
        <v>341</v>
      </c>
      <c r="AL1" s="19" t="s">
        <v>342</v>
      </c>
      <c r="AM1" s="19" t="s">
        <v>343</v>
      </c>
      <c r="AN1" s="19" t="s">
        <v>344</v>
      </c>
      <c r="AO1" s="19" t="s">
        <v>345</v>
      </c>
      <c r="AP1" s="18" t="s">
        <v>346</v>
      </c>
      <c r="AQ1" s="18" t="s">
        <v>347</v>
      </c>
      <c r="AR1" s="20" t="s">
        <v>348</v>
      </c>
      <c r="AS1" s="10" t="s">
        <v>9</v>
      </c>
      <c r="AT1" s="11" t="s">
        <v>10</v>
      </c>
      <c r="AU1" s="12" t="s">
        <v>349</v>
      </c>
    </row>
    <row r="2" s="1" customFormat="1" ht="69" customHeight="1" spans="1:47">
      <c r="A2" s="5" t="s">
        <v>350</v>
      </c>
      <c r="B2" s="6" t="s">
        <v>351</v>
      </c>
      <c r="C2" s="7" t="s">
        <v>22</v>
      </c>
      <c r="D2" s="8" t="s">
        <v>352</v>
      </c>
      <c r="E2" s="9" t="s">
        <v>207</v>
      </c>
      <c r="F2" s="9" t="s">
        <v>232</v>
      </c>
      <c r="G2" s="9" t="s">
        <v>353</v>
      </c>
      <c r="H2" s="9" t="s">
        <v>354</v>
      </c>
      <c r="I2" s="5"/>
      <c r="J2" s="5" t="s">
        <v>355</v>
      </c>
      <c r="K2" s="5">
        <v>1600000</v>
      </c>
      <c r="L2" s="5"/>
      <c r="M2" s="5"/>
      <c r="N2" s="5"/>
      <c r="O2" s="5">
        <v>1600000</v>
      </c>
      <c r="P2" s="9" t="s">
        <v>260</v>
      </c>
      <c r="Q2" s="5">
        <v>0</v>
      </c>
      <c r="R2" s="5" t="s">
        <v>356</v>
      </c>
      <c r="S2" s="5" t="s">
        <v>357</v>
      </c>
      <c r="T2" s="5" t="s">
        <v>357</v>
      </c>
      <c r="U2" s="5" t="s">
        <v>358</v>
      </c>
      <c r="V2" s="5">
        <v>0</v>
      </c>
      <c r="W2" s="5" t="s">
        <v>359</v>
      </c>
      <c r="X2" s="5" t="s">
        <v>359</v>
      </c>
      <c r="Y2" s="5" t="s">
        <v>359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359</v>
      </c>
      <c r="AN2" s="5" t="s">
        <v>359</v>
      </c>
      <c r="AO2" s="5" t="s">
        <v>359</v>
      </c>
      <c r="AP2" s="5" t="s">
        <v>360</v>
      </c>
      <c r="AQ2" s="5" t="s">
        <v>360</v>
      </c>
      <c r="AR2" s="21" t="s">
        <v>70</v>
      </c>
      <c r="AS2" s="8" t="s">
        <v>361</v>
      </c>
      <c r="AT2" s="14">
        <v>200</v>
      </c>
      <c r="AU2" s="15" t="s">
        <v>22</v>
      </c>
    </row>
    <row r="3" s="1" customFormat="1" ht="69" customHeight="1" spans="1:47">
      <c r="A3" s="5" t="s">
        <v>362</v>
      </c>
      <c r="B3" s="6" t="s">
        <v>351</v>
      </c>
      <c r="C3" s="7" t="s">
        <v>22</v>
      </c>
      <c r="D3" s="8" t="s">
        <v>352</v>
      </c>
      <c r="E3" s="9" t="s">
        <v>207</v>
      </c>
      <c r="F3" s="9" t="s">
        <v>232</v>
      </c>
      <c r="G3" s="9" t="s">
        <v>353</v>
      </c>
      <c r="H3" s="9" t="s">
        <v>354</v>
      </c>
      <c r="I3" s="5"/>
      <c r="J3" s="5" t="s">
        <v>355</v>
      </c>
      <c r="K3" s="5">
        <v>8800000</v>
      </c>
      <c r="L3" s="5"/>
      <c r="M3" s="5"/>
      <c r="N3" s="5"/>
      <c r="O3" s="5">
        <v>1600000</v>
      </c>
      <c r="P3" s="9" t="s">
        <v>260</v>
      </c>
      <c r="Q3" s="5">
        <v>0</v>
      </c>
      <c r="R3" s="5" t="s">
        <v>356</v>
      </c>
      <c r="S3" s="5" t="s">
        <v>357</v>
      </c>
      <c r="T3" s="5" t="s">
        <v>357</v>
      </c>
      <c r="U3" s="5" t="s">
        <v>358</v>
      </c>
      <c r="V3" s="5">
        <v>0</v>
      </c>
      <c r="W3" s="5" t="s">
        <v>359</v>
      </c>
      <c r="X3" s="5" t="s">
        <v>359</v>
      </c>
      <c r="Y3" s="5" t="s">
        <v>359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359</v>
      </c>
      <c r="AN3" s="5" t="s">
        <v>359</v>
      </c>
      <c r="AO3" s="5" t="s">
        <v>359</v>
      </c>
      <c r="AP3" s="5" t="s">
        <v>360</v>
      </c>
      <c r="AQ3" s="5" t="s">
        <v>360</v>
      </c>
      <c r="AR3" s="21" t="s">
        <v>70</v>
      </c>
      <c r="AS3" s="8" t="s">
        <v>361</v>
      </c>
      <c r="AT3" s="14">
        <v>200</v>
      </c>
      <c r="AU3" s="15" t="s">
        <v>22</v>
      </c>
    </row>
    <row r="4" s="1" customFormat="1" ht="69" customHeight="1" spans="1:47">
      <c r="A4" s="5" t="s">
        <v>363</v>
      </c>
      <c r="B4" s="6" t="s">
        <v>351</v>
      </c>
      <c r="C4" s="7" t="s">
        <v>22</v>
      </c>
      <c r="D4" s="8" t="s">
        <v>352</v>
      </c>
      <c r="E4" s="9" t="s">
        <v>208</v>
      </c>
      <c r="F4" s="9" t="s">
        <v>364</v>
      </c>
      <c r="G4" s="9" t="s">
        <v>365</v>
      </c>
      <c r="H4" s="9" t="s">
        <v>366</v>
      </c>
      <c r="I4" s="5"/>
      <c r="J4" s="5" t="s">
        <v>355</v>
      </c>
      <c r="K4" s="5">
        <v>1600000</v>
      </c>
      <c r="L4" s="5"/>
      <c r="M4" s="5"/>
      <c r="N4" s="5"/>
      <c r="O4" s="5">
        <v>1600000</v>
      </c>
      <c r="P4" s="9" t="s">
        <v>260</v>
      </c>
      <c r="Q4" s="5">
        <v>0</v>
      </c>
      <c r="R4" s="5" t="s">
        <v>356</v>
      </c>
      <c r="S4" s="5" t="s">
        <v>357</v>
      </c>
      <c r="T4" s="5" t="s">
        <v>357</v>
      </c>
      <c r="U4" s="5" t="s">
        <v>358</v>
      </c>
      <c r="V4" s="5">
        <v>0</v>
      </c>
      <c r="W4" s="5" t="s">
        <v>359</v>
      </c>
      <c r="X4" s="5" t="s">
        <v>359</v>
      </c>
      <c r="Y4" s="5" t="s">
        <v>359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359</v>
      </c>
      <c r="AN4" s="5" t="s">
        <v>359</v>
      </c>
      <c r="AO4" s="5" t="s">
        <v>359</v>
      </c>
      <c r="AP4" s="5" t="s">
        <v>360</v>
      </c>
      <c r="AQ4" s="5" t="s">
        <v>360</v>
      </c>
      <c r="AR4" s="21" t="s">
        <v>70</v>
      </c>
      <c r="AS4" s="8" t="s">
        <v>361</v>
      </c>
      <c r="AT4" s="14">
        <v>200</v>
      </c>
      <c r="AU4" s="15" t="s">
        <v>22</v>
      </c>
    </row>
    <row r="5" s="1" customFormat="1" ht="69" customHeight="1" spans="1:47">
      <c r="A5" s="5" t="s">
        <v>367</v>
      </c>
      <c r="B5" s="6" t="s">
        <v>351</v>
      </c>
      <c r="C5" s="7" t="s">
        <v>22</v>
      </c>
      <c r="D5" s="8" t="s">
        <v>352</v>
      </c>
      <c r="E5" s="9" t="s">
        <v>214</v>
      </c>
      <c r="F5" s="9" t="s">
        <v>368</v>
      </c>
      <c r="G5" s="9" t="s">
        <v>369</v>
      </c>
      <c r="H5" s="9" t="s">
        <v>370</v>
      </c>
      <c r="I5" s="5"/>
      <c r="J5" s="5" t="s">
        <v>355</v>
      </c>
      <c r="K5" s="5">
        <v>1600000</v>
      </c>
      <c r="L5" s="5"/>
      <c r="M5" s="5"/>
      <c r="N5" s="5"/>
      <c r="O5" s="5">
        <v>1600000</v>
      </c>
      <c r="P5" s="9" t="s">
        <v>260</v>
      </c>
      <c r="Q5" s="5">
        <v>0</v>
      </c>
      <c r="R5" s="5" t="s">
        <v>356</v>
      </c>
      <c r="S5" s="5" t="s">
        <v>357</v>
      </c>
      <c r="T5" s="5" t="s">
        <v>357</v>
      </c>
      <c r="U5" s="5" t="s">
        <v>358</v>
      </c>
      <c r="V5" s="5">
        <v>0</v>
      </c>
      <c r="W5" s="5" t="s">
        <v>359</v>
      </c>
      <c r="X5" s="5" t="s">
        <v>359</v>
      </c>
      <c r="Y5" s="5" t="s">
        <v>359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359</v>
      </c>
      <c r="AN5" s="5" t="s">
        <v>359</v>
      </c>
      <c r="AO5" s="5" t="s">
        <v>359</v>
      </c>
      <c r="AP5" s="5" t="s">
        <v>360</v>
      </c>
      <c r="AQ5" s="5" t="s">
        <v>360</v>
      </c>
      <c r="AR5" s="21" t="s">
        <v>70</v>
      </c>
      <c r="AS5" s="8" t="s">
        <v>361</v>
      </c>
      <c r="AT5" s="14">
        <v>200</v>
      </c>
      <c r="AU5" s="15" t="s">
        <v>22</v>
      </c>
    </row>
    <row r="6" s="1" customFormat="1" ht="69" customHeight="1" spans="1:47">
      <c r="A6" s="5" t="s">
        <v>371</v>
      </c>
      <c r="B6" s="6" t="s">
        <v>351</v>
      </c>
      <c r="C6" s="7" t="s">
        <v>22</v>
      </c>
      <c r="D6" s="8" t="s">
        <v>352</v>
      </c>
      <c r="E6" s="9" t="s">
        <v>218</v>
      </c>
      <c r="F6" s="9" t="s">
        <v>372</v>
      </c>
      <c r="G6" s="9" t="s">
        <v>373</v>
      </c>
      <c r="H6" s="9" t="s">
        <v>374</v>
      </c>
      <c r="I6" s="5"/>
      <c r="J6" s="5" t="s">
        <v>355</v>
      </c>
      <c r="K6" s="5">
        <v>1600000</v>
      </c>
      <c r="L6" s="5"/>
      <c r="M6" s="5"/>
      <c r="N6" s="5"/>
      <c r="O6" s="5">
        <v>1600000</v>
      </c>
      <c r="P6" s="9" t="s">
        <v>260</v>
      </c>
      <c r="Q6" s="5">
        <v>0</v>
      </c>
      <c r="R6" s="5" t="s">
        <v>356</v>
      </c>
      <c r="S6" s="5" t="s">
        <v>357</v>
      </c>
      <c r="T6" s="5" t="s">
        <v>357</v>
      </c>
      <c r="U6" s="5" t="s">
        <v>358</v>
      </c>
      <c r="V6" s="5">
        <v>0</v>
      </c>
      <c r="W6" s="5" t="s">
        <v>359</v>
      </c>
      <c r="X6" s="5" t="s">
        <v>359</v>
      </c>
      <c r="Y6" s="5" t="s">
        <v>359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359</v>
      </c>
      <c r="AN6" s="5" t="s">
        <v>359</v>
      </c>
      <c r="AO6" s="5" t="s">
        <v>359</v>
      </c>
      <c r="AP6" s="5" t="s">
        <v>360</v>
      </c>
      <c r="AQ6" s="5" t="s">
        <v>360</v>
      </c>
      <c r="AR6" s="21" t="s">
        <v>70</v>
      </c>
      <c r="AS6" s="8" t="s">
        <v>361</v>
      </c>
      <c r="AT6" s="14">
        <v>200</v>
      </c>
      <c r="AU6" s="15" t="s">
        <v>22</v>
      </c>
    </row>
    <row r="7" s="1" customFormat="1" ht="69" customHeight="1" spans="1:47">
      <c r="A7" s="5" t="s">
        <v>375</v>
      </c>
      <c r="B7" s="6" t="s">
        <v>376</v>
      </c>
      <c r="C7" s="7" t="s">
        <v>22</v>
      </c>
      <c r="D7" s="8" t="s">
        <v>377</v>
      </c>
      <c r="E7" s="9" t="s">
        <v>207</v>
      </c>
      <c r="F7" s="9" t="s">
        <v>232</v>
      </c>
      <c r="G7" s="9" t="s">
        <v>353</v>
      </c>
      <c r="H7" s="9" t="s">
        <v>354</v>
      </c>
      <c r="I7" s="5"/>
      <c r="J7" s="5" t="s">
        <v>355</v>
      </c>
      <c r="K7" s="5">
        <v>100000</v>
      </c>
      <c r="L7" s="5"/>
      <c r="M7" s="5"/>
      <c r="N7" s="5"/>
      <c r="O7" s="5">
        <v>100000</v>
      </c>
      <c r="P7" s="9" t="s">
        <v>260</v>
      </c>
      <c r="Q7" s="5">
        <v>0</v>
      </c>
      <c r="R7" s="5" t="s">
        <v>356</v>
      </c>
      <c r="S7" s="5" t="s">
        <v>357</v>
      </c>
      <c r="T7" s="5" t="s">
        <v>357</v>
      </c>
      <c r="U7" s="5" t="s">
        <v>358</v>
      </c>
      <c r="V7" s="5">
        <v>0</v>
      </c>
      <c r="W7" s="5" t="s">
        <v>359</v>
      </c>
      <c r="X7" s="5" t="s">
        <v>359</v>
      </c>
      <c r="Y7" s="5" t="s">
        <v>359</v>
      </c>
      <c r="Z7" s="5" t="s">
        <v>378</v>
      </c>
      <c r="AA7" s="5">
        <v>200000</v>
      </c>
      <c r="AB7" s="5"/>
      <c r="AC7" s="5" t="s">
        <v>379</v>
      </c>
      <c r="AD7" s="5"/>
      <c r="AE7" s="5">
        <v>200000</v>
      </c>
      <c r="AF7" s="9" t="s">
        <v>260</v>
      </c>
      <c r="AG7" s="5">
        <v>0</v>
      </c>
      <c r="AH7" s="5" t="s">
        <v>356</v>
      </c>
      <c r="AI7" s="5" t="s">
        <v>357</v>
      </c>
      <c r="AJ7" s="5" t="s">
        <v>357</v>
      </c>
      <c r="AK7" s="5" t="s">
        <v>358</v>
      </c>
      <c r="AL7" s="5">
        <v>0</v>
      </c>
      <c r="AM7" s="5" t="s">
        <v>359</v>
      </c>
      <c r="AN7" s="5" t="s">
        <v>359</v>
      </c>
      <c r="AO7" s="5" t="s">
        <v>359</v>
      </c>
      <c r="AP7" s="5" t="s">
        <v>360</v>
      </c>
      <c r="AQ7" s="5" t="s">
        <v>360</v>
      </c>
      <c r="AR7" s="21" t="s">
        <v>70</v>
      </c>
      <c r="AS7" s="8" t="s">
        <v>361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380</v>
      </c>
      <c r="F1" s="4" t="s">
        <v>221</v>
      </c>
      <c r="G1" s="4" t="s">
        <v>312</v>
      </c>
      <c r="H1" s="4" t="s">
        <v>219</v>
      </c>
      <c r="I1" s="4" t="s">
        <v>220</v>
      </c>
      <c r="J1" s="4" t="s">
        <v>381</v>
      </c>
      <c r="K1" s="10" t="s">
        <v>9</v>
      </c>
      <c r="L1" s="11" t="s">
        <v>10</v>
      </c>
      <c r="M1" s="12" t="s">
        <v>382</v>
      </c>
      <c r="N1" s="12" t="s">
        <v>383</v>
      </c>
      <c r="O1" s="12" t="s">
        <v>384</v>
      </c>
      <c r="P1" s="12" t="s">
        <v>385</v>
      </c>
      <c r="Q1" s="12" t="s">
        <v>386</v>
      </c>
      <c r="R1" s="12" t="s">
        <v>387</v>
      </c>
      <c r="S1" s="12" t="s">
        <v>388</v>
      </c>
    </row>
    <row r="2" s="1" customFormat="1" ht="69" customHeight="1" spans="1:19">
      <c r="A2" s="5" t="s">
        <v>389</v>
      </c>
      <c r="B2" s="6" t="s">
        <v>390</v>
      </c>
      <c r="C2" s="7" t="s">
        <v>22</v>
      </c>
      <c r="D2" s="8" t="s">
        <v>391</v>
      </c>
      <c r="E2" s="9" t="s">
        <v>25</v>
      </c>
      <c r="F2" s="9" t="s">
        <v>232</v>
      </c>
      <c r="G2" s="9" t="s">
        <v>392</v>
      </c>
      <c r="H2" s="5" t="s">
        <v>23</v>
      </c>
      <c r="I2" s="5" t="s">
        <v>24</v>
      </c>
      <c r="J2" s="17" t="s">
        <v>26</v>
      </c>
      <c r="K2" s="13" t="s">
        <v>393</v>
      </c>
      <c r="L2" s="14">
        <v>200</v>
      </c>
      <c r="M2" s="15" t="s">
        <v>394</v>
      </c>
      <c r="N2" s="15" t="s">
        <v>355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395</v>
      </c>
      <c r="B3" s="6" t="s">
        <v>396</v>
      </c>
      <c r="C3" s="7" t="s">
        <v>22</v>
      </c>
      <c r="D3" s="8" t="s">
        <v>391</v>
      </c>
      <c r="E3" s="9" t="s">
        <v>37</v>
      </c>
      <c r="F3" s="9" t="s">
        <v>364</v>
      </c>
      <c r="G3" s="9" t="s">
        <v>397</v>
      </c>
      <c r="H3" s="5" t="s">
        <v>23</v>
      </c>
      <c r="I3" s="5" t="s">
        <v>24</v>
      </c>
      <c r="J3" s="17" t="s">
        <v>26</v>
      </c>
      <c r="K3" s="13" t="s">
        <v>393</v>
      </c>
      <c r="L3" s="14">
        <v>200</v>
      </c>
      <c r="M3" s="15" t="s">
        <v>394</v>
      </c>
      <c r="N3" s="15" t="s">
        <v>355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398</v>
      </c>
      <c r="B4" s="6" t="s">
        <v>399</v>
      </c>
      <c r="C4" s="7" t="s">
        <v>22</v>
      </c>
      <c r="D4" s="8" t="s">
        <v>391</v>
      </c>
      <c r="E4" s="9" t="s">
        <v>38</v>
      </c>
      <c r="F4" s="9" t="s">
        <v>368</v>
      </c>
      <c r="G4" s="9" t="s">
        <v>400</v>
      </c>
      <c r="H4" s="5" t="s">
        <v>23</v>
      </c>
      <c r="I4" s="5" t="s">
        <v>24</v>
      </c>
      <c r="J4" s="17" t="s">
        <v>26</v>
      </c>
      <c r="K4" s="13" t="s">
        <v>393</v>
      </c>
      <c r="L4" s="14">
        <v>200</v>
      </c>
      <c r="M4" s="15" t="s">
        <v>394</v>
      </c>
      <c r="N4" s="15" t="s">
        <v>355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401</v>
      </c>
      <c r="B5" s="6" t="s">
        <v>402</v>
      </c>
      <c r="C5" s="7" t="s">
        <v>22</v>
      </c>
      <c r="D5" s="8" t="s">
        <v>391</v>
      </c>
      <c r="E5" s="9" t="s">
        <v>39</v>
      </c>
      <c r="F5" s="9" t="s">
        <v>372</v>
      </c>
      <c r="G5" s="9" t="s">
        <v>403</v>
      </c>
      <c r="H5" s="5" t="s">
        <v>23</v>
      </c>
      <c r="I5" s="5" t="s">
        <v>24</v>
      </c>
      <c r="J5" s="17" t="s">
        <v>26</v>
      </c>
      <c r="K5" s="13" t="s">
        <v>393</v>
      </c>
      <c r="L5" s="14">
        <v>200</v>
      </c>
      <c r="M5" s="15" t="s">
        <v>394</v>
      </c>
      <c r="N5" s="15" t="s">
        <v>355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404</v>
      </c>
      <c r="B6" s="6" t="s">
        <v>405</v>
      </c>
      <c r="C6" s="7" t="s">
        <v>22</v>
      </c>
      <c r="D6" s="8" t="s">
        <v>391</v>
      </c>
      <c r="E6" s="9" t="s">
        <v>25</v>
      </c>
      <c r="F6" s="9" t="s">
        <v>232</v>
      </c>
      <c r="G6" s="9" t="s">
        <v>392</v>
      </c>
      <c r="H6" s="5" t="s">
        <v>23</v>
      </c>
      <c r="I6" s="5" t="s">
        <v>24</v>
      </c>
      <c r="J6" s="17" t="s">
        <v>26</v>
      </c>
      <c r="K6" s="13" t="s">
        <v>406</v>
      </c>
      <c r="L6" s="14">
        <v>200</v>
      </c>
      <c r="M6" s="15" t="s">
        <v>407</v>
      </c>
      <c r="N6" s="15" t="s">
        <v>355</v>
      </c>
      <c r="O6" s="15"/>
      <c r="P6" s="5">
        <v>100000</v>
      </c>
      <c r="Q6" s="15" t="s">
        <v>378</v>
      </c>
      <c r="R6" s="15" t="s">
        <v>379</v>
      </c>
      <c r="S6" s="15" t="s">
        <v>408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196</v>
      </c>
      <c r="F1" s="4" t="s">
        <v>409</v>
      </c>
      <c r="G1" s="10" t="s">
        <v>9</v>
      </c>
      <c r="H1" s="11" t="s">
        <v>10</v>
      </c>
      <c r="I1" s="12" t="s">
        <v>410</v>
      </c>
      <c r="J1" s="12" t="s">
        <v>411</v>
      </c>
    </row>
    <row r="2" s="1" customFormat="1" ht="69" customHeight="1" spans="1:10">
      <c r="A2" s="5" t="s">
        <v>412</v>
      </c>
      <c r="B2" s="6" t="s">
        <v>413</v>
      </c>
      <c r="C2" s="7" t="s">
        <v>22</v>
      </c>
      <c r="D2" s="8" t="s">
        <v>414</v>
      </c>
      <c r="E2" s="9" t="s">
        <v>207</v>
      </c>
      <c r="F2" s="9" t="s">
        <v>25</v>
      </c>
      <c r="G2" s="8" t="s">
        <v>415</v>
      </c>
      <c r="H2" s="14">
        <v>200</v>
      </c>
      <c r="I2" s="15" t="s">
        <v>31</v>
      </c>
      <c r="J2" s="15" t="s">
        <v>416</v>
      </c>
    </row>
    <row r="3" s="1" customFormat="1" ht="69" customHeight="1" spans="1:10">
      <c r="A3" s="5" t="s">
        <v>417</v>
      </c>
      <c r="B3" s="6" t="s">
        <v>418</v>
      </c>
      <c r="C3" s="7" t="s">
        <v>22</v>
      </c>
      <c r="D3" s="8" t="s">
        <v>414</v>
      </c>
      <c r="E3" s="9" t="s">
        <v>208</v>
      </c>
      <c r="F3" s="9" t="s">
        <v>37</v>
      </c>
      <c r="G3" s="8" t="s">
        <v>415</v>
      </c>
      <c r="H3" s="14">
        <v>200</v>
      </c>
      <c r="I3" s="15" t="s">
        <v>31</v>
      </c>
      <c r="J3" s="15" t="s">
        <v>416</v>
      </c>
    </row>
    <row r="4" s="1" customFormat="1" ht="69" customHeight="1" spans="1:10">
      <c r="A4" s="5" t="s">
        <v>419</v>
      </c>
      <c r="B4" s="6" t="s">
        <v>420</v>
      </c>
      <c r="C4" s="7" t="s">
        <v>22</v>
      </c>
      <c r="D4" s="8" t="s">
        <v>414</v>
      </c>
      <c r="E4" s="9" t="s">
        <v>214</v>
      </c>
      <c r="F4" s="9" t="s">
        <v>38</v>
      </c>
      <c r="G4" s="8" t="s">
        <v>415</v>
      </c>
      <c r="H4" s="14">
        <v>200</v>
      </c>
      <c r="I4" s="15" t="s">
        <v>31</v>
      </c>
      <c r="J4" s="15" t="s">
        <v>416</v>
      </c>
    </row>
    <row r="5" s="1" customFormat="1" ht="69" customHeight="1" spans="1:10">
      <c r="A5" s="5" t="s">
        <v>421</v>
      </c>
      <c r="B5" s="6" t="s">
        <v>422</v>
      </c>
      <c r="C5" s="7" t="s">
        <v>22</v>
      </c>
      <c r="D5" s="8" t="s">
        <v>414</v>
      </c>
      <c r="E5" s="9" t="s">
        <v>218</v>
      </c>
      <c r="F5" s="9" t="s">
        <v>39</v>
      </c>
      <c r="G5" s="8" t="s">
        <v>415</v>
      </c>
      <c r="H5" s="14">
        <v>200</v>
      </c>
      <c r="I5" s="15" t="s">
        <v>31</v>
      </c>
      <c r="J5" s="15" t="s">
        <v>416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423</v>
      </c>
      <c r="F1" s="4" t="s">
        <v>424</v>
      </c>
      <c r="G1" s="4" t="s">
        <v>425</v>
      </c>
      <c r="H1" s="4" t="s">
        <v>426</v>
      </c>
      <c r="I1" s="10" t="s">
        <v>9</v>
      </c>
      <c r="J1" s="11" t="s">
        <v>10</v>
      </c>
      <c r="K1" s="12" t="s">
        <v>349</v>
      </c>
    </row>
    <row r="2" s="1" customFormat="1" ht="69" customHeight="1" spans="1:11">
      <c r="A2" s="5" t="s">
        <v>427</v>
      </c>
      <c r="B2" s="6" t="s">
        <v>428</v>
      </c>
      <c r="C2" s="7" t="s">
        <v>22</v>
      </c>
      <c r="D2" s="8" t="s">
        <v>429</v>
      </c>
      <c r="E2" s="9" t="s">
        <v>207</v>
      </c>
      <c r="F2" s="9" t="s">
        <v>208</v>
      </c>
      <c r="G2" s="9" t="s">
        <v>214</v>
      </c>
      <c r="H2" s="9" t="s">
        <v>218</v>
      </c>
      <c r="I2" s="13" t="s">
        <v>430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2025-12-11T09:50:45Z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