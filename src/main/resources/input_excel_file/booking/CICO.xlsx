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 firstSheet="3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<sst xmlns="http://schemas.openxmlformats.org/spreadsheetml/2006/main" count="2782" uniqueCount="474">
  <si>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</si>
  <si>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</si>
  <si>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</si>
  <si>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</si>
  <si>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</si>
  <si>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</si>
  <si>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</si>
  <si>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</si>
  <si>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</si>
  <si>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</si>
  <si>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</si>
  <si>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</si>
  <si>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</si>
  <si>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</si>
  <si>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</si>
  <si>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</si>
  <si>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</si>
  <si>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</si>
  <si>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</si>
  <si>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</si>
  <si>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</si>
  <si>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</si>
  <si>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</si>
  <si>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</si>
  <si>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</si>
  <si>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</si>
  <si>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</si>
  <si>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</si>
  <si>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</si>
  <si>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</si>
  <si>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</si>
  <si>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</si>
  <si>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</si>
  <si>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</si>
  <si>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</si>
  <si>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</si>
  <si>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</si>
  <si>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</si>
  <si>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</si>
  <si>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</si>
  <si>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</si>
  <si>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</si>
  <si>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</si>
  <si>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</si>
  <si>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</si>
  <si>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</si>
  <si>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</si>
  <si>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</si>
  <si>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</si>
  <si>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</si>
  <si>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</si>
  <si>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assert_rounds[1].green_fee</t>
  </si>
  <si>
    <t>assert_rounds[1].caddie_fee</t>
  </si>
  <si>
    <t>assert_rounds[1].voucher_green_fee_amount</t>
  </si>
  <si>
    <t>assert_rounds[1].voucher_caddie_fee_amount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</si>
  <si>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</si>
  <si>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</si>
  <si>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</si>
  <si>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</si>
  <si>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</si>
  <si>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</si>
  <si>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</si>
  <si>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</si>
  <si>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</si>
  <si>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</si>
  <si>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</si>
  <si>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</si>
  <si>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</si>
  <si>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</si>
  <si>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</si>
  <si>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Khách lẻ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</si>
  <si>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</si>
  <si>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</si>
  <si>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</si>
  <si>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</si>
  <si>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</si>
  <si>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</si>
  <si>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VST_003</t>
  </si>
  <si>
    <t>VST_Kiểm tra giá sau khi ghép xe + add restaurant</t>
  </si>
  <si>
    <t>VST_004</t>
  </si>
  <si>
    <t>VST_Kiểm tra giá sau khi ghép xe + add restaurant + kiosk</t>
  </si>
  <si>
    <t>VST_005</t>
  </si>
  <si>
    <t>VST_Kiểm tra giá sau khi ghép xe + add restaurant + kiosk + mini bar</t>
  </si>
  <si>
    <t>VST_006</t>
  </si>
  <si>
    <t>VST_Kiểm tra giá sau khi ghép xe + add restaurant + kiosk + mini bar + driving</t>
  </si>
  <si>
    <t>VST_007</t>
  </si>
  <si>
    <t>VST_Kiểm tra giá sau khi ghép xe + add restaurant + kiosk + mini bar + driving + rental</t>
  </si>
  <si>
    <t>VST_008</t>
  </si>
  <si>
    <t>VST_Kiểm tra giá sau khi ghép xe + add restaurant + kiosk + mini bar + driving + rental + proshop</t>
  </si>
  <si>
    <t>VST_009</t>
  </si>
  <si>
    <t>VST_Kiểm tra giá sau khi ghép xe + add restaurant + add round 2</t>
  </si>
  <si>
    <t>VST_010</t>
  </si>
  <si>
    <t>VST_Kiểm tra giá sau khi ghép xe + add restaurant + add round 2 + ghép xe round 2</t>
  </si>
  <si>
    <t>Apply voucher giảm giá thông thường: Giảm 200k green fee</t>
  </si>
  <si>
    <t>Round 1</t>
  </si>
  <si>
    <t>VST_VC_GREEN_001</t>
  </si>
  <si>
    <t>VST_Kiểm tra giá sau khi check in + add voucher</t>
  </si>
  <si>
    <t>VST_VC_GREEN_002</t>
  </si>
  <si>
    <t>VST_Kiểm tra giá sau khi ghép xe + add voucher</t>
  </si>
  <si>
    <t>VST_VC_GREEN_003</t>
  </si>
  <si>
    <t>VST_Kiểm tra giá sau khi ghép xe + add restaurant + add voucher</t>
  </si>
  <si>
    <t>Round 2: Add voucher</t>
  </si>
  <si>
    <t>VST_VC_GREEN_004</t>
  </si>
  <si>
    <t>VST_Kiểm tra giá sau khi ghép xe + add restaurant + add round 2 + add voucher round 1</t>
  </si>
  <si>
    <t>VST_VC_GREEN_005</t>
  </si>
  <si>
    <t>VST_Kiểm tra giá sau khi ghép xe + add restaurant + add round 2 + add voucher round 1 + add voucher round 2</t>
  </si>
  <si>
    <t>VST_VC_GREEN_006</t>
  </si>
  <si>
    <t>VST_Kiểm tra giá sau khi ghép xe + add restaurant + add round 2 + ghép xe round 2 + add voucher round 1</t>
  </si>
  <si>
    <t>VST_VC_GREEN_007</t>
  </si>
  <si>
    <t>VST_Kiểm tra giá sau khi ghép xe + add restaurant + add round 2 + ghép xe round 2 + add voucher round 2</t>
  </si>
  <si>
    <t>VST_VC_GREEN_008</t>
  </si>
  <si>
    <t>VST_Kiểm tra giá sau khi ghép xe + add restaurant + add round 2 + ghép xe round 2 + add voucher round 1 + add voucher round 2</t>
  </si>
  <si>
    <t>Apply voucher giảm giá thông thường: Giảm 2tr1 cho green + caddie + 1/2 xe + package</t>
  </si>
  <si>
    <t>VST_VC_4FEE_001</t>
  </si>
  <si>
    <t>VST_Kiểm tra giá sau khi check in có add voucher</t>
  </si>
  <si>
    <t>fee_of_bag_0_VND_mustpay_and_0_VND_golf_fee_expect.json</t>
  </si>
  <si>
    <t>{}</t>
  </si>
  <si>
    <t>VST_VC_4FEE_002</t>
  </si>
  <si>
    <t>VST_Kiểm tra giá sau khi ghép xe có add voucher</t>
  </si>
  <si>
    <t>fee_of_bag_0_VND_golf_fee_expect.json</t>
  </si>
  <si>
    <t>VST_VC_4FEE_003</t>
  </si>
  <si>
    <t>VST_Kiểm tra giá sau khi ghép xe + add restaurant có add voucher</t>
  </si>
  <si>
    <t>VST_VC_4FEE_004</t>
  </si>
  <si>
    <t>VST_VC_4FEE_005</t>
  </si>
  <si>
    <t>VST_VC_4FEE_006</t>
  </si>
  <si>
    <t>VST_VC_4FEE_007</t>
  </si>
  <si>
    <t>VST_VC_4FEE_008</t>
  </si>
  <si>
    <t>Apply voucher giảm giá thông thường: Giảm 10% green</t>
  </si>
  <si>
    <t>VST_VC_GREEN_10_001</t>
  </si>
  <si>
    <t>VST_VC_GREEN_10_002</t>
  </si>
  <si>
    <t>VST_VC_GREEN_10_003</t>
  </si>
  <si>
    <t>VST_VC_GREEN_10_004</t>
  </si>
  <si>
    <t>VST_VC_GREEN_10_005</t>
  </si>
  <si>
    <t>VST_VC_GREEN_10_006</t>
  </si>
  <si>
    <t>VST_VC_GREEN_10_007</t>
  </si>
  <si>
    <t>VST_VC_GREEN_10_008</t>
  </si>
  <si>
    <t>Apply voucher giảm giá thông thường: Giảm 10% all fee</t>
  </si>
  <si>
    <t>VST_VC_ALL_10_001</t>
  </si>
  <si>
    <t>VST_VC_ALL_10_002</t>
  </si>
  <si>
    <t>VST_VC_ALL_10_003</t>
  </si>
  <si>
    <t>VST_VC_ALL_10_004</t>
  </si>
  <si>
    <t>VST_Kiểm tra giá sau khi ghép xe + add restaurant + kiosk có add voucher</t>
  </si>
  <si>
    <t>VST_VC_ALL_10_005</t>
  </si>
  <si>
    <t>VST_Kiểm tra giá sau khi ghép xe + add restaurant + kiosk + mini bar có add voucher</t>
  </si>
  <si>
    <t>VST_VC_ALL_10_006</t>
  </si>
  <si>
    <t>VST_Kiểm tra giá sau khi ghép xe + add restaurant + kiosk + mini bar +  driving có add voucher</t>
  </si>
  <si>
    <t>VST_VC_ALL_10_007</t>
  </si>
  <si>
    <t>VST_Kiểm tra giá sau khi ghép xe + add restaurant + kiosk + mini bar +  driving + rental có add voucher</t>
  </si>
  <si>
    <t>VST_VC_ALL_10_008</t>
  </si>
  <si>
    <t>VST_Kiểm tra giá sau khi ghép xe + add restaurant + kiosk + mini bar +  driving + rental + proshop có add voucher</t>
  </si>
  <si>
    <t>VST_VC_ALL_10_009</t>
  </si>
  <si>
    <t>VST_VC_ALL_10_010</t>
  </si>
  <si>
    <t>VST_VC_ALL_10_011</t>
  </si>
  <si>
    <t>VST_VC_ALL_10_012</t>
  </si>
  <si>
    <t>VST_VC_ALL_10_013</t>
  </si>
  <si>
    <t>Apply voucher giảm giá cố định: Green + Caddie + 1/2 xe + Package</t>
  </si>
  <si>
    <t>VST_VC_CD4FEE_001</t>
  </si>
  <si>
    <t>VST_VC_CD4FEE_002</t>
  </si>
  <si>
    <t>VST_VC_CD4FEE_003</t>
  </si>
  <si>
    <t>VST_VC_CD4FEE_004</t>
  </si>
  <si>
    <t>VST_VC_CD4FEE_005</t>
  </si>
  <si>
    <t>VST_VC_CD4FEE_006</t>
  </si>
  <si>
    <t>VST_VC_CD4FEE_007</t>
  </si>
  <si>
    <t>VST_VC_CD4FEE_008</t>
  </si>
  <si>
    <t>Apply voucher trả trước: Green + Caddie + 1/2 xe + Package</t>
  </si>
  <si>
    <t>VST_VC_TT4FEE_001</t>
  </si>
  <si>
    <t>VST_VC_TT4FEE_002</t>
  </si>
  <si>
    <t>VST_VC_TT4FEE_003</t>
  </si>
  <si>
    <t>Đại lý</t>
  </si>
  <si>
    <t>AGENT_001</t>
  </si>
  <si>
    <t>AGENT_Kiểm tra giá sau khi check in</t>
  </si>
  <si>
    <t>fee_of_bag_mustpay_0_VND_expect.json</t>
  </si>
  <si>
    <t>AGENT_002</t>
  </si>
  <si>
    <t>AGENT_Kiểm tra giá sau khi ghép xe</t>
  </si>
  <si>
    <t>AGENT_003</t>
  </si>
  <si>
    <t>AGENT_Kiểm tra giá sau khi ghép xe + add restaurant</t>
  </si>
  <si>
    <t>AGENT_004</t>
  </si>
  <si>
    <t>AGENT_Kiểm tra giá sau khi ghép xe + add restaurant + kiosk</t>
  </si>
  <si>
    <t>AGENT_005</t>
  </si>
  <si>
    <t>AGENT_Kiểm tra giá sau khi ghép xe + add restaurant + kiosk + mini bar</t>
  </si>
  <si>
    <t>AGENT_006</t>
  </si>
  <si>
    <t>AGENT_Kiểm tra giá sau khi ghép xe + add restaurant + kiosk + mini bar + driving</t>
  </si>
  <si>
    <t>AGENT_007</t>
  </si>
  <si>
    <t>AGENT_Kiểm tra giá sau khi ghép xe + add restaurant + kiosk + mini bar + driving + rental</t>
  </si>
  <si>
    <t>AGENT_008</t>
  </si>
  <si>
    <t>AGENT_Kiểm tra giá sau khi ghép xe + add restaurant + kiosk + mini bar + driving + rental + proshop</t>
  </si>
  <si>
    <t>AGENT_VC_GREEN_001</t>
  </si>
  <si>
    <t>AGENT_Kiểm tra giá sau khi check in có add voucher</t>
  </si>
  <si>
    <t>AGENT_VC_GREEN_002</t>
  </si>
  <si>
    <t>AGENT_Kiểm tra giá sau khi ghép xe có add voucher</t>
  </si>
  <si>
    <t>AGENT_VC_GREEN_003</t>
  </si>
  <si>
    <t>AGENT_Kiểm tra giá sau khi ghép xe + add restaurant có add voucher</t>
  </si>
  <si>
    <t>AGENT_VC_4FEE_001</t>
  </si>
  <si>
    <t>AGENT_VC_4FEE_002</t>
  </si>
  <si>
    <t>AGENT_VC_4FEE_003</t>
  </si>
  <si>
    <t>AGENT_VC_GREEN_10_001</t>
  </si>
  <si>
    <t>AGENT_VC_GREEN_10_002</t>
  </si>
  <si>
    <t>AGENT_VC_GREEN_10_003</t>
  </si>
  <si>
    <t>AGENT_VC_ALL_10_001</t>
  </si>
  <si>
    <t>AGENT_VC_ALL_10_002</t>
  </si>
  <si>
    <t>AGENT_VC_ALL_10_003</t>
  </si>
  <si>
    <t>AGENT_VC_ALL_10_004</t>
  </si>
  <si>
    <t>AGENT_Kiểm tra giá sau khi ghép xe + add restaurant + kiosk có add voucher</t>
  </si>
  <si>
    <t>AGENT_VC_ALL_10_005</t>
  </si>
  <si>
    <t>AGENT_Kiểm tra giá sau khi ghép xe + add restaurant + kiosk + mini bar có add voucher</t>
  </si>
  <si>
    <t>AGENT_VC_ALL_10_006</t>
  </si>
  <si>
    <t>AGENT_Kiểm tra giá sau khi ghép xe + add restaurant + kiosk + mini bar +  driving có add voucher</t>
  </si>
  <si>
    <t>AGENT_VC_ALL_10_007</t>
  </si>
  <si>
    <t>AGENT_Kiểm tra giá sau khi ghép xe + add restaurant + kiosk + mini bar +  driving + rental có add voucher</t>
  </si>
  <si>
    <t>AGENT_VC_ALL_10_008</t>
  </si>
  <si>
    <t>AGENT_Kiểm tra giá sau khi ghép xe + add restaurant + kiosk + mini bar +  driving + rental + proshop có add voucher</t>
  </si>
  <si>
    <t>AGENT_VC_CD4FEE_001</t>
  </si>
  <si>
    <t>AGENT_VC_CD4FEE_002</t>
  </si>
  <si>
    <t>AGENT_VC_CD4FEE_003</t>
  </si>
  <si>
    <t>AGENT_VC_TT4FEE_001</t>
  </si>
  <si>
    <t>AGENT_VC_TT4FEE_002</t>
  </si>
  <si>
    <t>AGENT_VC_TT4FEE_003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</si>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</sst>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12" applyNumberFormat="0" applyAlignment="0" applyProtection="0">
      <alignment vertical="center"/>
    </xf>
    <xf numFmtId="0" fontId="14" fillId="11" borderId="13" applyNumberFormat="0" applyAlignment="0" applyProtection="0">
      <alignment vertical="center"/>
    </xf>
    <xf numFmtId="0" fontId="15" fillId="11" borderId="12" applyNumberFormat="0" applyAlignment="0" applyProtection="0">
      <alignment vertical="center"/>
    </xf>
    <xf numFmtId="0" fontId="16" fillId="12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left" vertical="center" wrapText="1" readingOrder="1"/>
    </xf>
    <xf numFmtId="0" fontId="1" fillId="7" borderId="4" xfId="0" applyFont="1" applyFill="1" applyBorder="1" applyAlignment="1">
      <alignment horizontal="left" vertical="center" wrapText="1" readingOrder="1"/>
    </xf>
    <xf numFmtId="0" fontId="2" fillId="7" borderId="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8" borderId="2" xfId="0" applyFont="1" applyFill="1" applyBorder="1" applyAlignment="1">
      <alignment horizontal="left" vertical="center" wrapText="1" readingOrder="1"/>
    </xf>
    <xf numFmtId="0" fontId="1" fillId="8" borderId="4" xfId="0" applyFont="1" applyFill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1" fillId="8" borderId="6" xfId="0" applyFont="1" applyFill="1" applyBorder="1" applyAlignment="1">
      <alignment horizontal="left" vertical="center" wrapText="1" readingOrder="1"/>
    </xf>
    <xf numFmtId="0" fontId="1" fillId="8" borderId="7" xfId="0" applyFont="1" applyFill="1" applyBorder="1" applyAlignment="1">
      <alignment horizontal="left" vertical="center" wrapText="1" readingOrder="1"/>
    </xf>
    <xf numFmtId="0" fontId="1" fillId="8" borderId="8" xfId="0" applyFont="1" applyFill="1" applyBorder="1" applyAlignment="1">
      <alignment horizontal="left" vertical="center" wrapText="1" readingOrder="1"/>
    </xf>
    <xf numFmtId="0" fontId="1" fillId="3" borderId="1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1" fillId="7" borderId="5" xfId="0" applyFont="1" applyFill="1" applyBorder="1" applyAlignment="1">
      <alignment vertical="center" wrapText="1" readingOrder="1"/>
    </xf>
    <xf numFmtId="0" fontId="0" fillId="7" borderId="5" xfId="0" applyFill="1" applyBorder="1" applyAlignment="1">
      <alignment vertical="center" wrapText="1"/>
    </xf>
    <xf numFmtId="0" fontId="0" fillId="7" borderId="5" xfId="0" applyNumberFormat="1" applyFill="1" applyBorder="1" applyAlignment="1">
      <alignment vertical="center" wrapText="1"/>
    </xf>
    <xf numFmtId="0" fontId="0" fillId="7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0" fillId="7" borderId="0" xfId="0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26"/>
  <sheetViews>
    <sheetView tabSelected="1" zoomScale="90" zoomScaleNormal="90" workbookViewId="0">
      <pane ySplit="1" topLeftCell="A71" activePane="bottomLeft" state="frozen"/>
      <selection/>
      <selection pane="bottomLeft" activeCell="D77" sqref="D77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8" width="30.5809523809524" style="1" customWidth="1"/>
    <col min="29" max="29" width="30.4190476190476" style="1" customWidth="1"/>
    <col min="30" max="30" width="25.3714285714286" style="1" customWidth="1"/>
    <col min="31" max="34" width="32.4285714285714" style="1" customWidth="1"/>
    <col min="35" max="35" width="31.2571428571429" style="1" customWidth="1"/>
    <col min="36" max="37" width="28.2380952380952" style="1" customWidth="1"/>
    <col min="38" max="38" width="32.0952380952381" style="1" customWidth="1"/>
    <col min="39" max="39" width="28.2380952380952" style="1" customWidth="1"/>
    <col min="40" max="42" width="27.047619047619" style="1" customWidth="1"/>
    <col min="43" max="43" width="23.35238095238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5" t="s">
        <v>51</v>
      </c>
      <c r="Y1" s="35" t="s">
        <v>52</v>
      </c>
      <c r="Z1" s="35" t="s">
        <v>53</v>
      </c>
      <c r="AA1" s="35" t="s">
        <v>54</v>
      </c>
      <c r="AB1" s="34" t="s">
        <v>55</v>
      </c>
      <c r="AC1" s="34" t="s">
        <v>56</v>
      </c>
      <c r="AD1" s="34" t="s">
        <v>57</v>
      </c>
      <c r="AE1" s="32" t="s">
        <v>58</v>
      </c>
      <c r="AF1" s="35" t="s">
        <v>59</v>
      </c>
      <c r="AG1" s="35" t="s">
        <v>19</v>
      </c>
      <c r="AH1" s="35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  <c r="AN1" s="34" t="s">
        <v>66</v>
      </c>
      <c r="AO1" s="34" t="s">
        <v>67</v>
      </c>
      <c r="AP1" s="34" t="s">
        <v>68</v>
      </c>
      <c r="AQ1" s="34" t="s">
        <v>69</v>
      </c>
    </row>
    <row r="2" s="38" customFormat="1" ht="21" customHeight="1" spans="1:56">
      <c r="A2" s="39"/>
      <c r="B2" s="40" t="s">
        <v>70</v>
      </c>
      <c r="C2" s="41"/>
      <c r="D2" s="41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55"/>
      <c r="R2" s="56"/>
      <c r="S2" s="56"/>
      <c r="T2" s="56"/>
      <c r="U2" s="56"/>
      <c r="V2" s="56"/>
      <c r="W2" s="57"/>
      <c r="X2" s="56"/>
      <c r="Y2" s="56"/>
      <c r="Z2" s="56"/>
      <c r="AA2" s="56"/>
      <c r="AB2" s="56"/>
      <c r="AC2" s="56"/>
      <c r="AD2" s="56"/>
      <c r="AE2" s="56"/>
      <c r="AF2" s="58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</row>
    <row r="3" s="1" customFormat="1" ht="15.75" spans="1:43">
      <c r="A3" s="5" t="s">
        <v>71</v>
      </c>
      <c r="B3" s="6" t="s">
        <v>72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73</v>
      </c>
      <c r="K3" s="9">
        <v>200</v>
      </c>
      <c r="L3" s="14">
        <v>1700000</v>
      </c>
      <c r="M3" s="6">
        <v>0</v>
      </c>
      <c r="N3" s="6">
        <v>0</v>
      </c>
      <c r="O3" s="15" t="s">
        <v>74</v>
      </c>
      <c r="P3" s="6">
        <v>0</v>
      </c>
      <c r="Q3" s="14">
        <v>1700000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/>
      <c r="Y3" s="14"/>
      <c r="Z3" s="14"/>
      <c r="AA3" s="14"/>
      <c r="AB3" s="14">
        <v>1000000</v>
      </c>
      <c r="AC3" s="14">
        <v>600000</v>
      </c>
      <c r="AD3" s="14">
        <f t="shared" ref="AD3:AD12" si="0">AB3+AC3</f>
        <v>1600000</v>
      </c>
      <c r="AE3" s="14"/>
      <c r="AF3" s="14">
        <v>0</v>
      </c>
      <c r="AG3" s="14">
        <v>1</v>
      </c>
      <c r="AH3" s="14">
        <v>100000</v>
      </c>
      <c r="AI3" s="14">
        <v>1600000</v>
      </c>
      <c r="AJ3" s="14">
        <v>0</v>
      </c>
      <c r="AK3" s="14">
        <v>0</v>
      </c>
      <c r="AL3" s="14">
        <v>0</v>
      </c>
      <c r="AM3" s="14">
        <v>0</v>
      </c>
      <c r="AN3" s="14">
        <v>100000</v>
      </c>
      <c r="AO3" s="14">
        <v>0</v>
      </c>
      <c r="AP3" s="14">
        <v>0</v>
      </c>
      <c r="AQ3" s="61">
        <f t="shared" ref="AQ3:AQ12" si="1">SUM(AI3:AP3)</f>
        <v>1700000</v>
      </c>
    </row>
    <row r="4" s="1" customFormat="1" ht="15.75" spans="1:43">
      <c r="A4" s="5" t="s">
        <v>75</v>
      </c>
      <c r="B4" s="6" t="s">
        <v>76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2300000</v>
      </c>
      <c r="M4" s="6">
        <v>0</v>
      </c>
      <c r="N4" s="6">
        <v>0</v>
      </c>
      <c r="O4" s="15" t="s">
        <v>74</v>
      </c>
      <c r="P4" s="6">
        <v>0</v>
      </c>
      <c r="Q4" s="14">
        <v>2300000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/>
      <c r="Y4" s="14"/>
      <c r="Z4" s="14"/>
      <c r="AA4" s="14"/>
      <c r="AB4" s="14">
        <v>1000000</v>
      </c>
      <c r="AC4" s="14">
        <v>600000</v>
      </c>
      <c r="AD4" s="14">
        <f t="shared" si="0"/>
        <v>1600000</v>
      </c>
      <c r="AE4" s="14"/>
      <c r="AF4" s="14">
        <v>0</v>
      </c>
      <c r="AG4" s="14">
        <v>3</v>
      </c>
      <c r="AH4" s="14">
        <v>700000</v>
      </c>
      <c r="AI4" s="14">
        <v>1600000</v>
      </c>
      <c r="AJ4" s="14">
        <v>600000</v>
      </c>
      <c r="AK4" s="14">
        <v>0</v>
      </c>
      <c r="AL4" s="14">
        <v>0</v>
      </c>
      <c r="AM4" s="14">
        <v>0</v>
      </c>
      <c r="AN4" s="14">
        <v>100000</v>
      </c>
      <c r="AO4" s="14">
        <v>0</v>
      </c>
      <c r="AP4" s="14">
        <v>0</v>
      </c>
      <c r="AQ4" s="61">
        <f t="shared" si="1"/>
        <v>2300000</v>
      </c>
    </row>
    <row r="5" s="1" customFormat="1" spans="1:43">
      <c r="A5" s="5" t="s">
        <v>77</v>
      </c>
      <c r="B5" s="6" t="s">
        <v>78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73</v>
      </c>
      <c r="K5" s="9">
        <v>200</v>
      </c>
      <c r="L5" s="14">
        <v>2400000</v>
      </c>
      <c r="M5" s="6">
        <v>0</v>
      </c>
      <c r="N5" s="6">
        <v>0</v>
      </c>
      <c r="O5" s="15" t="s">
        <v>74</v>
      </c>
      <c r="P5" s="6">
        <v>0</v>
      </c>
      <c r="Q5" s="14">
        <v>2400000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/>
      <c r="Y5" s="14"/>
      <c r="Z5" s="14"/>
      <c r="AA5" s="14"/>
      <c r="AB5" s="14">
        <v>1000000</v>
      </c>
      <c r="AC5" s="14">
        <v>600000</v>
      </c>
      <c r="AD5" s="14">
        <f t="shared" si="0"/>
        <v>1600000</v>
      </c>
      <c r="AE5" s="14"/>
      <c r="AF5" s="14">
        <v>0</v>
      </c>
      <c r="AG5" s="14">
        <v>4</v>
      </c>
      <c r="AH5" s="14">
        <v>800000</v>
      </c>
      <c r="AI5" s="14">
        <v>1600000</v>
      </c>
      <c r="AJ5" s="14">
        <v>600000</v>
      </c>
      <c r="AK5" s="14">
        <v>0</v>
      </c>
      <c r="AL5" s="14">
        <v>0</v>
      </c>
      <c r="AM5" s="14">
        <v>100000</v>
      </c>
      <c r="AN5" s="14">
        <v>100000</v>
      </c>
      <c r="AO5" s="14">
        <v>0</v>
      </c>
      <c r="AP5" s="14">
        <v>0</v>
      </c>
      <c r="AQ5" s="61">
        <f t="shared" si="1"/>
        <v>2400000</v>
      </c>
    </row>
    <row r="6" s="1" customFormat="1" spans="1:43">
      <c r="A6" s="5" t="s">
        <v>79</v>
      </c>
      <c r="B6" s="6" t="s">
        <v>80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73</v>
      </c>
      <c r="K6" s="9">
        <v>200</v>
      </c>
      <c r="L6" s="14">
        <v>2500000</v>
      </c>
      <c r="M6" s="6">
        <v>0</v>
      </c>
      <c r="N6" s="6">
        <v>0</v>
      </c>
      <c r="O6" s="15" t="s">
        <v>74</v>
      </c>
      <c r="P6" s="6">
        <v>0</v>
      </c>
      <c r="Q6" s="14">
        <v>2500000</v>
      </c>
      <c r="R6" s="14"/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/>
      <c r="Y6" s="14"/>
      <c r="Z6" s="14"/>
      <c r="AA6" s="14"/>
      <c r="AB6" s="14">
        <v>1000000</v>
      </c>
      <c r="AC6" s="14">
        <v>600000</v>
      </c>
      <c r="AD6" s="14">
        <f t="shared" si="0"/>
        <v>1600000</v>
      </c>
      <c r="AE6" s="14"/>
      <c r="AF6" s="14">
        <v>0</v>
      </c>
      <c r="AG6" s="14">
        <v>5</v>
      </c>
      <c r="AH6" s="14">
        <v>900000</v>
      </c>
      <c r="AI6" s="14">
        <v>1600000</v>
      </c>
      <c r="AJ6" s="14">
        <v>600000</v>
      </c>
      <c r="AK6" s="14">
        <v>0</v>
      </c>
      <c r="AL6" s="14">
        <v>0</v>
      </c>
      <c r="AM6" s="14">
        <v>100000</v>
      </c>
      <c r="AN6" s="14">
        <v>200000</v>
      </c>
      <c r="AO6" s="14">
        <v>0</v>
      </c>
      <c r="AP6" s="14">
        <v>0</v>
      </c>
      <c r="AQ6" s="61">
        <f t="shared" si="1"/>
        <v>2500000</v>
      </c>
    </row>
    <row r="7" s="1" customFormat="1" spans="1:43">
      <c r="A7" s="5" t="s">
        <v>81</v>
      </c>
      <c r="B7" s="6" t="s">
        <v>82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73</v>
      </c>
      <c r="K7" s="9">
        <v>200</v>
      </c>
      <c r="L7" s="14">
        <v>2600000</v>
      </c>
      <c r="M7" s="6">
        <v>0</v>
      </c>
      <c r="N7" s="6">
        <v>0</v>
      </c>
      <c r="O7" s="15" t="s">
        <v>74</v>
      </c>
      <c r="P7" s="6">
        <v>0</v>
      </c>
      <c r="Q7" s="14">
        <v>2600000</v>
      </c>
      <c r="R7" s="14"/>
      <c r="S7" s="14">
        <v>1</v>
      </c>
      <c r="T7" s="14">
        <v>1000000</v>
      </c>
      <c r="U7" s="14">
        <v>600000</v>
      </c>
      <c r="V7" s="14">
        <v>0</v>
      </c>
      <c r="W7" s="14">
        <v>0</v>
      </c>
      <c r="X7" s="14"/>
      <c r="Y7" s="14"/>
      <c r="Z7" s="14"/>
      <c r="AA7" s="14"/>
      <c r="AB7" s="14">
        <v>1000000</v>
      </c>
      <c r="AC7" s="14">
        <v>600000</v>
      </c>
      <c r="AD7" s="14">
        <f t="shared" si="0"/>
        <v>1600000</v>
      </c>
      <c r="AE7" s="14"/>
      <c r="AF7" s="14">
        <v>0</v>
      </c>
      <c r="AG7" s="14">
        <v>6</v>
      </c>
      <c r="AH7" s="6">
        <v>1000000</v>
      </c>
      <c r="AI7" s="14">
        <v>1600000</v>
      </c>
      <c r="AJ7" s="14">
        <v>600000</v>
      </c>
      <c r="AK7" s="14">
        <v>0</v>
      </c>
      <c r="AL7" s="14">
        <v>0</v>
      </c>
      <c r="AM7" s="14">
        <v>100000</v>
      </c>
      <c r="AN7" s="14">
        <v>200000</v>
      </c>
      <c r="AO7" s="14">
        <v>100000</v>
      </c>
      <c r="AP7" s="14">
        <v>0</v>
      </c>
      <c r="AQ7" s="61">
        <f t="shared" si="1"/>
        <v>2600000</v>
      </c>
    </row>
    <row r="8" s="29" customFormat="1" ht="45" spans="1:43">
      <c r="A8" s="5" t="s">
        <v>83</v>
      </c>
      <c r="B8" s="6" t="s">
        <v>84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73</v>
      </c>
      <c r="K8" s="9">
        <v>200</v>
      </c>
      <c r="L8" s="6">
        <v>2700000</v>
      </c>
      <c r="M8" s="6">
        <v>0</v>
      </c>
      <c r="N8" s="6">
        <v>0</v>
      </c>
      <c r="O8" s="15" t="s">
        <v>74</v>
      </c>
      <c r="P8" s="6">
        <v>0</v>
      </c>
      <c r="Q8" s="6">
        <v>2700000</v>
      </c>
      <c r="R8" s="14"/>
      <c r="S8" s="14">
        <v>1</v>
      </c>
      <c r="T8" s="14">
        <v>1000000</v>
      </c>
      <c r="U8" s="14">
        <v>600000</v>
      </c>
      <c r="V8" s="14">
        <v>0</v>
      </c>
      <c r="W8" s="14">
        <v>0</v>
      </c>
      <c r="X8" s="14"/>
      <c r="Y8" s="14"/>
      <c r="Z8" s="14"/>
      <c r="AA8" s="14"/>
      <c r="AB8" s="14">
        <v>1000000</v>
      </c>
      <c r="AC8" s="14">
        <v>600000</v>
      </c>
      <c r="AD8" s="14">
        <f t="shared" si="0"/>
        <v>1600000</v>
      </c>
      <c r="AE8" s="14"/>
      <c r="AF8" s="14">
        <v>0</v>
      </c>
      <c r="AG8" s="14">
        <v>7</v>
      </c>
      <c r="AH8" s="6">
        <v>1100000</v>
      </c>
      <c r="AI8" s="14">
        <v>1600000</v>
      </c>
      <c r="AJ8" s="14">
        <v>600000</v>
      </c>
      <c r="AK8" s="14">
        <v>100000</v>
      </c>
      <c r="AL8" s="14">
        <v>0</v>
      </c>
      <c r="AM8" s="14">
        <v>100000</v>
      </c>
      <c r="AN8" s="14">
        <v>200000</v>
      </c>
      <c r="AO8" s="14">
        <v>100000</v>
      </c>
      <c r="AP8" s="14">
        <v>0</v>
      </c>
      <c r="AQ8" s="61">
        <f t="shared" si="1"/>
        <v>2700000</v>
      </c>
    </row>
    <row r="9" s="29" customFormat="1" ht="45" spans="1:43">
      <c r="A9" s="5" t="s">
        <v>85</v>
      </c>
      <c r="B9" s="6" t="s">
        <v>86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73</v>
      </c>
      <c r="K9" s="9">
        <v>200</v>
      </c>
      <c r="L9" s="6">
        <v>2800000</v>
      </c>
      <c r="M9" s="6">
        <v>0</v>
      </c>
      <c r="N9" s="6">
        <v>0</v>
      </c>
      <c r="O9" s="15" t="s">
        <v>74</v>
      </c>
      <c r="P9" s="6">
        <v>0</v>
      </c>
      <c r="Q9" s="6">
        <v>2800000</v>
      </c>
      <c r="R9" s="14"/>
      <c r="S9" s="14">
        <v>1</v>
      </c>
      <c r="T9" s="14">
        <v>1000000</v>
      </c>
      <c r="U9" s="14">
        <v>600000</v>
      </c>
      <c r="V9" s="14">
        <v>0</v>
      </c>
      <c r="W9" s="14">
        <v>0</v>
      </c>
      <c r="X9" s="14"/>
      <c r="Y9" s="14"/>
      <c r="Z9" s="14"/>
      <c r="AA9" s="14"/>
      <c r="AB9" s="14">
        <v>1000000</v>
      </c>
      <c r="AC9" s="14">
        <v>600000</v>
      </c>
      <c r="AD9" s="14">
        <f t="shared" si="0"/>
        <v>1600000</v>
      </c>
      <c r="AE9" s="14"/>
      <c r="AF9" s="14">
        <v>0</v>
      </c>
      <c r="AG9" s="14">
        <v>8</v>
      </c>
      <c r="AH9" s="6">
        <v>1200000</v>
      </c>
      <c r="AI9" s="14">
        <v>1600000</v>
      </c>
      <c r="AJ9" s="14">
        <v>700000</v>
      </c>
      <c r="AK9" s="14">
        <v>100000</v>
      </c>
      <c r="AL9" s="14">
        <v>0</v>
      </c>
      <c r="AM9" s="14">
        <v>100000</v>
      </c>
      <c r="AN9" s="14">
        <v>200000</v>
      </c>
      <c r="AO9" s="14">
        <v>100000</v>
      </c>
      <c r="AP9" s="14">
        <v>0</v>
      </c>
      <c r="AQ9" s="61">
        <f t="shared" si="1"/>
        <v>2800000</v>
      </c>
    </row>
    <row r="10" s="29" customFormat="1" ht="45" spans="1:43">
      <c r="A10" s="5" t="s">
        <v>87</v>
      </c>
      <c r="B10" s="6" t="s">
        <v>88</v>
      </c>
      <c r="C10" s="26" t="s">
        <v>22</v>
      </c>
      <c r="D10" s="6"/>
      <c r="E10" s="14" t="s">
        <v>23</v>
      </c>
      <c r="F10" s="14" t="s">
        <v>24</v>
      </c>
      <c r="G10" s="9" t="s">
        <v>25</v>
      </c>
      <c r="H10" s="9" t="s">
        <v>26</v>
      </c>
      <c r="I10" s="24" t="s">
        <v>27</v>
      </c>
      <c r="J10" s="6" t="s">
        <v>73</v>
      </c>
      <c r="K10" s="9">
        <v>200</v>
      </c>
      <c r="L10" s="6">
        <v>2900000</v>
      </c>
      <c r="M10" s="6">
        <v>0</v>
      </c>
      <c r="N10" s="6">
        <v>0</v>
      </c>
      <c r="O10" s="15" t="s">
        <v>74</v>
      </c>
      <c r="P10" s="6">
        <v>0</v>
      </c>
      <c r="Q10" s="6">
        <v>2900000</v>
      </c>
      <c r="R10" s="14"/>
      <c r="S10" s="14">
        <v>1</v>
      </c>
      <c r="T10" s="14">
        <v>1000000</v>
      </c>
      <c r="U10" s="14">
        <v>600000</v>
      </c>
      <c r="V10" s="14">
        <v>0</v>
      </c>
      <c r="W10" s="14">
        <v>0</v>
      </c>
      <c r="X10" s="14"/>
      <c r="Y10" s="14"/>
      <c r="Z10" s="14"/>
      <c r="AA10" s="14"/>
      <c r="AB10" s="14">
        <v>1000000</v>
      </c>
      <c r="AC10" s="14">
        <v>600000</v>
      </c>
      <c r="AD10" s="14">
        <f t="shared" si="0"/>
        <v>1600000</v>
      </c>
      <c r="AE10" s="14"/>
      <c r="AF10" s="14">
        <v>0</v>
      </c>
      <c r="AG10" s="14">
        <v>9</v>
      </c>
      <c r="AH10" s="6">
        <v>1300000</v>
      </c>
      <c r="AI10" s="14">
        <v>1600000</v>
      </c>
      <c r="AJ10" s="14">
        <v>700000</v>
      </c>
      <c r="AK10" s="14">
        <v>100000</v>
      </c>
      <c r="AL10" s="14">
        <v>100000</v>
      </c>
      <c r="AM10" s="14">
        <v>100000</v>
      </c>
      <c r="AN10" s="14">
        <v>200000</v>
      </c>
      <c r="AO10" s="14">
        <v>100000</v>
      </c>
      <c r="AP10" s="14">
        <v>0</v>
      </c>
      <c r="AQ10" s="61">
        <f t="shared" si="1"/>
        <v>2900000</v>
      </c>
    </row>
    <row r="11" s="1" customFormat="1" spans="1:43">
      <c r="A11" s="5" t="s">
        <v>89</v>
      </c>
      <c r="B11" s="6" t="s">
        <v>90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73</v>
      </c>
      <c r="K11" s="9">
        <v>200</v>
      </c>
      <c r="L11" s="14">
        <v>3300000</v>
      </c>
      <c r="M11" s="6">
        <v>0</v>
      </c>
      <c r="N11" s="6">
        <v>0</v>
      </c>
      <c r="O11" s="15" t="s">
        <v>74</v>
      </c>
      <c r="P11" s="6">
        <v>0</v>
      </c>
      <c r="Q11" s="14">
        <v>3300000</v>
      </c>
      <c r="R11" s="14"/>
      <c r="S11" s="14">
        <v>2</v>
      </c>
      <c r="T11" s="14">
        <v>1000000</v>
      </c>
      <c r="U11" s="14">
        <v>600000</v>
      </c>
      <c r="V11" s="14">
        <v>0</v>
      </c>
      <c r="W11" s="14">
        <v>0</v>
      </c>
      <c r="X11" s="14">
        <v>500000</v>
      </c>
      <c r="Y11" s="14">
        <v>300000</v>
      </c>
      <c r="Z11" s="14">
        <v>0</v>
      </c>
      <c r="AA11" s="14">
        <v>0</v>
      </c>
      <c r="AB11" s="14">
        <v>1500000</v>
      </c>
      <c r="AC11" s="14">
        <v>900000</v>
      </c>
      <c r="AD11" s="14">
        <f t="shared" si="0"/>
        <v>2400000</v>
      </c>
      <c r="AE11" s="14"/>
      <c r="AF11" s="14">
        <v>0</v>
      </c>
      <c r="AG11" s="14">
        <v>5</v>
      </c>
      <c r="AH11" s="14">
        <v>900000</v>
      </c>
      <c r="AI11" s="14">
        <v>2400000</v>
      </c>
      <c r="AJ11" s="14">
        <v>600000</v>
      </c>
      <c r="AK11" s="14">
        <v>0</v>
      </c>
      <c r="AL11" s="14">
        <v>0</v>
      </c>
      <c r="AM11" s="14">
        <v>100000</v>
      </c>
      <c r="AN11" s="14">
        <v>200000</v>
      </c>
      <c r="AO11" s="14">
        <v>0</v>
      </c>
      <c r="AP11" s="14">
        <v>0</v>
      </c>
      <c r="AQ11" s="61">
        <f t="shared" si="1"/>
        <v>3300000</v>
      </c>
    </row>
    <row r="12" s="29" customFormat="1" ht="45" spans="1:43">
      <c r="A12" s="5" t="s">
        <v>91</v>
      </c>
      <c r="B12" s="6" t="s">
        <v>92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73</v>
      </c>
      <c r="K12" s="9">
        <v>200</v>
      </c>
      <c r="L12" s="14">
        <v>3600000</v>
      </c>
      <c r="M12" s="6">
        <v>0</v>
      </c>
      <c r="N12" s="6">
        <v>0</v>
      </c>
      <c r="O12" s="15" t="s">
        <v>74</v>
      </c>
      <c r="P12" s="6">
        <v>0</v>
      </c>
      <c r="Q12" s="14">
        <v>3600000</v>
      </c>
      <c r="R12" s="14"/>
      <c r="S12" s="14">
        <v>2</v>
      </c>
      <c r="T12" s="14">
        <v>1000000</v>
      </c>
      <c r="U12" s="14">
        <v>600000</v>
      </c>
      <c r="V12" s="14">
        <v>0</v>
      </c>
      <c r="W12" s="14">
        <v>0</v>
      </c>
      <c r="X12" s="14">
        <v>500000</v>
      </c>
      <c r="Y12" s="14">
        <v>300000</v>
      </c>
      <c r="Z12" s="14">
        <v>0</v>
      </c>
      <c r="AA12" s="14">
        <v>0</v>
      </c>
      <c r="AB12" s="14">
        <v>1500000</v>
      </c>
      <c r="AC12" s="14">
        <v>900000</v>
      </c>
      <c r="AD12" s="14">
        <f t="shared" si="0"/>
        <v>2400000</v>
      </c>
      <c r="AE12" s="14"/>
      <c r="AF12" s="14">
        <v>0</v>
      </c>
      <c r="AG12" s="14">
        <v>7</v>
      </c>
      <c r="AH12" s="6">
        <v>1200000</v>
      </c>
      <c r="AI12" s="14">
        <v>2400000</v>
      </c>
      <c r="AJ12" s="14">
        <v>900000</v>
      </c>
      <c r="AK12" s="14">
        <v>0</v>
      </c>
      <c r="AL12" s="14">
        <v>0</v>
      </c>
      <c r="AM12" s="14">
        <v>100000</v>
      </c>
      <c r="AN12" s="14">
        <v>200000</v>
      </c>
      <c r="AO12" s="14">
        <v>0</v>
      </c>
      <c r="AP12" s="14">
        <v>0</v>
      </c>
      <c r="AQ12" s="61">
        <f t="shared" si="1"/>
        <v>3600000</v>
      </c>
    </row>
    <row r="13" s="29" customFormat="1" ht="47" customHeight="1" spans="1:43">
      <c r="A13" s="43"/>
      <c r="B13" s="44" t="s">
        <v>93</v>
      </c>
      <c r="C13" s="45"/>
      <c r="D13" s="45"/>
      <c r="E13" s="46"/>
      <c r="F13" s="46"/>
      <c r="G13" s="46"/>
      <c r="H13" s="46"/>
      <c r="I13" s="53"/>
      <c r="J13" s="54"/>
      <c r="K13" s="34"/>
      <c r="L13" s="34"/>
      <c r="M13" s="32"/>
      <c r="N13" s="32"/>
      <c r="O13" s="33"/>
      <c r="P13" s="32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2"/>
      <c r="AF13" s="32"/>
      <c r="AG13" s="34"/>
      <c r="AH13" s="6"/>
      <c r="AI13" s="34"/>
      <c r="AJ13" s="34"/>
      <c r="AK13" s="34"/>
      <c r="AL13" s="34"/>
      <c r="AM13" s="34"/>
      <c r="AN13" s="34"/>
      <c r="AO13" s="34"/>
      <c r="AP13" s="34"/>
      <c r="AQ13" s="34"/>
    </row>
    <row r="14" s="29" customFormat="1" ht="26" customHeight="1" spans="1:43">
      <c r="A14" s="43"/>
      <c r="B14" s="47" t="s">
        <v>94</v>
      </c>
      <c r="C14" s="48"/>
      <c r="D14" s="48"/>
      <c r="E14" s="46"/>
      <c r="F14" s="46"/>
      <c r="G14" s="46"/>
      <c r="H14" s="46"/>
      <c r="I14" s="53"/>
      <c r="J14" s="54"/>
      <c r="K14" s="34"/>
      <c r="L14" s="34"/>
      <c r="M14" s="32"/>
      <c r="N14" s="32"/>
      <c r="O14" s="33"/>
      <c r="P14" s="32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2"/>
      <c r="AF14" s="32"/>
      <c r="AG14" s="34"/>
      <c r="AH14" s="6"/>
      <c r="AI14" s="34"/>
      <c r="AJ14" s="34"/>
      <c r="AK14" s="34"/>
      <c r="AL14" s="34"/>
      <c r="AM14" s="34"/>
      <c r="AN14" s="34"/>
      <c r="AO14" s="34"/>
      <c r="AP14" s="34"/>
      <c r="AQ14" s="34"/>
    </row>
    <row r="15" s="1" customFormat="1" ht="52" customHeight="1" spans="1:43">
      <c r="A15" s="5" t="s">
        <v>95</v>
      </c>
      <c r="B15" s="6" t="s">
        <v>96</v>
      </c>
      <c r="C15" s="26" t="s">
        <v>22</v>
      </c>
      <c r="D15" s="6"/>
      <c r="E15" s="14" t="s">
        <v>23</v>
      </c>
      <c r="F15" s="14" t="s">
        <v>24</v>
      </c>
      <c r="G15" s="9" t="s">
        <v>25</v>
      </c>
      <c r="H15" s="9" t="s">
        <v>26</v>
      </c>
      <c r="I15" s="24" t="s">
        <v>27</v>
      </c>
      <c r="J15" s="6" t="s">
        <v>73</v>
      </c>
      <c r="K15" s="9">
        <v>200</v>
      </c>
      <c r="L15" s="14">
        <v>1500000</v>
      </c>
      <c r="M15" s="6">
        <v>0</v>
      </c>
      <c r="N15" s="6">
        <v>0</v>
      </c>
      <c r="O15" s="15" t="s">
        <v>74</v>
      </c>
      <c r="P15" s="6">
        <v>0</v>
      </c>
      <c r="Q15" s="14">
        <v>1500000</v>
      </c>
      <c r="R15" s="14"/>
      <c r="S15" s="14">
        <v>1</v>
      </c>
      <c r="T15" s="14">
        <v>800000</v>
      </c>
      <c r="U15" s="14">
        <v>600000</v>
      </c>
      <c r="V15" s="14">
        <v>200000</v>
      </c>
      <c r="W15" s="14">
        <v>0</v>
      </c>
      <c r="X15" s="14"/>
      <c r="Y15" s="14"/>
      <c r="Z15" s="14"/>
      <c r="AA15" s="14"/>
      <c r="AB15" s="14">
        <v>800000</v>
      </c>
      <c r="AC15" s="14">
        <v>600000</v>
      </c>
      <c r="AD15" s="14">
        <f t="shared" ref="AD15:AD19" si="2">AB15+AC15</f>
        <v>1400000</v>
      </c>
      <c r="AE15" s="14"/>
      <c r="AF15" s="14">
        <v>0</v>
      </c>
      <c r="AG15" s="14">
        <v>1</v>
      </c>
      <c r="AH15" s="6">
        <v>100000</v>
      </c>
      <c r="AI15" s="14">
        <v>1400000</v>
      </c>
      <c r="AJ15" s="14">
        <v>0</v>
      </c>
      <c r="AK15" s="14">
        <v>0</v>
      </c>
      <c r="AL15" s="14">
        <v>0</v>
      </c>
      <c r="AM15" s="14">
        <v>0</v>
      </c>
      <c r="AN15" s="14">
        <v>100000</v>
      </c>
      <c r="AO15" s="14">
        <v>0</v>
      </c>
      <c r="AP15" s="14">
        <v>0</v>
      </c>
      <c r="AQ15" s="61">
        <f t="shared" ref="AQ15:AQ23" si="3">SUM(AI15:AP15)</f>
        <v>1500000</v>
      </c>
    </row>
    <row r="16" s="1" customFormat="1" ht="52" customHeight="1" spans="1:43">
      <c r="A16" s="5" t="s">
        <v>97</v>
      </c>
      <c r="B16" s="6" t="s">
        <v>98</v>
      </c>
      <c r="C16" s="26" t="s">
        <v>22</v>
      </c>
      <c r="D16" s="6"/>
      <c r="E16" s="14" t="s">
        <v>23</v>
      </c>
      <c r="F16" s="14" t="s">
        <v>24</v>
      </c>
      <c r="G16" s="9" t="s">
        <v>25</v>
      </c>
      <c r="H16" s="9" t="s">
        <v>26</v>
      </c>
      <c r="I16" s="24" t="s">
        <v>27</v>
      </c>
      <c r="J16" s="6" t="s">
        <v>73</v>
      </c>
      <c r="K16" s="9">
        <v>200</v>
      </c>
      <c r="L16" s="14">
        <v>2100000</v>
      </c>
      <c r="M16" s="6">
        <v>0</v>
      </c>
      <c r="N16" s="6">
        <v>0</v>
      </c>
      <c r="O16" s="15" t="s">
        <v>74</v>
      </c>
      <c r="P16" s="6">
        <v>0</v>
      </c>
      <c r="Q16" s="14">
        <v>2100000</v>
      </c>
      <c r="R16" s="14"/>
      <c r="S16" s="14">
        <v>1</v>
      </c>
      <c r="T16" s="14">
        <v>800000</v>
      </c>
      <c r="U16" s="14">
        <v>600000</v>
      </c>
      <c r="V16" s="14">
        <v>200000</v>
      </c>
      <c r="W16" s="14">
        <v>0</v>
      </c>
      <c r="X16" s="14"/>
      <c r="Y16" s="14"/>
      <c r="Z16" s="14"/>
      <c r="AA16" s="14"/>
      <c r="AB16" s="14">
        <v>800000</v>
      </c>
      <c r="AC16" s="14">
        <v>600000</v>
      </c>
      <c r="AD16" s="14">
        <f t="shared" si="2"/>
        <v>1400000</v>
      </c>
      <c r="AE16" s="14"/>
      <c r="AF16" s="14">
        <v>0</v>
      </c>
      <c r="AG16" s="14">
        <v>3</v>
      </c>
      <c r="AH16" s="14">
        <v>700000</v>
      </c>
      <c r="AI16" s="14">
        <v>1400000</v>
      </c>
      <c r="AJ16" s="14">
        <v>600000</v>
      </c>
      <c r="AK16" s="14">
        <v>0</v>
      </c>
      <c r="AL16" s="14">
        <v>0</v>
      </c>
      <c r="AM16" s="14">
        <v>0</v>
      </c>
      <c r="AN16" s="14">
        <v>100000</v>
      </c>
      <c r="AO16" s="14">
        <v>0</v>
      </c>
      <c r="AP16" s="14">
        <v>0</v>
      </c>
      <c r="AQ16" s="61">
        <f t="shared" si="3"/>
        <v>2100000</v>
      </c>
    </row>
    <row r="17" s="1" customFormat="1" ht="52" customHeight="1" spans="1:43">
      <c r="A17" s="5" t="s">
        <v>99</v>
      </c>
      <c r="B17" s="6" t="s">
        <v>100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73</v>
      </c>
      <c r="K17" s="9">
        <v>200</v>
      </c>
      <c r="L17" s="14">
        <v>2200000</v>
      </c>
      <c r="M17" s="6">
        <v>0</v>
      </c>
      <c r="N17" s="6">
        <v>0</v>
      </c>
      <c r="O17" s="15" t="s">
        <v>74</v>
      </c>
      <c r="P17" s="6">
        <v>0</v>
      </c>
      <c r="Q17" s="14">
        <v>2200000</v>
      </c>
      <c r="R17" s="14"/>
      <c r="S17" s="14">
        <v>1</v>
      </c>
      <c r="T17" s="14">
        <v>800000</v>
      </c>
      <c r="U17" s="14">
        <v>600000</v>
      </c>
      <c r="V17" s="14">
        <v>200000</v>
      </c>
      <c r="W17" s="14">
        <v>0</v>
      </c>
      <c r="X17" s="14"/>
      <c r="Y17" s="14"/>
      <c r="Z17" s="14"/>
      <c r="AA17" s="14"/>
      <c r="AB17" s="14">
        <v>800000</v>
      </c>
      <c r="AC17" s="14">
        <v>600000</v>
      </c>
      <c r="AD17" s="14">
        <f t="shared" si="2"/>
        <v>1400000</v>
      </c>
      <c r="AE17" s="14"/>
      <c r="AF17" s="14">
        <v>0</v>
      </c>
      <c r="AG17" s="14">
        <v>4</v>
      </c>
      <c r="AH17" s="14">
        <v>800000</v>
      </c>
      <c r="AI17" s="14">
        <v>1400000</v>
      </c>
      <c r="AJ17" s="14">
        <v>600000</v>
      </c>
      <c r="AK17" s="14">
        <v>0</v>
      </c>
      <c r="AL17" s="14">
        <v>0</v>
      </c>
      <c r="AM17" s="14">
        <v>100000</v>
      </c>
      <c r="AN17" s="14">
        <v>100000</v>
      </c>
      <c r="AO17" s="14">
        <v>0</v>
      </c>
      <c r="AP17" s="14">
        <v>0</v>
      </c>
      <c r="AQ17" s="61">
        <f t="shared" si="3"/>
        <v>2200000</v>
      </c>
    </row>
    <row r="18" s="1" customFormat="1" ht="46" customHeight="1" spans="1:43">
      <c r="A18" s="5"/>
      <c r="B18" s="47" t="s">
        <v>101</v>
      </c>
      <c r="C18" s="26"/>
      <c r="D18" s="6"/>
      <c r="E18" s="14"/>
      <c r="F18" s="14"/>
      <c r="G18" s="9"/>
      <c r="H18" s="9"/>
      <c r="I18" s="24"/>
      <c r="J18" s="6"/>
      <c r="K18" s="9"/>
      <c r="L18" s="14"/>
      <c r="M18" s="6"/>
      <c r="N18" s="6"/>
      <c r="O18" s="15"/>
      <c r="P18" s="6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61"/>
    </row>
    <row r="19" s="1" customFormat="1" ht="52" customHeight="1" spans="1:43">
      <c r="A19" s="5" t="s">
        <v>102</v>
      </c>
      <c r="B19" s="6" t="s">
        <v>103</v>
      </c>
      <c r="C19" s="26" t="s">
        <v>22</v>
      </c>
      <c r="D19" s="6"/>
      <c r="E19" s="14" t="s">
        <v>23</v>
      </c>
      <c r="F19" s="14" t="s">
        <v>24</v>
      </c>
      <c r="G19" s="9" t="s">
        <v>25</v>
      </c>
      <c r="H19" s="9" t="s">
        <v>26</v>
      </c>
      <c r="I19" s="24" t="s">
        <v>27</v>
      </c>
      <c r="J19" s="6" t="s">
        <v>73</v>
      </c>
      <c r="K19" s="9">
        <v>200</v>
      </c>
      <c r="L19" s="14">
        <v>3100000</v>
      </c>
      <c r="M19" s="6">
        <v>0</v>
      </c>
      <c r="N19" s="6">
        <v>0</v>
      </c>
      <c r="O19" s="15" t="s">
        <v>74</v>
      </c>
      <c r="P19" s="6">
        <v>0</v>
      </c>
      <c r="Q19" s="14">
        <v>3100000</v>
      </c>
      <c r="R19" s="14"/>
      <c r="S19" s="14">
        <v>2</v>
      </c>
      <c r="T19" s="14">
        <v>800000</v>
      </c>
      <c r="U19" s="14">
        <v>600000</v>
      </c>
      <c r="V19" s="14">
        <v>200000</v>
      </c>
      <c r="W19" s="14">
        <v>0</v>
      </c>
      <c r="X19" s="14">
        <v>500000</v>
      </c>
      <c r="Y19" s="14">
        <v>300000</v>
      </c>
      <c r="Z19" s="14">
        <v>0</v>
      </c>
      <c r="AA19" s="14">
        <v>0</v>
      </c>
      <c r="AB19" s="14">
        <v>1300000</v>
      </c>
      <c r="AC19" s="14">
        <v>900000</v>
      </c>
      <c r="AD19" s="14">
        <v>2200000</v>
      </c>
      <c r="AE19" s="14"/>
      <c r="AF19" s="14">
        <v>0</v>
      </c>
      <c r="AG19" s="14">
        <v>5</v>
      </c>
      <c r="AH19" s="14">
        <v>900000</v>
      </c>
      <c r="AI19" s="14">
        <v>2200000</v>
      </c>
      <c r="AJ19" s="14">
        <v>600000</v>
      </c>
      <c r="AK19" s="14">
        <v>0</v>
      </c>
      <c r="AL19" s="14">
        <v>0</v>
      </c>
      <c r="AM19" s="14">
        <v>100000</v>
      </c>
      <c r="AN19" s="14">
        <v>200000</v>
      </c>
      <c r="AO19" s="14">
        <v>0</v>
      </c>
      <c r="AP19" s="14">
        <v>0</v>
      </c>
      <c r="AQ19" s="61">
        <f t="shared" si="3"/>
        <v>3100000</v>
      </c>
    </row>
    <row r="20" s="1" customFormat="1" ht="72" customHeight="1" spans="1:43">
      <c r="A20" s="5" t="s">
        <v>104</v>
      </c>
      <c r="B20" s="6" t="s">
        <v>105</v>
      </c>
      <c r="C20" s="26" t="s">
        <v>22</v>
      </c>
      <c r="D20" s="6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6" t="s">
        <v>73</v>
      </c>
      <c r="K20" s="9">
        <v>200</v>
      </c>
      <c r="L20" s="14">
        <v>2900000</v>
      </c>
      <c r="M20" s="6">
        <v>0</v>
      </c>
      <c r="N20" s="6">
        <v>0</v>
      </c>
      <c r="O20" s="15" t="s">
        <v>74</v>
      </c>
      <c r="P20" s="6">
        <v>0</v>
      </c>
      <c r="Q20" s="14">
        <v>2900000</v>
      </c>
      <c r="R20" s="14"/>
      <c r="S20" s="14">
        <v>2</v>
      </c>
      <c r="T20" s="14">
        <v>800000</v>
      </c>
      <c r="U20" s="14">
        <v>600000</v>
      </c>
      <c r="V20" s="14">
        <v>200000</v>
      </c>
      <c r="W20" s="14">
        <v>0</v>
      </c>
      <c r="X20" s="14">
        <v>300000</v>
      </c>
      <c r="Y20" s="14">
        <v>300000</v>
      </c>
      <c r="Z20" s="14">
        <v>200000</v>
      </c>
      <c r="AA20" s="14">
        <v>0</v>
      </c>
      <c r="AB20" s="14">
        <v>1100000</v>
      </c>
      <c r="AC20" s="14">
        <v>900000</v>
      </c>
      <c r="AD20" s="14">
        <v>2000000</v>
      </c>
      <c r="AE20" s="14"/>
      <c r="AF20" s="14">
        <v>0</v>
      </c>
      <c r="AG20" s="14">
        <v>5</v>
      </c>
      <c r="AH20" s="14">
        <v>900000</v>
      </c>
      <c r="AI20" s="14">
        <v>2000000</v>
      </c>
      <c r="AJ20" s="14">
        <v>600000</v>
      </c>
      <c r="AK20" s="14">
        <v>0</v>
      </c>
      <c r="AL20" s="14">
        <v>0</v>
      </c>
      <c r="AM20" s="14">
        <v>100000</v>
      </c>
      <c r="AN20" s="14">
        <v>200000</v>
      </c>
      <c r="AO20" s="14">
        <v>0</v>
      </c>
      <c r="AP20" s="14">
        <v>0</v>
      </c>
      <c r="AQ20" s="61">
        <f t="shared" si="3"/>
        <v>2900000</v>
      </c>
    </row>
    <row r="21" s="1" customFormat="1" ht="66" customHeight="1" spans="1:43">
      <c r="A21" s="5" t="s">
        <v>106</v>
      </c>
      <c r="B21" s="6" t="s">
        <v>107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73</v>
      </c>
      <c r="K21" s="9">
        <v>200</v>
      </c>
      <c r="L21" s="14">
        <v>3400000</v>
      </c>
      <c r="M21" s="6">
        <v>0</v>
      </c>
      <c r="N21" s="6">
        <v>0</v>
      </c>
      <c r="O21" s="15" t="s">
        <v>74</v>
      </c>
      <c r="P21" s="6">
        <v>0</v>
      </c>
      <c r="Q21" s="14">
        <v>3400000</v>
      </c>
      <c r="R21" s="14"/>
      <c r="S21" s="14">
        <v>2</v>
      </c>
      <c r="T21" s="14">
        <v>800000</v>
      </c>
      <c r="U21" s="14">
        <v>600000</v>
      </c>
      <c r="V21" s="14">
        <v>200000</v>
      </c>
      <c r="W21" s="14">
        <v>0</v>
      </c>
      <c r="X21" s="14">
        <v>500000</v>
      </c>
      <c r="Y21" s="14">
        <v>300000</v>
      </c>
      <c r="Z21" s="14">
        <v>0</v>
      </c>
      <c r="AA21" s="14">
        <v>0</v>
      </c>
      <c r="AB21" s="14">
        <v>1300000</v>
      </c>
      <c r="AC21" s="14">
        <v>900000</v>
      </c>
      <c r="AD21" s="14">
        <v>2200000</v>
      </c>
      <c r="AE21" s="14"/>
      <c r="AF21" s="14">
        <v>0</v>
      </c>
      <c r="AG21" s="14">
        <v>7</v>
      </c>
      <c r="AH21" s="14">
        <v>1200000</v>
      </c>
      <c r="AI21" s="14">
        <v>2200000</v>
      </c>
      <c r="AJ21" s="14">
        <v>900000</v>
      </c>
      <c r="AK21" s="14">
        <v>0</v>
      </c>
      <c r="AL21" s="14">
        <v>0</v>
      </c>
      <c r="AM21" s="14">
        <v>100000</v>
      </c>
      <c r="AN21" s="14">
        <v>200000</v>
      </c>
      <c r="AO21" s="14">
        <v>0</v>
      </c>
      <c r="AP21" s="14">
        <v>0</v>
      </c>
      <c r="AQ21" s="61">
        <f t="shared" si="3"/>
        <v>3400000</v>
      </c>
    </row>
    <row r="22" s="1" customFormat="1" ht="66" customHeight="1" spans="1:43">
      <c r="A22" s="5" t="s">
        <v>108</v>
      </c>
      <c r="B22" s="6" t="s">
        <v>109</v>
      </c>
      <c r="C22" s="26" t="s">
        <v>22</v>
      </c>
      <c r="D22" s="6"/>
      <c r="E22" s="14" t="s">
        <v>23</v>
      </c>
      <c r="F22" s="14" t="s">
        <v>24</v>
      </c>
      <c r="G22" s="9" t="s">
        <v>25</v>
      </c>
      <c r="H22" s="9" t="s">
        <v>26</v>
      </c>
      <c r="I22" s="24" t="s">
        <v>27</v>
      </c>
      <c r="J22" s="6" t="s">
        <v>73</v>
      </c>
      <c r="K22" s="9">
        <v>200</v>
      </c>
      <c r="L22" s="14">
        <v>3400000</v>
      </c>
      <c r="M22" s="6">
        <v>0</v>
      </c>
      <c r="N22" s="6">
        <v>0</v>
      </c>
      <c r="O22" s="15" t="s">
        <v>74</v>
      </c>
      <c r="P22" s="6">
        <v>0</v>
      </c>
      <c r="Q22" s="14">
        <v>3400000</v>
      </c>
      <c r="R22" s="14"/>
      <c r="S22" s="14">
        <v>2</v>
      </c>
      <c r="T22" s="14">
        <v>1000000</v>
      </c>
      <c r="U22" s="14">
        <v>600000</v>
      </c>
      <c r="V22" s="14">
        <v>0</v>
      </c>
      <c r="W22" s="14">
        <v>0</v>
      </c>
      <c r="X22" s="14">
        <v>300000</v>
      </c>
      <c r="Y22" s="14">
        <v>300000</v>
      </c>
      <c r="Z22" s="14">
        <v>200000</v>
      </c>
      <c r="AA22" s="14">
        <v>0</v>
      </c>
      <c r="AB22" s="14">
        <v>1300000</v>
      </c>
      <c r="AC22" s="14">
        <v>900000</v>
      </c>
      <c r="AD22" s="14">
        <v>2200000</v>
      </c>
      <c r="AE22" s="14"/>
      <c r="AF22" s="14">
        <v>0</v>
      </c>
      <c r="AG22" s="14">
        <v>7</v>
      </c>
      <c r="AH22" s="14">
        <v>1200000</v>
      </c>
      <c r="AI22" s="14">
        <v>2200000</v>
      </c>
      <c r="AJ22" s="14">
        <v>900000</v>
      </c>
      <c r="AK22" s="14">
        <v>0</v>
      </c>
      <c r="AL22" s="14">
        <v>0</v>
      </c>
      <c r="AM22" s="14">
        <v>100000</v>
      </c>
      <c r="AN22" s="14">
        <v>200000</v>
      </c>
      <c r="AO22" s="14">
        <v>0</v>
      </c>
      <c r="AP22" s="14">
        <v>0</v>
      </c>
      <c r="AQ22" s="61">
        <f t="shared" si="3"/>
        <v>3400000</v>
      </c>
    </row>
    <row r="23" s="1" customFormat="1" ht="66" customHeight="1" spans="1:43">
      <c r="A23" s="5" t="s">
        <v>110</v>
      </c>
      <c r="B23" s="6" t="s">
        <v>111</v>
      </c>
      <c r="C23" s="26" t="s">
        <v>22</v>
      </c>
      <c r="D23" s="6"/>
      <c r="E23" s="14" t="s">
        <v>23</v>
      </c>
      <c r="F23" s="14" t="s">
        <v>24</v>
      </c>
      <c r="G23" s="9" t="s">
        <v>25</v>
      </c>
      <c r="H23" s="9" t="s">
        <v>26</v>
      </c>
      <c r="I23" s="24" t="s">
        <v>27</v>
      </c>
      <c r="J23" s="6" t="s">
        <v>73</v>
      </c>
      <c r="K23" s="9">
        <v>200</v>
      </c>
      <c r="L23" s="14">
        <v>3200000</v>
      </c>
      <c r="M23" s="6">
        <v>0</v>
      </c>
      <c r="N23" s="6">
        <v>0</v>
      </c>
      <c r="O23" s="15" t="s">
        <v>74</v>
      </c>
      <c r="P23" s="6">
        <v>0</v>
      </c>
      <c r="Q23" s="14">
        <v>3200000</v>
      </c>
      <c r="R23" s="14"/>
      <c r="S23" s="14">
        <v>2</v>
      </c>
      <c r="T23" s="14">
        <v>800000</v>
      </c>
      <c r="U23" s="14">
        <v>600000</v>
      </c>
      <c r="V23" s="14">
        <v>200000</v>
      </c>
      <c r="W23" s="14">
        <v>0</v>
      </c>
      <c r="X23" s="14">
        <v>300000</v>
      </c>
      <c r="Y23" s="14">
        <v>300000</v>
      </c>
      <c r="Z23" s="14">
        <v>200000</v>
      </c>
      <c r="AA23" s="14">
        <v>0</v>
      </c>
      <c r="AB23" s="14">
        <v>1100000</v>
      </c>
      <c r="AC23" s="14">
        <v>900000</v>
      </c>
      <c r="AD23" s="14">
        <v>2000000</v>
      </c>
      <c r="AE23" s="14"/>
      <c r="AF23" s="14">
        <v>0</v>
      </c>
      <c r="AG23" s="14">
        <v>7</v>
      </c>
      <c r="AH23" s="14">
        <v>1200000</v>
      </c>
      <c r="AI23" s="14">
        <v>2000000</v>
      </c>
      <c r="AJ23" s="14">
        <v>900000</v>
      </c>
      <c r="AK23" s="14">
        <v>0</v>
      </c>
      <c r="AL23" s="14">
        <v>0</v>
      </c>
      <c r="AM23" s="14">
        <v>100000</v>
      </c>
      <c r="AN23" s="14">
        <v>200000</v>
      </c>
      <c r="AO23" s="14">
        <v>0</v>
      </c>
      <c r="AP23" s="14">
        <v>0</v>
      </c>
      <c r="AQ23" s="61">
        <f t="shared" si="3"/>
        <v>3200000</v>
      </c>
    </row>
    <row r="24" s="1" customFormat="1" ht="52" customHeight="1" spans="1:43">
      <c r="A24" s="5"/>
      <c r="B24" s="49" t="s">
        <v>112</v>
      </c>
      <c r="C24" s="50"/>
      <c r="D24" s="50"/>
      <c r="E24" s="50"/>
      <c r="F24" s="51"/>
      <c r="G24" s="9"/>
      <c r="H24" s="9"/>
      <c r="I24" s="24"/>
      <c r="J24" s="6"/>
      <c r="K24" s="9"/>
      <c r="L24" s="14"/>
      <c r="M24" s="6"/>
      <c r="N24" s="6"/>
      <c r="O24" s="15"/>
      <c r="P24" s="6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</row>
    <row r="25" s="1" customFormat="1" ht="22" customHeight="1" spans="1:43">
      <c r="A25" s="5"/>
      <c r="B25" s="47" t="s">
        <v>94</v>
      </c>
      <c r="C25" s="52"/>
      <c r="D25" s="52"/>
      <c r="E25" s="52"/>
      <c r="F25" s="52"/>
      <c r="G25" s="9"/>
      <c r="H25" s="9"/>
      <c r="I25" s="24"/>
      <c r="J25" s="6"/>
      <c r="K25" s="9"/>
      <c r="L25" s="14"/>
      <c r="M25" s="6"/>
      <c r="N25" s="6"/>
      <c r="O25" s="15"/>
      <c r="P25" s="6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</row>
    <row r="26" s="1" customFormat="1" ht="52" customHeight="1" spans="1:43">
      <c r="A26" s="5" t="s">
        <v>113</v>
      </c>
      <c r="B26" s="6" t="s">
        <v>114</v>
      </c>
      <c r="C26" s="26" t="s">
        <v>22</v>
      </c>
      <c r="D26" s="6"/>
      <c r="E26" s="14" t="s">
        <v>23</v>
      </c>
      <c r="F26" s="14" t="s">
        <v>24</v>
      </c>
      <c r="G26" s="9" t="s">
        <v>25</v>
      </c>
      <c r="H26" s="9" t="s">
        <v>26</v>
      </c>
      <c r="I26" s="24" t="s">
        <v>27</v>
      </c>
      <c r="J26" s="6" t="s">
        <v>115</v>
      </c>
      <c r="K26" s="9">
        <v>200</v>
      </c>
      <c r="L26" s="14">
        <v>0</v>
      </c>
      <c r="M26" s="6">
        <v>0</v>
      </c>
      <c r="N26" s="6">
        <v>0</v>
      </c>
      <c r="O26" s="15" t="s">
        <v>74</v>
      </c>
      <c r="P26" s="6">
        <v>0</v>
      </c>
      <c r="Q26" s="14">
        <v>0</v>
      </c>
      <c r="R26" s="14" t="s">
        <v>116</v>
      </c>
      <c r="S26" s="14">
        <v>1</v>
      </c>
      <c r="T26" s="14">
        <v>0</v>
      </c>
      <c r="U26" s="14">
        <v>0</v>
      </c>
      <c r="V26" s="14">
        <v>1000000</v>
      </c>
      <c r="W26" s="14">
        <v>600000</v>
      </c>
      <c r="X26" s="14"/>
      <c r="Y26" s="14"/>
      <c r="Z26" s="14"/>
      <c r="AA26" s="14"/>
      <c r="AB26" s="14"/>
      <c r="AC26" s="14"/>
      <c r="AD26" s="14"/>
      <c r="AE26" s="14" t="s">
        <v>116</v>
      </c>
      <c r="AF26" s="14">
        <v>0</v>
      </c>
      <c r="AG26" s="14">
        <v>1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0</v>
      </c>
      <c r="AN26" s="14">
        <v>0</v>
      </c>
      <c r="AO26" s="14">
        <v>0</v>
      </c>
      <c r="AP26" s="14">
        <v>0</v>
      </c>
      <c r="AQ26" s="61">
        <f t="shared" ref="AQ26:AQ34" si="4">SUM(AI26:AP26)</f>
        <v>0</v>
      </c>
    </row>
    <row r="27" s="1" customFormat="1" ht="52" customHeight="1" spans="1:43">
      <c r="A27" s="5" t="s">
        <v>117</v>
      </c>
      <c r="B27" s="6" t="s">
        <v>118</v>
      </c>
      <c r="C27" s="26" t="s">
        <v>22</v>
      </c>
      <c r="D27" s="6"/>
      <c r="E27" s="14" t="s">
        <v>23</v>
      </c>
      <c r="F27" s="14" t="s">
        <v>24</v>
      </c>
      <c r="G27" s="9" t="s">
        <v>25</v>
      </c>
      <c r="H27" s="9" t="s">
        <v>26</v>
      </c>
      <c r="I27" s="24" t="s">
        <v>27</v>
      </c>
      <c r="J27" s="6" t="s">
        <v>119</v>
      </c>
      <c r="K27" s="9">
        <v>200</v>
      </c>
      <c r="L27" s="14">
        <v>200000</v>
      </c>
      <c r="M27" s="6">
        <v>0</v>
      </c>
      <c r="N27" s="6">
        <v>0</v>
      </c>
      <c r="O27" s="15" t="s">
        <v>74</v>
      </c>
      <c r="P27" s="6">
        <v>0</v>
      </c>
      <c r="Q27" s="14">
        <v>200000</v>
      </c>
      <c r="R27" s="14"/>
      <c r="S27" s="14">
        <v>1</v>
      </c>
      <c r="T27" s="14">
        <v>0</v>
      </c>
      <c r="U27" s="14">
        <v>0</v>
      </c>
      <c r="V27" s="14">
        <v>1000000</v>
      </c>
      <c r="W27" s="14">
        <v>600000</v>
      </c>
      <c r="X27" s="14"/>
      <c r="Y27" s="14"/>
      <c r="Z27" s="14"/>
      <c r="AA27" s="14"/>
      <c r="AB27" s="14"/>
      <c r="AC27" s="14"/>
      <c r="AD27" s="14"/>
      <c r="AE27" s="14" t="s">
        <v>116</v>
      </c>
      <c r="AF27" s="14">
        <v>0</v>
      </c>
      <c r="AG27" s="14">
        <v>3</v>
      </c>
      <c r="AH27" s="14">
        <v>200000</v>
      </c>
      <c r="AI27" s="14">
        <v>0</v>
      </c>
      <c r="AJ27" s="14">
        <v>200000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  <c r="AQ27" s="61">
        <f t="shared" si="4"/>
        <v>200000</v>
      </c>
    </row>
    <row r="28" s="1" customFormat="1" ht="52" customHeight="1" spans="1:43">
      <c r="A28" s="5" t="s">
        <v>120</v>
      </c>
      <c r="B28" s="6" t="s">
        <v>121</v>
      </c>
      <c r="C28" s="26" t="s">
        <v>22</v>
      </c>
      <c r="D28" s="6"/>
      <c r="E28" s="14" t="s">
        <v>23</v>
      </c>
      <c r="F28" s="14" t="s">
        <v>24</v>
      </c>
      <c r="G28" s="9" t="s">
        <v>25</v>
      </c>
      <c r="H28" s="9" t="s">
        <v>26</v>
      </c>
      <c r="I28" s="24" t="s">
        <v>27</v>
      </c>
      <c r="J28" s="6" t="s">
        <v>119</v>
      </c>
      <c r="K28" s="9">
        <v>200</v>
      </c>
      <c r="L28" s="14">
        <v>300000</v>
      </c>
      <c r="M28" s="6">
        <v>0</v>
      </c>
      <c r="N28" s="6">
        <v>0</v>
      </c>
      <c r="O28" s="15" t="s">
        <v>74</v>
      </c>
      <c r="P28" s="6">
        <v>0</v>
      </c>
      <c r="Q28" s="14">
        <v>300000</v>
      </c>
      <c r="R28" s="14"/>
      <c r="S28" s="14">
        <v>1</v>
      </c>
      <c r="T28" s="14">
        <v>0</v>
      </c>
      <c r="U28" s="14">
        <v>0</v>
      </c>
      <c r="V28" s="14">
        <v>1000000</v>
      </c>
      <c r="W28" s="14">
        <v>600000</v>
      </c>
      <c r="X28" s="14"/>
      <c r="Y28" s="14"/>
      <c r="Z28" s="14"/>
      <c r="AA28" s="14"/>
      <c r="AB28" s="14"/>
      <c r="AC28" s="14"/>
      <c r="AD28" s="14"/>
      <c r="AE28" s="14" t="s">
        <v>116</v>
      </c>
      <c r="AF28" s="14">
        <v>0</v>
      </c>
      <c r="AG28" s="14">
        <v>4</v>
      </c>
      <c r="AH28" s="14">
        <v>300000</v>
      </c>
      <c r="AI28" s="14">
        <v>0</v>
      </c>
      <c r="AJ28" s="14">
        <v>200000</v>
      </c>
      <c r="AK28" s="14">
        <v>0</v>
      </c>
      <c r="AL28" s="14">
        <v>0</v>
      </c>
      <c r="AM28" s="14">
        <v>100000</v>
      </c>
      <c r="AN28" s="14">
        <v>0</v>
      </c>
      <c r="AO28" s="14">
        <v>0</v>
      </c>
      <c r="AP28" s="14">
        <v>0</v>
      </c>
      <c r="AQ28" s="61">
        <f t="shared" si="4"/>
        <v>300000</v>
      </c>
    </row>
    <row r="29" s="1" customFormat="1" ht="25" customHeight="1" spans="1:43">
      <c r="A29" s="5"/>
      <c r="B29" s="47" t="s">
        <v>101</v>
      </c>
      <c r="C29" s="26"/>
      <c r="D29" s="6"/>
      <c r="E29" s="14"/>
      <c r="F29" s="14"/>
      <c r="G29" s="9"/>
      <c r="H29" s="9"/>
      <c r="I29" s="24"/>
      <c r="J29" s="6"/>
      <c r="K29" s="9"/>
      <c r="L29" s="14"/>
      <c r="M29" s="6"/>
      <c r="N29" s="6"/>
      <c r="O29" s="15"/>
      <c r="P29" s="6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61"/>
    </row>
    <row r="30" s="1" customFormat="1" ht="52" customHeight="1" spans="1:43">
      <c r="A30" s="5" t="s">
        <v>122</v>
      </c>
      <c r="B30" s="6" t="s">
        <v>103</v>
      </c>
      <c r="C30" s="26" t="s">
        <v>22</v>
      </c>
      <c r="D30" s="6"/>
      <c r="E30" s="14" t="s">
        <v>23</v>
      </c>
      <c r="F30" s="14" t="s">
        <v>24</v>
      </c>
      <c r="G30" s="9" t="s">
        <v>25</v>
      </c>
      <c r="H30" s="9" t="s">
        <v>26</v>
      </c>
      <c r="I30" s="24" t="s">
        <v>27</v>
      </c>
      <c r="J30" s="6" t="s">
        <v>73</v>
      </c>
      <c r="K30" s="9">
        <v>200</v>
      </c>
      <c r="L30" s="14">
        <v>1200000</v>
      </c>
      <c r="M30" s="6">
        <v>0</v>
      </c>
      <c r="N30" s="6">
        <v>0</v>
      </c>
      <c r="O30" s="15" t="s">
        <v>74</v>
      </c>
      <c r="P30" s="6">
        <v>0</v>
      </c>
      <c r="Q30" s="14">
        <v>1200000</v>
      </c>
      <c r="R30" s="14"/>
      <c r="S30" s="14">
        <v>2</v>
      </c>
      <c r="T30" s="14">
        <v>0</v>
      </c>
      <c r="U30" s="14">
        <v>0</v>
      </c>
      <c r="V30" s="14">
        <v>1000000</v>
      </c>
      <c r="W30" s="14">
        <v>600000</v>
      </c>
      <c r="X30" s="14">
        <v>500000</v>
      </c>
      <c r="Y30" s="14">
        <v>300000</v>
      </c>
      <c r="Z30" s="14">
        <v>0</v>
      </c>
      <c r="AA30" s="14">
        <v>0</v>
      </c>
      <c r="AB30" s="14">
        <v>500000</v>
      </c>
      <c r="AC30" s="14">
        <v>300000</v>
      </c>
      <c r="AD30" s="14">
        <v>800000</v>
      </c>
      <c r="AE30" s="14"/>
      <c r="AF30" s="14">
        <v>0</v>
      </c>
      <c r="AG30" s="14">
        <v>5</v>
      </c>
      <c r="AH30" s="14">
        <v>400000</v>
      </c>
      <c r="AI30" s="14">
        <v>800000</v>
      </c>
      <c r="AJ30" s="14">
        <v>200000</v>
      </c>
      <c r="AK30" s="14">
        <v>0</v>
      </c>
      <c r="AL30" s="14">
        <v>0</v>
      </c>
      <c r="AM30" s="14">
        <v>100000</v>
      </c>
      <c r="AN30" s="14">
        <v>100000</v>
      </c>
      <c r="AO30" s="14">
        <v>0</v>
      </c>
      <c r="AP30" s="14">
        <v>0</v>
      </c>
      <c r="AQ30" s="61">
        <f t="shared" si="4"/>
        <v>1200000</v>
      </c>
    </row>
    <row r="31" s="1" customFormat="1" ht="72" customHeight="1" spans="1:43">
      <c r="A31" s="5" t="s">
        <v>123</v>
      </c>
      <c r="B31" s="6" t="s">
        <v>105</v>
      </c>
      <c r="C31" s="26" t="s">
        <v>22</v>
      </c>
      <c r="D31" s="6"/>
      <c r="E31" s="14" t="s">
        <v>23</v>
      </c>
      <c r="F31" s="14" t="s">
        <v>24</v>
      </c>
      <c r="G31" s="9" t="s">
        <v>25</v>
      </c>
      <c r="H31" s="9" t="s">
        <v>26</v>
      </c>
      <c r="I31" s="24" t="s">
        <v>27</v>
      </c>
      <c r="J31" s="6" t="s">
        <v>119</v>
      </c>
      <c r="K31" s="9">
        <v>200</v>
      </c>
      <c r="L31" s="14">
        <v>300000</v>
      </c>
      <c r="M31" s="6">
        <v>0</v>
      </c>
      <c r="N31" s="6">
        <v>0</v>
      </c>
      <c r="O31" s="15" t="s">
        <v>74</v>
      </c>
      <c r="P31" s="6">
        <v>0</v>
      </c>
      <c r="Q31" s="14">
        <v>300000</v>
      </c>
      <c r="R31" s="14"/>
      <c r="S31" s="14">
        <v>2</v>
      </c>
      <c r="T31" s="14">
        <v>0</v>
      </c>
      <c r="U31" s="14">
        <v>0</v>
      </c>
      <c r="V31" s="14">
        <v>1000000</v>
      </c>
      <c r="W31" s="14">
        <v>600000</v>
      </c>
      <c r="X31" s="14">
        <v>0</v>
      </c>
      <c r="Y31" s="14">
        <v>0</v>
      </c>
      <c r="Z31" s="14">
        <v>500000</v>
      </c>
      <c r="AA31" s="14">
        <v>300000</v>
      </c>
      <c r="AB31" s="14">
        <v>0</v>
      </c>
      <c r="AC31" s="14">
        <v>0</v>
      </c>
      <c r="AD31" s="14">
        <v>0</v>
      </c>
      <c r="AE31" s="59" t="s">
        <v>116</v>
      </c>
      <c r="AF31" s="14">
        <v>0</v>
      </c>
      <c r="AG31" s="14">
        <v>5</v>
      </c>
      <c r="AH31" s="14">
        <v>300000</v>
      </c>
      <c r="AI31" s="14">
        <v>0</v>
      </c>
      <c r="AJ31" s="14">
        <v>200000</v>
      </c>
      <c r="AK31" s="14">
        <v>0</v>
      </c>
      <c r="AL31" s="14">
        <v>0</v>
      </c>
      <c r="AM31" s="14">
        <v>100000</v>
      </c>
      <c r="AN31" s="14">
        <v>0</v>
      </c>
      <c r="AO31" s="14">
        <v>0</v>
      </c>
      <c r="AP31" s="14">
        <v>0</v>
      </c>
      <c r="AQ31" s="61">
        <f t="shared" si="4"/>
        <v>300000</v>
      </c>
    </row>
    <row r="32" s="1" customFormat="1" ht="66" customHeight="1" spans="1:43">
      <c r="A32" s="5" t="s">
        <v>124</v>
      </c>
      <c r="B32" s="6" t="s">
        <v>107</v>
      </c>
      <c r="C32" s="26" t="s">
        <v>22</v>
      </c>
      <c r="D32" s="6"/>
      <c r="E32" s="14" t="s">
        <v>23</v>
      </c>
      <c r="F32" s="14" t="s">
        <v>24</v>
      </c>
      <c r="G32" s="9" t="s">
        <v>25</v>
      </c>
      <c r="H32" s="9" t="s">
        <v>26</v>
      </c>
      <c r="I32" s="24" t="s">
        <v>27</v>
      </c>
      <c r="J32" s="6" t="s">
        <v>73</v>
      </c>
      <c r="K32" s="9">
        <v>200</v>
      </c>
      <c r="L32" s="14">
        <v>1500000</v>
      </c>
      <c r="M32" s="6">
        <v>0</v>
      </c>
      <c r="N32" s="6">
        <v>0</v>
      </c>
      <c r="O32" s="15" t="s">
        <v>74</v>
      </c>
      <c r="P32" s="6">
        <v>0</v>
      </c>
      <c r="Q32" s="14">
        <v>1500000</v>
      </c>
      <c r="R32" s="14"/>
      <c r="S32" s="14">
        <v>2</v>
      </c>
      <c r="T32" s="14">
        <v>0</v>
      </c>
      <c r="U32" s="14">
        <v>0</v>
      </c>
      <c r="V32" s="14">
        <v>1000000</v>
      </c>
      <c r="W32" s="14">
        <v>600000</v>
      </c>
      <c r="X32" s="14">
        <v>500000</v>
      </c>
      <c r="Y32" s="14">
        <v>300000</v>
      </c>
      <c r="Z32" s="14">
        <v>0</v>
      </c>
      <c r="AA32" s="14">
        <v>0</v>
      </c>
      <c r="AB32" s="14">
        <v>500000</v>
      </c>
      <c r="AC32" s="14">
        <v>300000</v>
      </c>
      <c r="AD32" s="14">
        <v>800000</v>
      </c>
      <c r="AE32" s="14"/>
      <c r="AF32" s="14">
        <v>0</v>
      </c>
      <c r="AG32" s="14">
        <v>7</v>
      </c>
      <c r="AH32" s="14">
        <v>700000</v>
      </c>
      <c r="AI32" s="14">
        <v>800000</v>
      </c>
      <c r="AJ32" s="14">
        <v>500000</v>
      </c>
      <c r="AK32" s="14">
        <v>0</v>
      </c>
      <c r="AL32" s="14">
        <v>0</v>
      </c>
      <c r="AM32" s="14">
        <v>100000</v>
      </c>
      <c r="AN32" s="14">
        <v>100000</v>
      </c>
      <c r="AO32" s="14">
        <v>0</v>
      </c>
      <c r="AP32" s="14">
        <v>0</v>
      </c>
      <c r="AQ32" s="61">
        <f t="shared" si="4"/>
        <v>1500000</v>
      </c>
    </row>
    <row r="33" s="1" customFormat="1" ht="66" customHeight="1" spans="1:43">
      <c r="A33" s="5" t="s">
        <v>125</v>
      </c>
      <c r="B33" s="6" t="s">
        <v>109</v>
      </c>
      <c r="C33" s="26" t="s">
        <v>22</v>
      </c>
      <c r="D33" s="6"/>
      <c r="E33" s="14" t="s">
        <v>23</v>
      </c>
      <c r="F33" s="14" t="s">
        <v>24</v>
      </c>
      <c r="G33" s="9" t="s">
        <v>25</v>
      </c>
      <c r="H33" s="9" t="s">
        <v>26</v>
      </c>
      <c r="I33" s="24" t="s">
        <v>27</v>
      </c>
      <c r="J33" s="6" t="s">
        <v>73</v>
      </c>
      <c r="K33" s="9">
        <v>200</v>
      </c>
      <c r="L33" s="14">
        <v>2500000</v>
      </c>
      <c r="M33" s="6">
        <v>0</v>
      </c>
      <c r="N33" s="6">
        <v>0</v>
      </c>
      <c r="O33" s="15" t="s">
        <v>74</v>
      </c>
      <c r="P33" s="6">
        <v>0</v>
      </c>
      <c r="Q33" s="14">
        <v>2500000</v>
      </c>
      <c r="R33" s="14"/>
      <c r="S33" s="14">
        <v>2</v>
      </c>
      <c r="T33" s="14">
        <v>1000000</v>
      </c>
      <c r="U33" s="14">
        <v>600000</v>
      </c>
      <c r="V33" s="14">
        <v>0</v>
      </c>
      <c r="W33" s="14">
        <v>0</v>
      </c>
      <c r="X33" s="14">
        <v>0</v>
      </c>
      <c r="Y33" s="14">
        <v>0</v>
      </c>
      <c r="Z33" s="14">
        <v>500000</v>
      </c>
      <c r="AA33" s="14">
        <v>300000</v>
      </c>
      <c r="AB33" s="14">
        <v>1000000</v>
      </c>
      <c r="AC33" s="14">
        <v>600000</v>
      </c>
      <c r="AD33" s="14">
        <v>1600000</v>
      </c>
      <c r="AE33" s="14"/>
      <c r="AF33" s="14">
        <v>0</v>
      </c>
      <c r="AG33" s="14">
        <v>7</v>
      </c>
      <c r="AH33" s="14">
        <v>900000</v>
      </c>
      <c r="AI33" s="14">
        <v>1600000</v>
      </c>
      <c r="AJ33" s="14">
        <v>700000</v>
      </c>
      <c r="AK33" s="14">
        <v>0</v>
      </c>
      <c r="AL33" s="14">
        <v>0</v>
      </c>
      <c r="AM33" s="14">
        <v>100000</v>
      </c>
      <c r="AN33" s="14">
        <v>100000</v>
      </c>
      <c r="AO33" s="14">
        <v>0</v>
      </c>
      <c r="AP33" s="14">
        <v>0</v>
      </c>
      <c r="AQ33" s="61">
        <f t="shared" si="4"/>
        <v>2500000</v>
      </c>
    </row>
    <row r="34" s="1" customFormat="1" ht="66" customHeight="1" spans="1:43">
      <c r="A34" s="5" t="s">
        <v>126</v>
      </c>
      <c r="B34" s="6" t="s">
        <v>111</v>
      </c>
      <c r="C34" s="26" t="s">
        <v>22</v>
      </c>
      <c r="D34" s="6"/>
      <c r="E34" s="14" t="s">
        <v>23</v>
      </c>
      <c r="F34" s="14" t="s">
        <v>24</v>
      </c>
      <c r="G34" s="9" t="s">
        <v>25</v>
      </c>
      <c r="H34" s="9" t="s">
        <v>26</v>
      </c>
      <c r="I34" s="24" t="s">
        <v>27</v>
      </c>
      <c r="J34" s="6" t="s">
        <v>119</v>
      </c>
      <c r="K34" s="9">
        <v>200</v>
      </c>
      <c r="L34" s="14">
        <v>400000</v>
      </c>
      <c r="M34" s="6">
        <v>0</v>
      </c>
      <c r="N34" s="6">
        <v>0</v>
      </c>
      <c r="O34" s="15" t="s">
        <v>74</v>
      </c>
      <c r="P34" s="6">
        <v>0</v>
      </c>
      <c r="Q34" s="14">
        <v>400000</v>
      </c>
      <c r="R34" s="14"/>
      <c r="S34" s="14">
        <v>2</v>
      </c>
      <c r="T34" s="14">
        <v>0</v>
      </c>
      <c r="U34" s="14">
        <v>0</v>
      </c>
      <c r="V34" s="14">
        <v>1000000</v>
      </c>
      <c r="W34" s="14">
        <v>600000</v>
      </c>
      <c r="X34" s="14">
        <v>0</v>
      </c>
      <c r="Y34" s="14">
        <v>0</v>
      </c>
      <c r="Z34" s="14">
        <v>500000</v>
      </c>
      <c r="AA34" s="14">
        <v>300000</v>
      </c>
      <c r="AB34" s="14">
        <v>0</v>
      </c>
      <c r="AC34" s="14">
        <v>0</v>
      </c>
      <c r="AD34" s="14">
        <v>0</v>
      </c>
      <c r="AE34" s="14" t="s">
        <v>116</v>
      </c>
      <c r="AF34" s="14">
        <v>0</v>
      </c>
      <c r="AG34" s="14">
        <v>7</v>
      </c>
      <c r="AH34" s="14">
        <v>400000</v>
      </c>
      <c r="AI34" s="14">
        <v>0</v>
      </c>
      <c r="AJ34" s="14">
        <v>300000</v>
      </c>
      <c r="AK34" s="14">
        <v>0</v>
      </c>
      <c r="AL34" s="14">
        <v>0</v>
      </c>
      <c r="AM34" s="14">
        <v>100000</v>
      </c>
      <c r="AN34" s="14">
        <v>0</v>
      </c>
      <c r="AO34" s="14">
        <v>0</v>
      </c>
      <c r="AP34" s="14">
        <v>0</v>
      </c>
      <c r="AQ34" s="61">
        <f t="shared" si="4"/>
        <v>400000</v>
      </c>
    </row>
    <row r="35" s="1" customFormat="1" ht="52" customHeight="1" spans="1:43">
      <c r="A35" s="5"/>
      <c r="B35" s="49" t="s">
        <v>127</v>
      </c>
      <c r="C35" s="50"/>
      <c r="D35" s="50"/>
      <c r="E35" s="50"/>
      <c r="F35" s="51"/>
      <c r="G35" s="9"/>
      <c r="H35" s="9"/>
      <c r="I35" s="24"/>
      <c r="J35" s="6"/>
      <c r="K35" s="9"/>
      <c r="L35" s="14"/>
      <c r="M35" s="6"/>
      <c r="N35" s="6"/>
      <c r="O35" s="15"/>
      <c r="P35" s="6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</row>
    <row r="36" s="1" customFormat="1" ht="29" customHeight="1" spans="1:43">
      <c r="A36" s="5"/>
      <c r="B36" s="47" t="s">
        <v>94</v>
      </c>
      <c r="C36" s="52"/>
      <c r="D36" s="52"/>
      <c r="E36" s="52"/>
      <c r="F36" s="52"/>
      <c r="G36" s="9"/>
      <c r="H36" s="9"/>
      <c r="I36" s="24"/>
      <c r="J36" s="6"/>
      <c r="K36" s="9"/>
      <c r="L36" s="14"/>
      <c r="M36" s="6"/>
      <c r="N36" s="6"/>
      <c r="O36" s="15"/>
      <c r="P36" s="6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</row>
    <row r="37" s="1" customFormat="1" ht="52" customHeight="1" spans="1:43">
      <c r="A37" s="5" t="s">
        <v>128</v>
      </c>
      <c r="B37" s="6" t="s">
        <v>114</v>
      </c>
      <c r="C37" s="26" t="s">
        <v>22</v>
      </c>
      <c r="D37" s="6"/>
      <c r="E37" s="14" t="s">
        <v>23</v>
      </c>
      <c r="F37" s="14" t="s">
        <v>24</v>
      </c>
      <c r="G37" s="9" t="s">
        <v>25</v>
      </c>
      <c r="H37" s="9" t="s">
        <v>26</v>
      </c>
      <c r="I37" s="24" t="s">
        <v>27</v>
      </c>
      <c r="J37" s="6" t="s">
        <v>73</v>
      </c>
      <c r="K37" s="9">
        <v>200</v>
      </c>
      <c r="L37" s="14">
        <v>1600000</v>
      </c>
      <c r="M37" s="6">
        <v>0</v>
      </c>
      <c r="N37" s="6">
        <v>0</v>
      </c>
      <c r="O37" s="15" t="s">
        <v>74</v>
      </c>
      <c r="P37" s="6">
        <v>0</v>
      </c>
      <c r="Q37" s="14">
        <v>1600000</v>
      </c>
      <c r="R37" s="14"/>
      <c r="S37" s="14">
        <v>1</v>
      </c>
      <c r="T37" s="14">
        <v>900000</v>
      </c>
      <c r="U37" s="14">
        <v>600000</v>
      </c>
      <c r="V37" s="14">
        <v>100000</v>
      </c>
      <c r="W37" s="14">
        <v>0</v>
      </c>
      <c r="X37" s="14"/>
      <c r="Y37" s="14"/>
      <c r="Z37" s="14"/>
      <c r="AA37" s="14"/>
      <c r="AB37" s="14">
        <v>900000</v>
      </c>
      <c r="AC37" s="14">
        <v>600000</v>
      </c>
      <c r="AD37" s="14">
        <f t="shared" ref="AD37:AD39" si="5">AB37+AC37</f>
        <v>1500000</v>
      </c>
      <c r="AE37" s="14"/>
      <c r="AF37" s="14">
        <v>0</v>
      </c>
      <c r="AG37" s="14">
        <v>1</v>
      </c>
      <c r="AH37" s="14">
        <v>100000</v>
      </c>
      <c r="AI37" s="14">
        <v>1500000</v>
      </c>
      <c r="AJ37" s="14">
        <v>0</v>
      </c>
      <c r="AK37" s="14">
        <v>0</v>
      </c>
      <c r="AL37" s="14">
        <v>0</v>
      </c>
      <c r="AM37" s="14">
        <v>0</v>
      </c>
      <c r="AN37" s="14">
        <v>100000</v>
      </c>
      <c r="AO37" s="14">
        <v>0</v>
      </c>
      <c r="AP37" s="14">
        <v>0</v>
      </c>
      <c r="AQ37" s="61">
        <f t="shared" ref="AQ37:AQ39" si="6">SUM(AI37:AP37)</f>
        <v>1600000</v>
      </c>
    </row>
    <row r="38" s="1" customFormat="1" ht="52" customHeight="1" spans="1:43">
      <c r="A38" s="5" t="s">
        <v>129</v>
      </c>
      <c r="B38" s="6" t="s">
        <v>118</v>
      </c>
      <c r="C38" s="26" t="s">
        <v>22</v>
      </c>
      <c r="D38" s="6"/>
      <c r="E38" s="14" t="s">
        <v>23</v>
      </c>
      <c r="F38" s="14" t="s">
        <v>24</v>
      </c>
      <c r="G38" s="9" t="s">
        <v>25</v>
      </c>
      <c r="H38" s="9" t="s">
        <v>26</v>
      </c>
      <c r="I38" s="24" t="s">
        <v>27</v>
      </c>
      <c r="J38" s="6" t="s">
        <v>73</v>
      </c>
      <c r="K38" s="9">
        <v>200</v>
      </c>
      <c r="L38" s="14">
        <v>2200000</v>
      </c>
      <c r="M38" s="6">
        <v>0</v>
      </c>
      <c r="N38" s="6">
        <v>0</v>
      </c>
      <c r="O38" s="15" t="s">
        <v>74</v>
      </c>
      <c r="P38" s="6">
        <v>0</v>
      </c>
      <c r="Q38" s="14">
        <v>2200000</v>
      </c>
      <c r="R38" s="14"/>
      <c r="S38" s="14">
        <v>1</v>
      </c>
      <c r="T38" s="14">
        <v>900000</v>
      </c>
      <c r="U38" s="14">
        <v>600000</v>
      </c>
      <c r="V38" s="14">
        <v>100000</v>
      </c>
      <c r="W38" s="14">
        <v>0</v>
      </c>
      <c r="X38" s="14"/>
      <c r="Y38" s="14"/>
      <c r="Z38" s="14"/>
      <c r="AA38" s="14"/>
      <c r="AB38" s="14">
        <v>900000</v>
      </c>
      <c r="AC38" s="14">
        <v>600000</v>
      </c>
      <c r="AD38" s="14">
        <f t="shared" si="5"/>
        <v>1500000</v>
      </c>
      <c r="AE38" s="14"/>
      <c r="AF38" s="14">
        <v>0</v>
      </c>
      <c r="AG38" s="14">
        <v>3</v>
      </c>
      <c r="AH38" s="14">
        <v>700000</v>
      </c>
      <c r="AI38" s="14">
        <v>1500000</v>
      </c>
      <c r="AJ38" s="14">
        <v>600000</v>
      </c>
      <c r="AK38" s="14">
        <v>0</v>
      </c>
      <c r="AL38" s="14">
        <v>0</v>
      </c>
      <c r="AM38" s="14">
        <v>0</v>
      </c>
      <c r="AN38" s="14">
        <v>100000</v>
      </c>
      <c r="AO38" s="14">
        <v>0</v>
      </c>
      <c r="AP38" s="14">
        <v>0</v>
      </c>
      <c r="AQ38" s="61">
        <f t="shared" si="6"/>
        <v>2200000</v>
      </c>
    </row>
    <row r="39" s="1" customFormat="1" ht="52" customHeight="1" spans="1:43">
      <c r="A39" s="5" t="s">
        <v>130</v>
      </c>
      <c r="B39" s="6" t="s">
        <v>121</v>
      </c>
      <c r="C39" s="26" t="s">
        <v>22</v>
      </c>
      <c r="D39" s="6"/>
      <c r="E39" s="14" t="s">
        <v>23</v>
      </c>
      <c r="F39" s="14" t="s">
        <v>24</v>
      </c>
      <c r="G39" s="9" t="s">
        <v>25</v>
      </c>
      <c r="H39" s="9" t="s">
        <v>26</v>
      </c>
      <c r="I39" s="24" t="s">
        <v>27</v>
      </c>
      <c r="J39" s="6" t="s">
        <v>73</v>
      </c>
      <c r="K39" s="9">
        <v>200</v>
      </c>
      <c r="L39" s="14">
        <v>2300000</v>
      </c>
      <c r="M39" s="6">
        <v>0</v>
      </c>
      <c r="N39" s="6">
        <v>0</v>
      </c>
      <c r="O39" s="15" t="s">
        <v>74</v>
      </c>
      <c r="P39" s="6">
        <v>0</v>
      </c>
      <c r="Q39" s="14">
        <v>2300000</v>
      </c>
      <c r="R39" s="14"/>
      <c r="S39" s="14">
        <v>1</v>
      </c>
      <c r="T39" s="14">
        <v>900000</v>
      </c>
      <c r="U39" s="14">
        <v>600000</v>
      </c>
      <c r="V39" s="14">
        <v>100000</v>
      </c>
      <c r="W39" s="14">
        <v>0</v>
      </c>
      <c r="X39" s="14"/>
      <c r="Y39" s="14"/>
      <c r="Z39" s="14"/>
      <c r="AA39" s="14"/>
      <c r="AB39" s="14">
        <v>900000</v>
      </c>
      <c r="AC39" s="14">
        <v>600000</v>
      </c>
      <c r="AD39" s="14">
        <f t="shared" si="5"/>
        <v>1500000</v>
      </c>
      <c r="AE39" s="14"/>
      <c r="AF39" s="14">
        <v>0</v>
      </c>
      <c r="AG39" s="14">
        <v>4</v>
      </c>
      <c r="AH39" s="14">
        <v>800000</v>
      </c>
      <c r="AI39" s="14">
        <v>1500000</v>
      </c>
      <c r="AJ39" s="14">
        <v>600000</v>
      </c>
      <c r="AK39" s="14">
        <v>0</v>
      </c>
      <c r="AL39" s="14">
        <v>0</v>
      </c>
      <c r="AM39" s="14">
        <v>100000</v>
      </c>
      <c r="AN39" s="14">
        <v>100000</v>
      </c>
      <c r="AO39" s="14">
        <v>0</v>
      </c>
      <c r="AP39" s="14">
        <v>0</v>
      </c>
      <c r="AQ39" s="61">
        <f t="shared" si="6"/>
        <v>2300000</v>
      </c>
    </row>
    <row r="40" s="1" customFormat="1" ht="25" customHeight="1" spans="1:43">
      <c r="A40" s="5"/>
      <c r="B40" s="47" t="s">
        <v>101</v>
      </c>
      <c r="C40" s="26"/>
      <c r="D40" s="6"/>
      <c r="E40" s="14"/>
      <c r="F40" s="14"/>
      <c r="G40" s="9"/>
      <c r="H40" s="9"/>
      <c r="I40" s="24"/>
      <c r="J40" s="6"/>
      <c r="K40" s="9"/>
      <c r="L40" s="14"/>
      <c r="M40" s="6"/>
      <c r="N40" s="6"/>
      <c r="O40" s="15"/>
      <c r="P40" s="6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61"/>
    </row>
    <row r="41" s="1" customFormat="1" ht="52" customHeight="1" spans="1:43">
      <c r="A41" s="5" t="s">
        <v>131</v>
      </c>
      <c r="B41" s="6" t="s">
        <v>103</v>
      </c>
      <c r="C41" s="26" t="s">
        <v>22</v>
      </c>
      <c r="D41" s="6"/>
      <c r="E41" s="14" t="s">
        <v>23</v>
      </c>
      <c r="F41" s="14" t="s">
        <v>24</v>
      </c>
      <c r="G41" s="9" t="s">
        <v>25</v>
      </c>
      <c r="H41" s="9" t="s">
        <v>26</v>
      </c>
      <c r="I41" s="24" t="s">
        <v>27</v>
      </c>
      <c r="J41" s="6" t="s">
        <v>73</v>
      </c>
      <c r="K41" s="9">
        <v>200</v>
      </c>
      <c r="L41" s="14">
        <v>3200000</v>
      </c>
      <c r="M41" s="6">
        <v>0</v>
      </c>
      <c r="N41" s="6">
        <v>0</v>
      </c>
      <c r="O41" s="15" t="s">
        <v>74</v>
      </c>
      <c r="P41" s="6">
        <v>0</v>
      </c>
      <c r="Q41" s="14">
        <v>3200000</v>
      </c>
      <c r="R41" s="14"/>
      <c r="S41" s="14">
        <v>2</v>
      </c>
      <c r="T41" s="14">
        <v>900000</v>
      </c>
      <c r="U41" s="14">
        <v>600000</v>
      </c>
      <c r="V41" s="14">
        <v>100000</v>
      </c>
      <c r="W41" s="14">
        <v>0</v>
      </c>
      <c r="X41" s="14">
        <v>500000</v>
      </c>
      <c r="Y41" s="14">
        <v>300000</v>
      </c>
      <c r="Z41" s="14">
        <v>0</v>
      </c>
      <c r="AA41" s="14">
        <v>0</v>
      </c>
      <c r="AB41" s="14">
        <v>1400000</v>
      </c>
      <c r="AC41" s="14">
        <v>900000</v>
      </c>
      <c r="AD41" s="14">
        <v>2300000</v>
      </c>
      <c r="AE41" s="14"/>
      <c r="AF41" s="14">
        <v>0</v>
      </c>
      <c r="AG41" s="14">
        <v>5</v>
      </c>
      <c r="AH41" s="14">
        <v>900000</v>
      </c>
      <c r="AI41" s="14">
        <v>2300000</v>
      </c>
      <c r="AJ41" s="14">
        <v>600000</v>
      </c>
      <c r="AK41" s="14">
        <v>0</v>
      </c>
      <c r="AL41" s="14">
        <v>0</v>
      </c>
      <c r="AM41" s="14">
        <v>100000</v>
      </c>
      <c r="AN41" s="14">
        <v>200000</v>
      </c>
      <c r="AO41" s="14">
        <v>0</v>
      </c>
      <c r="AP41" s="14">
        <v>0</v>
      </c>
      <c r="AQ41" s="61">
        <f t="shared" ref="AQ41:AQ45" si="7">SUM(AI41:AP41)</f>
        <v>3200000</v>
      </c>
    </row>
    <row r="42" s="1" customFormat="1" ht="72" customHeight="1" spans="1:43">
      <c r="A42" s="5" t="s">
        <v>132</v>
      </c>
      <c r="B42" s="6" t="s">
        <v>105</v>
      </c>
      <c r="C42" s="26" t="s">
        <v>22</v>
      </c>
      <c r="D42" s="6"/>
      <c r="E42" s="14" t="s">
        <v>23</v>
      </c>
      <c r="F42" s="14" t="s">
        <v>24</v>
      </c>
      <c r="G42" s="9" t="s">
        <v>25</v>
      </c>
      <c r="H42" s="9" t="s">
        <v>26</v>
      </c>
      <c r="I42" s="24" t="s">
        <v>27</v>
      </c>
      <c r="J42" s="6" t="s">
        <v>73</v>
      </c>
      <c r="K42" s="9">
        <v>200</v>
      </c>
      <c r="L42" s="14">
        <v>3150000</v>
      </c>
      <c r="M42" s="6">
        <v>0</v>
      </c>
      <c r="N42" s="6">
        <v>0</v>
      </c>
      <c r="O42" s="15" t="s">
        <v>74</v>
      </c>
      <c r="P42" s="6">
        <v>0</v>
      </c>
      <c r="Q42" s="14">
        <v>3150000</v>
      </c>
      <c r="R42" s="14"/>
      <c r="S42" s="14">
        <v>2</v>
      </c>
      <c r="T42" s="14">
        <v>900000</v>
      </c>
      <c r="U42" s="14">
        <v>600000</v>
      </c>
      <c r="V42" s="14">
        <v>100000</v>
      </c>
      <c r="W42" s="14">
        <v>0</v>
      </c>
      <c r="X42" s="14">
        <v>450000</v>
      </c>
      <c r="Y42" s="14">
        <v>300000</v>
      </c>
      <c r="Z42" s="14">
        <v>50000</v>
      </c>
      <c r="AA42" s="14">
        <v>0</v>
      </c>
      <c r="AB42" s="14">
        <v>1350000</v>
      </c>
      <c r="AC42" s="14">
        <v>900000</v>
      </c>
      <c r="AD42" s="14">
        <v>2250000</v>
      </c>
      <c r="AE42" s="14"/>
      <c r="AF42" s="14">
        <v>0</v>
      </c>
      <c r="AG42" s="14">
        <v>5</v>
      </c>
      <c r="AH42" s="14">
        <v>900000</v>
      </c>
      <c r="AI42" s="14">
        <v>2250000</v>
      </c>
      <c r="AJ42" s="14">
        <v>600000</v>
      </c>
      <c r="AK42" s="14">
        <v>0</v>
      </c>
      <c r="AL42" s="14">
        <v>0</v>
      </c>
      <c r="AM42" s="14">
        <v>100000</v>
      </c>
      <c r="AN42" s="14">
        <v>200000</v>
      </c>
      <c r="AO42" s="14">
        <v>0</v>
      </c>
      <c r="AP42" s="14">
        <v>0</v>
      </c>
      <c r="AQ42" s="61">
        <f t="shared" si="7"/>
        <v>3150000</v>
      </c>
    </row>
    <row r="43" s="1" customFormat="1" ht="66" customHeight="1" spans="1:43">
      <c r="A43" s="5" t="s">
        <v>133</v>
      </c>
      <c r="B43" s="6" t="s">
        <v>107</v>
      </c>
      <c r="C43" s="26" t="s">
        <v>22</v>
      </c>
      <c r="D43" s="6"/>
      <c r="E43" s="14" t="s">
        <v>23</v>
      </c>
      <c r="F43" s="14" t="s">
        <v>24</v>
      </c>
      <c r="G43" s="9" t="s">
        <v>25</v>
      </c>
      <c r="H43" s="9" t="s">
        <v>26</v>
      </c>
      <c r="I43" s="24" t="s">
        <v>27</v>
      </c>
      <c r="J43" s="6" t="s">
        <v>73</v>
      </c>
      <c r="K43" s="9">
        <v>200</v>
      </c>
      <c r="L43" s="14">
        <v>3500000</v>
      </c>
      <c r="M43" s="6">
        <v>0</v>
      </c>
      <c r="N43" s="6">
        <v>0</v>
      </c>
      <c r="O43" s="15" t="s">
        <v>74</v>
      </c>
      <c r="P43" s="6">
        <v>0</v>
      </c>
      <c r="Q43" s="14">
        <v>3500000</v>
      </c>
      <c r="R43" s="14"/>
      <c r="S43" s="14">
        <v>2</v>
      </c>
      <c r="T43" s="14">
        <v>900000</v>
      </c>
      <c r="U43" s="14">
        <v>600000</v>
      </c>
      <c r="V43" s="14">
        <v>100000</v>
      </c>
      <c r="W43" s="14">
        <v>0</v>
      </c>
      <c r="X43" s="14">
        <v>500000</v>
      </c>
      <c r="Y43" s="14">
        <v>300000</v>
      </c>
      <c r="Z43" s="14">
        <v>0</v>
      </c>
      <c r="AA43" s="14">
        <v>0</v>
      </c>
      <c r="AB43" s="14">
        <v>1400000</v>
      </c>
      <c r="AC43" s="14">
        <v>900000</v>
      </c>
      <c r="AD43" s="14">
        <v>2300000</v>
      </c>
      <c r="AE43" s="14"/>
      <c r="AF43" s="14">
        <v>0</v>
      </c>
      <c r="AG43" s="14">
        <v>7</v>
      </c>
      <c r="AH43" s="14">
        <v>1200000</v>
      </c>
      <c r="AI43" s="14">
        <v>2300000</v>
      </c>
      <c r="AJ43" s="14">
        <v>900000</v>
      </c>
      <c r="AK43" s="14">
        <v>0</v>
      </c>
      <c r="AL43" s="14">
        <v>0</v>
      </c>
      <c r="AM43" s="14">
        <v>100000</v>
      </c>
      <c r="AN43" s="14">
        <v>200000</v>
      </c>
      <c r="AO43" s="14">
        <v>0</v>
      </c>
      <c r="AP43" s="14">
        <v>0</v>
      </c>
      <c r="AQ43" s="61">
        <f t="shared" si="7"/>
        <v>3500000</v>
      </c>
    </row>
    <row r="44" s="1" customFormat="1" ht="66" customHeight="1" spans="1:43">
      <c r="A44" s="5" t="s">
        <v>134</v>
      </c>
      <c r="B44" s="6" t="s">
        <v>109</v>
      </c>
      <c r="C44" s="26" t="s">
        <v>22</v>
      </c>
      <c r="D44" s="6"/>
      <c r="E44" s="14" t="s">
        <v>23</v>
      </c>
      <c r="F44" s="14" t="s">
        <v>24</v>
      </c>
      <c r="G44" s="9" t="s">
        <v>25</v>
      </c>
      <c r="H44" s="9" t="s">
        <v>26</v>
      </c>
      <c r="I44" s="24" t="s">
        <v>27</v>
      </c>
      <c r="J44" s="6" t="s">
        <v>73</v>
      </c>
      <c r="K44" s="9">
        <v>200</v>
      </c>
      <c r="L44" s="14">
        <v>3550000</v>
      </c>
      <c r="M44" s="6">
        <v>0</v>
      </c>
      <c r="N44" s="6">
        <v>0</v>
      </c>
      <c r="O44" s="15" t="s">
        <v>74</v>
      </c>
      <c r="P44" s="6">
        <v>0</v>
      </c>
      <c r="Q44" s="14">
        <v>3550000</v>
      </c>
      <c r="R44" s="14"/>
      <c r="S44" s="14">
        <v>2</v>
      </c>
      <c r="T44" s="14">
        <v>1000000</v>
      </c>
      <c r="U44" s="14">
        <v>600000</v>
      </c>
      <c r="V44" s="14">
        <v>0</v>
      </c>
      <c r="W44" s="14">
        <v>0</v>
      </c>
      <c r="X44" s="14">
        <v>450000</v>
      </c>
      <c r="Y44" s="14">
        <v>300000</v>
      </c>
      <c r="Z44" s="14">
        <v>50000</v>
      </c>
      <c r="AA44" s="14">
        <v>0</v>
      </c>
      <c r="AB44" s="14">
        <v>1450000</v>
      </c>
      <c r="AC44" s="14">
        <v>900000</v>
      </c>
      <c r="AD44" s="14">
        <v>2350000</v>
      </c>
      <c r="AE44" s="14"/>
      <c r="AF44" s="14">
        <v>0</v>
      </c>
      <c r="AG44" s="14">
        <v>7</v>
      </c>
      <c r="AH44" s="14">
        <v>1200000</v>
      </c>
      <c r="AI44" s="14">
        <v>2350000</v>
      </c>
      <c r="AJ44" s="14">
        <v>900000</v>
      </c>
      <c r="AK44" s="14">
        <v>0</v>
      </c>
      <c r="AL44" s="14">
        <v>0</v>
      </c>
      <c r="AM44" s="14">
        <v>100000</v>
      </c>
      <c r="AN44" s="14">
        <v>200000</v>
      </c>
      <c r="AO44" s="14">
        <v>0</v>
      </c>
      <c r="AP44" s="14">
        <v>0</v>
      </c>
      <c r="AQ44" s="61">
        <f t="shared" si="7"/>
        <v>3550000</v>
      </c>
    </row>
    <row r="45" s="1" customFormat="1" ht="66" customHeight="1" spans="1:43">
      <c r="A45" s="5" t="s">
        <v>135</v>
      </c>
      <c r="B45" s="6" t="s">
        <v>111</v>
      </c>
      <c r="C45" s="26" t="s">
        <v>22</v>
      </c>
      <c r="D45" s="6"/>
      <c r="E45" s="14" t="s">
        <v>23</v>
      </c>
      <c r="F45" s="14" t="s">
        <v>24</v>
      </c>
      <c r="G45" s="9" t="s">
        <v>25</v>
      </c>
      <c r="H45" s="9" t="s">
        <v>26</v>
      </c>
      <c r="I45" s="24" t="s">
        <v>27</v>
      </c>
      <c r="J45" s="6" t="s">
        <v>73</v>
      </c>
      <c r="K45" s="9">
        <v>200</v>
      </c>
      <c r="L45" s="14">
        <v>3450000</v>
      </c>
      <c r="M45" s="6">
        <v>0</v>
      </c>
      <c r="N45" s="6">
        <v>0</v>
      </c>
      <c r="O45" s="15" t="s">
        <v>74</v>
      </c>
      <c r="P45" s="6">
        <v>0</v>
      </c>
      <c r="Q45" s="14">
        <v>3450000</v>
      </c>
      <c r="R45" s="14"/>
      <c r="S45" s="14">
        <v>2</v>
      </c>
      <c r="T45" s="14">
        <v>900000</v>
      </c>
      <c r="U45" s="14">
        <v>600000</v>
      </c>
      <c r="V45" s="14">
        <v>100000</v>
      </c>
      <c r="W45" s="14">
        <v>0</v>
      </c>
      <c r="X45" s="14">
        <v>450000</v>
      </c>
      <c r="Y45" s="14">
        <v>300000</v>
      </c>
      <c r="Z45" s="14">
        <v>50000</v>
      </c>
      <c r="AA45" s="14">
        <v>0</v>
      </c>
      <c r="AB45" s="14">
        <v>1350000</v>
      </c>
      <c r="AC45" s="14">
        <v>900000</v>
      </c>
      <c r="AD45" s="14">
        <v>2250000</v>
      </c>
      <c r="AE45" s="14"/>
      <c r="AF45" s="14">
        <v>0</v>
      </c>
      <c r="AG45" s="14">
        <v>7</v>
      </c>
      <c r="AH45" s="14">
        <v>1200000</v>
      </c>
      <c r="AI45" s="14">
        <v>2250000</v>
      </c>
      <c r="AJ45" s="14">
        <v>900000</v>
      </c>
      <c r="AK45" s="14">
        <v>0</v>
      </c>
      <c r="AL45" s="14">
        <v>0</v>
      </c>
      <c r="AM45" s="14">
        <v>100000</v>
      </c>
      <c r="AN45" s="14">
        <v>200000</v>
      </c>
      <c r="AO45" s="14">
        <v>0</v>
      </c>
      <c r="AP45" s="14">
        <v>0</v>
      </c>
      <c r="AQ45" s="61">
        <f t="shared" si="7"/>
        <v>3450000</v>
      </c>
    </row>
    <row r="46" s="1" customFormat="1" ht="52" customHeight="1" spans="1:43">
      <c r="A46" s="5"/>
      <c r="B46" s="49" t="s">
        <v>136</v>
      </c>
      <c r="C46" s="50"/>
      <c r="D46" s="50"/>
      <c r="E46" s="50"/>
      <c r="F46" s="51"/>
      <c r="G46" s="9"/>
      <c r="H46" s="9"/>
      <c r="I46" s="24"/>
      <c r="J46" s="6"/>
      <c r="K46" s="9"/>
      <c r="L46" s="14"/>
      <c r="M46" s="6"/>
      <c r="N46" s="6"/>
      <c r="O46" s="15"/>
      <c r="P46" s="6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</row>
    <row r="47" s="1" customFormat="1" ht="25" customHeight="1" spans="1:43">
      <c r="A47" s="5"/>
      <c r="B47" s="47" t="s">
        <v>94</v>
      </c>
      <c r="C47" s="52"/>
      <c r="D47" s="52"/>
      <c r="E47" s="52"/>
      <c r="F47" s="52"/>
      <c r="G47" s="9"/>
      <c r="H47" s="9"/>
      <c r="I47" s="24"/>
      <c r="J47" s="6"/>
      <c r="K47" s="9"/>
      <c r="L47" s="14"/>
      <c r="M47" s="6"/>
      <c r="N47" s="6"/>
      <c r="O47" s="15"/>
      <c r="P47" s="6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</row>
    <row r="48" s="1" customFormat="1" ht="52" customHeight="1" spans="1:43">
      <c r="A48" s="5" t="s">
        <v>137</v>
      </c>
      <c r="B48" s="6" t="s">
        <v>114</v>
      </c>
      <c r="C48" s="26" t="s">
        <v>22</v>
      </c>
      <c r="D48" s="6"/>
      <c r="E48" s="14" t="s">
        <v>23</v>
      </c>
      <c r="F48" s="14" t="s">
        <v>24</v>
      </c>
      <c r="G48" s="9" t="s">
        <v>25</v>
      </c>
      <c r="H48" s="9" t="s">
        <v>26</v>
      </c>
      <c r="I48" s="24" t="s">
        <v>27</v>
      </c>
      <c r="J48" s="6" t="s">
        <v>73</v>
      </c>
      <c r="K48" s="9">
        <v>200</v>
      </c>
      <c r="L48" s="14">
        <v>1530000</v>
      </c>
      <c r="M48" s="6">
        <v>0</v>
      </c>
      <c r="N48" s="6">
        <v>0</v>
      </c>
      <c r="O48" s="15" t="s">
        <v>74</v>
      </c>
      <c r="P48" s="6">
        <v>0</v>
      </c>
      <c r="Q48" s="14">
        <v>1530000</v>
      </c>
      <c r="R48" s="14"/>
      <c r="S48" s="14">
        <v>1</v>
      </c>
      <c r="T48" s="14">
        <v>900000</v>
      </c>
      <c r="U48" s="14">
        <v>540000</v>
      </c>
      <c r="V48" s="14">
        <v>100000</v>
      </c>
      <c r="W48" s="14">
        <v>60000</v>
      </c>
      <c r="X48" s="14"/>
      <c r="Y48" s="14"/>
      <c r="Z48" s="14"/>
      <c r="AA48" s="14"/>
      <c r="AB48" s="14">
        <v>900000</v>
      </c>
      <c r="AC48" s="14">
        <v>540000</v>
      </c>
      <c r="AD48" s="14">
        <f t="shared" ref="AD48:AD55" si="8">AB48+AC48</f>
        <v>1440000</v>
      </c>
      <c r="AE48" s="14"/>
      <c r="AF48" s="14">
        <v>0</v>
      </c>
      <c r="AG48" s="14">
        <v>1</v>
      </c>
      <c r="AH48" s="14">
        <v>90000</v>
      </c>
      <c r="AI48" s="14">
        <v>1440000</v>
      </c>
      <c r="AJ48" s="14">
        <v>0</v>
      </c>
      <c r="AK48" s="14">
        <v>0</v>
      </c>
      <c r="AL48" s="14">
        <v>0</v>
      </c>
      <c r="AM48" s="14">
        <v>0</v>
      </c>
      <c r="AN48" s="14">
        <v>90000</v>
      </c>
      <c r="AO48" s="14">
        <v>0</v>
      </c>
      <c r="AP48" s="14">
        <v>0</v>
      </c>
      <c r="AQ48" s="61">
        <f t="shared" ref="AQ48:AQ55" si="9">SUM(AI48:AP48)</f>
        <v>1530000</v>
      </c>
    </row>
    <row r="49" s="1" customFormat="1" ht="52" customHeight="1" spans="1:43">
      <c r="A49" s="5" t="s">
        <v>138</v>
      </c>
      <c r="B49" s="6" t="s">
        <v>118</v>
      </c>
      <c r="C49" s="26" t="s">
        <v>22</v>
      </c>
      <c r="D49" s="6"/>
      <c r="E49" s="14" t="s">
        <v>23</v>
      </c>
      <c r="F49" s="14" t="s">
        <v>24</v>
      </c>
      <c r="G49" s="9" t="s">
        <v>25</v>
      </c>
      <c r="H49" s="9" t="s">
        <v>26</v>
      </c>
      <c r="I49" s="24" t="s">
        <v>27</v>
      </c>
      <c r="J49" s="6" t="s">
        <v>73</v>
      </c>
      <c r="K49" s="9">
        <v>200</v>
      </c>
      <c r="L49" s="14">
        <v>2070000</v>
      </c>
      <c r="M49" s="6">
        <v>0</v>
      </c>
      <c r="N49" s="6">
        <v>0</v>
      </c>
      <c r="O49" s="15" t="s">
        <v>74</v>
      </c>
      <c r="P49" s="6">
        <v>0</v>
      </c>
      <c r="Q49" s="14">
        <v>2070000</v>
      </c>
      <c r="R49" s="14"/>
      <c r="S49" s="14">
        <v>1</v>
      </c>
      <c r="T49" s="14">
        <v>900000</v>
      </c>
      <c r="U49" s="14">
        <v>540000</v>
      </c>
      <c r="V49" s="14">
        <v>100000</v>
      </c>
      <c r="W49" s="14">
        <v>60000</v>
      </c>
      <c r="X49" s="14"/>
      <c r="Y49" s="14"/>
      <c r="Z49" s="14"/>
      <c r="AA49" s="14"/>
      <c r="AB49" s="14">
        <v>900000</v>
      </c>
      <c r="AC49" s="14">
        <v>540000</v>
      </c>
      <c r="AD49" s="14">
        <f t="shared" si="8"/>
        <v>1440000</v>
      </c>
      <c r="AE49" s="14"/>
      <c r="AF49" s="14">
        <v>0</v>
      </c>
      <c r="AG49" s="14">
        <v>3</v>
      </c>
      <c r="AH49" s="14">
        <v>630000</v>
      </c>
      <c r="AI49" s="14">
        <v>1440000</v>
      </c>
      <c r="AJ49" s="14">
        <v>540000</v>
      </c>
      <c r="AK49" s="14">
        <v>0</v>
      </c>
      <c r="AL49" s="14">
        <v>0</v>
      </c>
      <c r="AM49" s="14">
        <v>0</v>
      </c>
      <c r="AN49" s="14">
        <v>90000</v>
      </c>
      <c r="AO49" s="14">
        <v>0</v>
      </c>
      <c r="AP49" s="14">
        <v>0</v>
      </c>
      <c r="AQ49" s="61">
        <f t="shared" si="9"/>
        <v>2070000</v>
      </c>
    </row>
    <row r="50" s="1" customFormat="1" ht="52" customHeight="1" spans="1:43">
      <c r="A50" s="5" t="s">
        <v>139</v>
      </c>
      <c r="B50" s="6" t="s">
        <v>121</v>
      </c>
      <c r="C50" s="26" t="s">
        <v>22</v>
      </c>
      <c r="D50" s="6"/>
      <c r="E50" s="14" t="s">
        <v>23</v>
      </c>
      <c r="F50" s="14" t="s">
        <v>24</v>
      </c>
      <c r="G50" s="9" t="s">
        <v>25</v>
      </c>
      <c r="H50" s="9" t="s">
        <v>26</v>
      </c>
      <c r="I50" s="24" t="s">
        <v>27</v>
      </c>
      <c r="J50" s="6" t="s">
        <v>73</v>
      </c>
      <c r="K50" s="9">
        <v>200</v>
      </c>
      <c r="L50" s="14">
        <v>2160000</v>
      </c>
      <c r="M50" s="6">
        <v>0</v>
      </c>
      <c r="N50" s="6">
        <v>0</v>
      </c>
      <c r="O50" s="15" t="s">
        <v>74</v>
      </c>
      <c r="P50" s="6">
        <v>0</v>
      </c>
      <c r="Q50" s="14">
        <v>2160000</v>
      </c>
      <c r="R50" s="14"/>
      <c r="S50" s="14">
        <v>1</v>
      </c>
      <c r="T50" s="14">
        <v>900000</v>
      </c>
      <c r="U50" s="14">
        <v>540000</v>
      </c>
      <c r="V50" s="14">
        <v>100000</v>
      </c>
      <c r="W50" s="14">
        <v>60000</v>
      </c>
      <c r="X50" s="14"/>
      <c r="Y50" s="14"/>
      <c r="Z50" s="14"/>
      <c r="AA50" s="14"/>
      <c r="AB50" s="14">
        <v>900000</v>
      </c>
      <c r="AC50" s="14">
        <v>540000</v>
      </c>
      <c r="AD50" s="14">
        <f t="shared" si="8"/>
        <v>1440000</v>
      </c>
      <c r="AE50" s="14"/>
      <c r="AF50" s="14">
        <v>0</v>
      </c>
      <c r="AG50" s="14">
        <v>4</v>
      </c>
      <c r="AH50" s="14">
        <v>720000</v>
      </c>
      <c r="AI50" s="14">
        <v>1440000</v>
      </c>
      <c r="AJ50" s="14">
        <v>540000</v>
      </c>
      <c r="AK50" s="14">
        <v>0</v>
      </c>
      <c r="AL50" s="14">
        <v>0</v>
      </c>
      <c r="AM50" s="14">
        <v>90000</v>
      </c>
      <c r="AN50" s="14">
        <v>90000</v>
      </c>
      <c r="AO50" s="14">
        <v>0</v>
      </c>
      <c r="AP50" s="14">
        <v>0</v>
      </c>
      <c r="AQ50" s="61">
        <f t="shared" si="9"/>
        <v>2160000</v>
      </c>
    </row>
    <row r="51" s="1" customFormat="1" ht="52" customHeight="1" spans="1:43">
      <c r="A51" s="5" t="s">
        <v>140</v>
      </c>
      <c r="B51" s="6" t="s">
        <v>141</v>
      </c>
      <c r="C51" s="26" t="s">
        <v>22</v>
      </c>
      <c r="D51" s="6"/>
      <c r="E51" s="14" t="s">
        <v>23</v>
      </c>
      <c r="F51" s="14" t="s">
        <v>24</v>
      </c>
      <c r="G51" s="9" t="s">
        <v>25</v>
      </c>
      <c r="H51" s="9" t="s">
        <v>26</v>
      </c>
      <c r="I51" s="24" t="s">
        <v>27</v>
      </c>
      <c r="J51" s="6" t="s">
        <v>73</v>
      </c>
      <c r="K51" s="9">
        <v>200</v>
      </c>
      <c r="L51" s="14">
        <v>2250000</v>
      </c>
      <c r="M51" s="6">
        <v>0</v>
      </c>
      <c r="N51" s="6">
        <v>0</v>
      </c>
      <c r="O51" s="15" t="s">
        <v>74</v>
      </c>
      <c r="P51" s="6">
        <v>0</v>
      </c>
      <c r="Q51" s="14">
        <v>2250000</v>
      </c>
      <c r="R51" s="14"/>
      <c r="S51" s="14">
        <v>1</v>
      </c>
      <c r="T51" s="14">
        <v>900000</v>
      </c>
      <c r="U51" s="14">
        <v>540000</v>
      </c>
      <c r="V51" s="14">
        <v>100000</v>
      </c>
      <c r="W51" s="14">
        <v>60000</v>
      </c>
      <c r="X51" s="14"/>
      <c r="Y51" s="14"/>
      <c r="Z51" s="14"/>
      <c r="AA51" s="14"/>
      <c r="AB51" s="14">
        <v>900000</v>
      </c>
      <c r="AC51" s="14">
        <v>540000</v>
      </c>
      <c r="AD51" s="14">
        <f t="shared" si="8"/>
        <v>1440000</v>
      </c>
      <c r="AE51" s="14"/>
      <c r="AF51" s="14">
        <v>0</v>
      </c>
      <c r="AG51" s="14">
        <v>5</v>
      </c>
      <c r="AH51" s="14">
        <v>810000</v>
      </c>
      <c r="AI51" s="14">
        <v>1440000</v>
      </c>
      <c r="AJ51" s="14">
        <v>540000</v>
      </c>
      <c r="AK51" s="14">
        <v>0</v>
      </c>
      <c r="AL51" s="14">
        <v>0</v>
      </c>
      <c r="AM51" s="14">
        <v>90000</v>
      </c>
      <c r="AN51" s="14">
        <v>180000</v>
      </c>
      <c r="AO51" s="14">
        <v>0</v>
      </c>
      <c r="AP51" s="14">
        <v>0</v>
      </c>
      <c r="AQ51" s="61">
        <f t="shared" si="9"/>
        <v>2250000</v>
      </c>
    </row>
    <row r="52" s="1" customFormat="1" ht="52" customHeight="1" spans="1:43">
      <c r="A52" s="5" t="s">
        <v>142</v>
      </c>
      <c r="B52" s="6" t="s">
        <v>143</v>
      </c>
      <c r="C52" s="26" t="s">
        <v>22</v>
      </c>
      <c r="D52" s="6"/>
      <c r="E52" s="14" t="s">
        <v>23</v>
      </c>
      <c r="F52" s="14" t="s">
        <v>24</v>
      </c>
      <c r="G52" s="9" t="s">
        <v>25</v>
      </c>
      <c r="H52" s="9" t="s">
        <v>26</v>
      </c>
      <c r="I52" s="24" t="s">
        <v>27</v>
      </c>
      <c r="J52" s="6" t="s">
        <v>73</v>
      </c>
      <c r="K52" s="9">
        <v>200</v>
      </c>
      <c r="L52" s="14">
        <v>2340000</v>
      </c>
      <c r="M52" s="6">
        <v>0</v>
      </c>
      <c r="N52" s="6">
        <v>0</v>
      </c>
      <c r="O52" s="15" t="s">
        <v>74</v>
      </c>
      <c r="P52" s="6">
        <v>0</v>
      </c>
      <c r="Q52" s="14">
        <v>2340000</v>
      </c>
      <c r="R52" s="14"/>
      <c r="S52" s="14">
        <v>1</v>
      </c>
      <c r="T52" s="14">
        <v>900000</v>
      </c>
      <c r="U52" s="14">
        <v>540000</v>
      </c>
      <c r="V52" s="14">
        <v>100000</v>
      </c>
      <c r="W52" s="14">
        <v>60000</v>
      </c>
      <c r="X52" s="14"/>
      <c r="Y52" s="14"/>
      <c r="Z52" s="14"/>
      <c r="AA52" s="14"/>
      <c r="AB52" s="14">
        <v>900000</v>
      </c>
      <c r="AC52" s="14">
        <v>540000</v>
      </c>
      <c r="AD52" s="14">
        <f t="shared" si="8"/>
        <v>1440000</v>
      </c>
      <c r="AE52" s="14"/>
      <c r="AF52" s="14">
        <v>0</v>
      </c>
      <c r="AG52" s="14">
        <v>6</v>
      </c>
      <c r="AH52" s="14">
        <v>900000</v>
      </c>
      <c r="AI52" s="14">
        <v>1440000</v>
      </c>
      <c r="AJ52" s="14">
        <v>540000</v>
      </c>
      <c r="AK52" s="14">
        <v>0</v>
      </c>
      <c r="AL52" s="14">
        <v>0</v>
      </c>
      <c r="AM52" s="14">
        <v>90000</v>
      </c>
      <c r="AN52" s="14">
        <v>180000</v>
      </c>
      <c r="AO52" s="14">
        <v>90000</v>
      </c>
      <c r="AP52" s="14">
        <v>0</v>
      </c>
      <c r="AQ52" s="61">
        <f t="shared" si="9"/>
        <v>2340000</v>
      </c>
    </row>
    <row r="53" s="1" customFormat="1" ht="52" customHeight="1" spans="1:43">
      <c r="A53" s="5" t="s">
        <v>144</v>
      </c>
      <c r="B53" s="6" t="s">
        <v>145</v>
      </c>
      <c r="C53" s="26" t="s">
        <v>22</v>
      </c>
      <c r="D53" s="6"/>
      <c r="E53" s="14" t="s">
        <v>23</v>
      </c>
      <c r="F53" s="14" t="s">
        <v>24</v>
      </c>
      <c r="G53" s="9" t="s">
        <v>25</v>
      </c>
      <c r="H53" s="9" t="s">
        <v>26</v>
      </c>
      <c r="I53" s="24" t="s">
        <v>27</v>
      </c>
      <c r="J53" s="6" t="s">
        <v>73</v>
      </c>
      <c r="K53" s="9">
        <v>200</v>
      </c>
      <c r="L53" s="14">
        <v>2430000</v>
      </c>
      <c r="M53" s="6">
        <v>0</v>
      </c>
      <c r="N53" s="6">
        <v>0</v>
      </c>
      <c r="O53" s="15" t="s">
        <v>74</v>
      </c>
      <c r="P53" s="6">
        <v>0</v>
      </c>
      <c r="Q53" s="14">
        <v>2430000</v>
      </c>
      <c r="R53" s="14"/>
      <c r="S53" s="14">
        <v>1</v>
      </c>
      <c r="T53" s="14">
        <v>900000</v>
      </c>
      <c r="U53" s="14">
        <v>540000</v>
      </c>
      <c r="V53" s="14">
        <v>100000</v>
      </c>
      <c r="W53" s="14">
        <v>60000</v>
      </c>
      <c r="X53" s="14"/>
      <c r="Y53" s="14"/>
      <c r="Z53" s="14"/>
      <c r="AA53" s="14"/>
      <c r="AB53" s="14">
        <v>900000</v>
      </c>
      <c r="AC53" s="14">
        <v>540000</v>
      </c>
      <c r="AD53" s="14">
        <f t="shared" si="8"/>
        <v>1440000</v>
      </c>
      <c r="AE53" s="14"/>
      <c r="AF53" s="14">
        <v>0</v>
      </c>
      <c r="AG53" s="14">
        <v>7</v>
      </c>
      <c r="AH53" s="14">
        <v>990000</v>
      </c>
      <c r="AI53" s="14">
        <v>1440000</v>
      </c>
      <c r="AJ53" s="14">
        <v>540000</v>
      </c>
      <c r="AK53" s="14">
        <v>90000</v>
      </c>
      <c r="AL53" s="14">
        <v>0</v>
      </c>
      <c r="AM53" s="14">
        <v>90000</v>
      </c>
      <c r="AN53" s="14">
        <v>180000</v>
      </c>
      <c r="AO53" s="14">
        <v>90000</v>
      </c>
      <c r="AP53" s="14">
        <v>0</v>
      </c>
      <c r="AQ53" s="61">
        <f t="shared" si="9"/>
        <v>2430000</v>
      </c>
    </row>
    <row r="54" s="1" customFormat="1" ht="52" customHeight="1" spans="1:43">
      <c r="A54" s="5" t="s">
        <v>146</v>
      </c>
      <c r="B54" s="6" t="s">
        <v>147</v>
      </c>
      <c r="C54" s="26" t="s">
        <v>22</v>
      </c>
      <c r="D54" s="6"/>
      <c r="E54" s="14" t="s">
        <v>23</v>
      </c>
      <c r="F54" s="14" t="s">
        <v>24</v>
      </c>
      <c r="G54" s="9" t="s">
        <v>25</v>
      </c>
      <c r="H54" s="9" t="s">
        <v>26</v>
      </c>
      <c r="I54" s="24" t="s">
        <v>27</v>
      </c>
      <c r="J54" s="6" t="s">
        <v>73</v>
      </c>
      <c r="K54" s="9">
        <v>200</v>
      </c>
      <c r="L54" s="14">
        <v>2520000</v>
      </c>
      <c r="M54" s="6">
        <v>0</v>
      </c>
      <c r="N54" s="6">
        <v>0</v>
      </c>
      <c r="O54" s="15" t="s">
        <v>74</v>
      </c>
      <c r="P54" s="6">
        <v>0</v>
      </c>
      <c r="Q54" s="14">
        <v>2520000</v>
      </c>
      <c r="R54" s="14"/>
      <c r="S54" s="14">
        <v>1</v>
      </c>
      <c r="T54" s="14">
        <v>900000</v>
      </c>
      <c r="U54" s="14">
        <v>540000</v>
      </c>
      <c r="V54" s="14">
        <v>100000</v>
      </c>
      <c r="W54" s="14">
        <v>60000</v>
      </c>
      <c r="X54" s="14"/>
      <c r="Y54" s="14"/>
      <c r="Z54" s="14"/>
      <c r="AA54" s="14"/>
      <c r="AB54" s="14">
        <v>900000</v>
      </c>
      <c r="AC54" s="14">
        <v>540000</v>
      </c>
      <c r="AD54" s="14">
        <f t="shared" si="8"/>
        <v>1440000</v>
      </c>
      <c r="AE54" s="14"/>
      <c r="AF54" s="14">
        <v>0</v>
      </c>
      <c r="AG54" s="14">
        <v>8</v>
      </c>
      <c r="AH54" s="14">
        <v>1080000</v>
      </c>
      <c r="AI54" s="14">
        <v>1440000</v>
      </c>
      <c r="AJ54" s="14">
        <v>630000</v>
      </c>
      <c r="AK54" s="14">
        <v>90000</v>
      </c>
      <c r="AL54" s="14">
        <v>0</v>
      </c>
      <c r="AM54" s="14">
        <v>90000</v>
      </c>
      <c r="AN54" s="14">
        <v>180000</v>
      </c>
      <c r="AO54" s="14">
        <v>90000</v>
      </c>
      <c r="AP54" s="14">
        <v>0</v>
      </c>
      <c r="AQ54" s="61">
        <f t="shared" si="9"/>
        <v>2520000</v>
      </c>
    </row>
    <row r="55" s="1" customFormat="1" ht="73" customHeight="1" spans="1:43">
      <c r="A55" s="5" t="s">
        <v>148</v>
      </c>
      <c r="B55" s="6" t="s">
        <v>149</v>
      </c>
      <c r="C55" s="26" t="s">
        <v>22</v>
      </c>
      <c r="D55" s="6"/>
      <c r="E55" s="14" t="s">
        <v>23</v>
      </c>
      <c r="F55" s="14" t="s">
        <v>24</v>
      </c>
      <c r="G55" s="9" t="s">
        <v>25</v>
      </c>
      <c r="H55" s="9" t="s">
        <v>26</v>
      </c>
      <c r="I55" s="24" t="s">
        <v>27</v>
      </c>
      <c r="J55" s="6" t="s">
        <v>73</v>
      </c>
      <c r="K55" s="9">
        <v>200</v>
      </c>
      <c r="L55" s="14">
        <v>2610000</v>
      </c>
      <c r="M55" s="6">
        <v>0</v>
      </c>
      <c r="N55" s="6">
        <v>0</v>
      </c>
      <c r="O55" s="15" t="s">
        <v>74</v>
      </c>
      <c r="P55" s="6">
        <v>0</v>
      </c>
      <c r="Q55" s="14">
        <v>2610000</v>
      </c>
      <c r="R55" s="14"/>
      <c r="S55" s="14">
        <v>1</v>
      </c>
      <c r="T55" s="14">
        <v>900000</v>
      </c>
      <c r="U55" s="14">
        <v>540000</v>
      </c>
      <c r="V55" s="14">
        <v>100000</v>
      </c>
      <c r="W55" s="14">
        <v>60000</v>
      </c>
      <c r="X55" s="14"/>
      <c r="Y55" s="14"/>
      <c r="Z55" s="14"/>
      <c r="AA55" s="14"/>
      <c r="AB55" s="14">
        <v>900000</v>
      </c>
      <c r="AC55" s="14">
        <v>540000</v>
      </c>
      <c r="AD55" s="14">
        <f t="shared" si="8"/>
        <v>1440000</v>
      </c>
      <c r="AE55" s="14"/>
      <c r="AF55" s="14">
        <v>0</v>
      </c>
      <c r="AG55" s="14">
        <v>9</v>
      </c>
      <c r="AH55" s="14">
        <v>1170000</v>
      </c>
      <c r="AI55" s="14">
        <v>1440000</v>
      </c>
      <c r="AJ55" s="14">
        <v>630000</v>
      </c>
      <c r="AK55" s="14">
        <v>90000</v>
      </c>
      <c r="AL55" s="14">
        <v>90000</v>
      </c>
      <c r="AM55" s="14">
        <v>90000</v>
      </c>
      <c r="AN55" s="14">
        <v>180000</v>
      </c>
      <c r="AO55" s="14">
        <v>90000</v>
      </c>
      <c r="AP55" s="14">
        <v>0</v>
      </c>
      <c r="AQ55" s="61">
        <f t="shared" si="9"/>
        <v>2610000</v>
      </c>
    </row>
    <row r="56" s="1" customFormat="1" ht="25" customHeight="1" spans="1:43">
      <c r="A56" s="5"/>
      <c r="B56" s="47" t="s">
        <v>101</v>
      </c>
      <c r="C56" s="26"/>
      <c r="D56" s="6"/>
      <c r="E56" s="14"/>
      <c r="F56" s="14"/>
      <c r="G56" s="9"/>
      <c r="H56" s="9"/>
      <c r="I56" s="24"/>
      <c r="J56" s="6"/>
      <c r="K56" s="9"/>
      <c r="L56" s="14"/>
      <c r="M56" s="6"/>
      <c r="N56" s="6"/>
      <c r="O56" s="15"/>
      <c r="P56" s="6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61"/>
    </row>
    <row r="57" s="1" customFormat="1" ht="52" customHeight="1" spans="1:43">
      <c r="A57" s="5" t="s">
        <v>150</v>
      </c>
      <c r="B57" s="6" t="s">
        <v>103</v>
      </c>
      <c r="C57" s="26" t="s">
        <v>22</v>
      </c>
      <c r="D57" s="6"/>
      <c r="E57" s="14" t="s">
        <v>23</v>
      </c>
      <c r="F57" s="14" t="s">
        <v>24</v>
      </c>
      <c r="G57" s="9" t="s">
        <v>25</v>
      </c>
      <c r="H57" s="9" t="s">
        <v>26</v>
      </c>
      <c r="I57" s="24" t="s">
        <v>27</v>
      </c>
      <c r="J57" s="6" t="s">
        <v>73</v>
      </c>
      <c r="K57" s="9">
        <v>200</v>
      </c>
      <c r="L57" s="14">
        <v>3060000</v>
      </c>
      <c r="M57" s="6">
        <v>0</v>
      </c>
      <c r="N57" s="6">
        <v>0</v>
      </c>
      <c r="O57" s="15" t="s">
        <v>74</v>
      </c>
      <c r="P57" s="6">
        <v>0</v>
      </c>
      <c r="Q57" s="14">
        <v>3060000</v>
      </c>
      <c r="R57" s="14"/>
      <c r="S57" s="14">
        <v>2</v>
      </c>
      <c r="T57" s="14">
        <v>900000</v>
      </c>
      <c r="U57" s="14">
        <v>540000</v>
      </c>
      <c r="V57" s="14">
        <v>100000</v>
      </c>
      <c r="W57" s="14">
        <v>60000</v>
      </c>
      <c r="X57" s="14">
        <v>500000</v>
      </c>
      <c r="Y57" s="14">
        <v>300000</v>
      </c>
      <c r="Z57" s="14">
        <v>0</v>
      </c>
      <c r="AA57" s="14">
        <v>0</v>
      </c>
      <c r="AB57" s="14">
        <v>1400000</v>
      </c>
      <c r="AC57" s="14">
        <v>840000</v>
      </c>
      <c r="AD57" s="14">
        <v>2240000</v>
      </c>
      <c r="AE57" s="14"/>
      <c r="AF57" s="14">
        <v>0</v>
      </c>
      <c r="AG57" s="14">
        <v>5</v>
      </c>
      <c r="AH57" s="14">
        <v>820000</v>
      </c>
      <c r="AI57" s="14">
        <v>2240000</v>
      </c>
      <c r="AJ57" s="14">
        <v>540000</v>
      </c>
      <c r="AK57" s="14">
        <v>0</v>
      </c>
      <c r="AL57" s="14">
        <v>0</v>
      </c>
      <c r="AM57" s="14">
        <v>90000</v>
      </c>
      <c r="AN57" s="14">
        <v>190000</v>
      </c>
      <c r="AO57" s="14">
        <v>0</v>
      </c>
      <c r="AP57" s="14">
        <v>0</v>
      </c>
      <c r="AQ57" s="61">
        <f t="shared" ref="AQ57:AQ61" si="10">SUM(AI57:AP57)</f>
        <v>3060000</v>
      </c>
    </row>
    <row r="58" s="1" customFormat="1" ht="72" customHeight="1" spans="1:43">
      <c r="A58" s="5" t="s">
        <v>151</v>
      </c>
      <c r="B58" s="6" t="s">
        <v>105</v>
      </c>
      <c r="C58" s="26" t="s">
        <v>22</v>
      </c>
      <c r="D58" s="6"/>
      <c r="E58" s="14" t="s">
        <v>23</v>
      </c>
      <c r="F58" s="14" t="s">
        <v>24</v>
      </c>
      <c r="G58" s="9" t="s">
        <v>25</v>
      </c>
      <c r="H58" s="9" t="s">
        <v>26</v>
      </c>
      <c r="I58" s="24" t="s">
        <v>27</v>
      </c>
      <c r="J58" s="6" t="s">
        <v>73</v>
      </c>
      <c r="K58" s="9">
        <v>200</v>
      </c>
      <c r="L58" s="14">
        <v>2970000</v>
      </c>
      <c r="M58" s="6">
        <v>0</v>
      </c>
      <c r="N58" s="6">
        <v>0</v>
      </c>
      <c r="O58" s="15" t="s">
        <v>74</v>
      </c>
      <c r="P58" s="6">
        <v>0</v>
      </c>
      <c r="Q58" s="14">
        <v>2970000</v>
      </c>
      <c r="R58" s="14"/>
      <c r="S58" s="14">
        <v>2</v>
      </c>
      <c r="T58" s="14">
        <v>900000</v>
      </c>
      <c r="U58" s="14">
        <v>540000</v>
      </c>
      <c r="V58" s="14">
        <v>100000</v>
      </c>
      <c r="W58" s="14">
        <v>60000</v>
      </c>
      <c r="X58" s="14">
        <v>450000</v>
      </c>
      <c r="Y58" s="14">
        <v>270000</v>
      </c>
      <c r="Z58" s="14">
        <v>50000</v>
      </c>
      <c r="AA58" s="14">
        <v>30000</v>
      </c>
      <c r="AB58" s="14">
        <v>1350000</v>
      </c>
      <c r="AC58" s="14">
        <v>810000</v>
      </c>
      <c r="AD58" s="14">
        <v>2160000</v>
      </c>
      <c r="AE58" s="14"/>
      <c r="AF58" s="14">
        <v>0</v>
      </c>
      <c r="AG58" s="14">
        <v>5</v>
      </c>
      <c r="AH58" s="14">
        <v>810000</v>
      </c>
      <c r="AI58" s="14">
        <v>2160000</v>
      </c>
      <c r="AJ58" s="14">
        <v>540000</v>
      </c>
      <c r="AK58" s="14">
        <v>0</v>
      </c>
      <c r="AL58" s="14">
        <v>0</v>
      </c>
      <c r="AM58" s="14">
        <v>90000</v>
      </c>
      <c r="AN58" s="14">
        <v>180000</v>
      </c>
      <c r="AO58" s="14">
        <v>0</v>
      </c>
      <c r="AP58" s="14">
        <v>0</v>
      </c>
      <c r="AQ58" s="61">
        <f t="shared" si="10"/>
        <v>2970000</v>
      </c>
    </row>
    <row r="59" s="1" customFormat="1" ht="66" customHeight="1" spans="1:43">
      <c r="A59" s="5" t="s">
        <v>152</v>
      </c>
      <c r="B59" s="6" t="s">
        <v>107</v>
      </c>
      <c r="C59" s="26" t="s">
        <v>22</v>
      </c>
      <c r="D59" s="6"/>
      <c r="E59" s="14" t="s">
        <v>23</v>
      </c>
      <c r="F59" s="14" t="s">
        <v>24</v>
      </c>
      <c r="G59" s="9" t="s">
        <v>25</v>
      </c>
      <c r="H59" s="9" t="s">
        <v>26</v>
      </c>
      <c r="I59" s="24" t="s">
        <v>27</v>
      </c>
      <c r="J59" s="6" t="s">
        <v>73</v>
      </c>
      <c r="K59" s="9">
        <v>200</v>
      </c>
      <c r="L59" s="14">
        <v>3360000</v>
      </c>
      <c r="M59" s="6">
        <v>0</v>
      </c>
      <c r="N59" s="6">
        <v>0</v>
      </c>
      <c r="O59" s="15" t="s">
        <v>74</v>
      </c>
      <c r="P59" s="6">
        <v>0</v>
      </c>
      <c r="Q59" s="14">
        <v>3360000</v>
      </c>
      <c r="R59" s="14"/>
      <c r="S59" s="14">
        <v>2</v>
      </c>
      <c r="T59" s="14">
        <v>900000</v>
      </c>
      <c r="U59" s="14">
        <v>540000</v>
      </c>
      <c r="V59" s="14">
        <v>100000</v>
      </c>
      <c r="W59" s="14">
        <v>60000</v>
      </c>
      <c r="X59" s="14">
        <v>500000</v>
      </c>
      <c r="Y59" s="14">
        <v>300000</v>
      </c>
      <c r="Z59" s="14">
        <v>0</v>
      </c>
      <c r="AA59" s="14">
        <v>0</v>
      </c>
      <c r="AB59" s="14">
        <v>1400000</v>
      </c>
      <c r="AC59" s="14">
        <v>840000</v>
      </c>
      <c r="AD59" s="14">
        <v>2240000</v>
      </c>
      <c r="AE59" s="14"/>
      <c r="AF59" s="14">
        <v>0</v>
      </c>
      <c r="AG59" s="14">
        <v>7</v>
      </c>
      <c r="AH59" s="14">
        <v>1120000</v>
      </c>
      <c r="AI59" s="14">
        <v>2240000</v>
      </c>
      <c r="AJ59" s="14">
        <v>840000</v>
      </c>
      <c r="AK59" s="14">
        <v>0</v>
      </c>
      <c r="AL59" s="14">
        <v>0</v>
      </c>
      <c r="AM59" s="14">
        <v>90000</v>
      </c>
      <c r="AN59" s="14">
        <v>190000</v>
      </c>
      <c r="AO59" s="14">
        <v>0</v>
      </c>
      <c r="AP59" s="14">
        <v>0</v>
      </c>
      <c r="AQ59" s="61">
        <f t="shared" si="10"/>
        <v>3360000</v>
      </c>
    </row>
    <row r="60" s="1" customFormat="1" ht="66" customHeight="1" spans="1:43">
      <c r="A60" s="5" t="s">
        <v>153</v>
      </c>
      <c r="B60" s="6" t="s">
        <v>109</v>
      </c>
      <c r="C60" s="26" t="s">
        <v>22</v>
      </c>
      <c r="D60" s="6"/>
      <c r="E60" s="14" t="s">
        <v>23</v>
      </c>
      <c r="F60" s="14" t="s">
        <v>24</v>
      </c>
      <c r="G60" s="9" t="s">
        <v>25</v>
      </c>
      <c r="H60" s="9" t="s">
        <v>26</v>
      </c>
      <c r="I60" s="24" t="s">
        <v>27</v>
      </c>
      <c r="J60" s="6" t="s">
        <v>73</v>
      </c>
      <c r="K60" s="9">
        <v>200</v>
      </c>
      <c r="L60" s="14">
        <v>3480000</v>
      </c>
      <c r="M60" s="6">
        <v>0</v>
      </c>
      <c r="N60" s="6">
        <v>0</v>
      </c>
      <c r="O60" s="15" t="s">
        <v>74</v>
      </c>
      <c r="P60" s="6">
        <v>0</v>
      </c>
      <c r="Q60" s="14">
        <v>3480000</v>
      </c>
      <c r="R60" s="14"/>
      <c r="S60" s="14">
        <v>2</v>
      </c>
      <c r="T60" s="14">
        <v>1000000</v>
      </c>
      <c r="U60" s="14">
        <v>600000</v>
      </c>
      <c r="V60" s="14">
        <v>0</v>
      </c>
      <c r="W60" s="14">
        <v>0</v>
      </c>
      <c r="X60" s="14">
        <v>450000</v>
      </c>
      <c r="Y60" s="14">
        <v>270000</v>
      </c>
      <c r="Z60" s="14">
        <v>50000</v>
      </c>
      <c r="AA60" s="14">
        <v>30000</v>
      </c>
      <c r="AB60" s="14">
        <v>1450000</v>
      </c>
      <c r="AC60" s="14">
        <v>870000</v>
      </c>
      <c r="AD60" s="14">
        <v>2320000</v>
      </c>
      <c r="AE60" s="14"/>
      <c r="AF60" s="14">
        <v>0</v>
      </c>
      <c r="AG60" s="14">
        <v>7</v>
      </c>
      <c r="AH60" s="14">
        <v>1160000</v>
      </c>
      <c r="AI60" s="14">
        <v>2320000</v>
      </c>
      <c r="AJ60" s="14">
        <v>870000</v>
      </c>
      <c r="AK60" s="14">
        <v>0</v>
      </c>
      <c r="AL60" s="14">
        <v>0</v>
      </c>
      <c r="AM60" s="14">
        <v>100000</v>
      </c>
      <c r="AN60" s="14">
        <v>190000</v>
      </c>
      <c r="AO60" s="14">
        <v>0</v>
      </c>
      <c r="AP60" s="14">
        <v>0</v>
      </c>
      <c r="AQ60" s="61">
        <f t="shared" si="10"/>
        <v>3480000</v>
      </c>
    </row>
    <row r="61" s="1" customFormat="1" ht="66" customHeight="1" spans="1:43">
      <c r="A61" s="5" t="s">
        <v>154</v>
      </c>
      <c r="B61" s="6" t="s">
        <v>111</v>
      </c>
      <c r="C61" s="26" t="s">
        <v>22</v>
      </c>
      <c r="D61" s="6"/>
      <c r="E61" s="14" t="s">
        <v>23</v>
      </c>
      <c r="F61" s="14" t="s">
        <v>24</v>
      </c>
      <c r="G61" s="9" t="s">
        <v>25</v>
      </c>
      <c r="H61" s="9" t="s">
        <v>26</v>
      </c>
      <c r="I61" s="24" t="s">
        <v>27</v>
      </c>
      <c r="J61" s="6" t="s">
        <v>73</v>
      </c>
      <c r="K61" s="9">
        <v>200</v>
      </c>
      <c r="L61" s="14">
        <v>3240000</v>
      </c>
      <c r="M61" s="6">
        <v>0</v>
      </c>
      <c r="N61" s="6">
        <v>0</v>
      </c>
      <c r="O61" s="15" t="s">
        <v>74</v>
      </c>
      <c r="P61" s="6">
        <v>0</v>
      </c>
      <c r="Q61" s="14">
        <v>3240000</v>
      </c>
      <c r="R61" s="14"/>
      <c r="S61" s="14">
        <v>2</v>
      </c>
      <c r="T61" s="14">
        <v>900000</v>
      </c>
      <c r="U61" s="14">
        <v>540000</v>
      </c>
      <c r="V61" s="14">
        <v>100000</v>
      </c>
      <c r="W61" s="14">
        <v>60000</v>
      </c>
      <c r="X61" s="14">
        <v>450000</v>
      </c>
      <c r="Y61" s="14">
        <v>270000</v>
      </c>
      <c r="Z61" s="14">
        <v>50000</v>
      </c>
      <c r="AA61" s="14">
        <v>30000</v>
      </c>
      <c r="AB61" s="14">
        <v>1350000</v>
      </c>
      <c r="AC61" s="14">
        <v>810000</v>
      </c>
      <c r="AD61" s="14">
        <v>2160000</v>
      </c>
      <c r="AE61" s="14"/>
      <c r="AF61" s="14">
        <v>0</v>
      </c>
      <c r="AG61" s="14">
        <v>7</v>
      </c>
      <c r="AH61" s="14">
        <v>1080000</v>
      </c>
      <c r="AI61" s="14">
        <v>2160000</v>
      </c>
      <c r="AJ61" s="14">
        <v>810000</v>
      </c>
      <c r="AK61" s="14">
        <v>0</v>
      </c>
      <c r="AL61" s="14">
        <v>0</v>
      </c>
      <c r="AM61" s="14">
        <v>90000</v>
      </c>
      <c r="AN61" s="14">
        <v>180000</v>
      </c>
      <c r="AO61" s="14">
        <v>0</v>
      </c>
      <c r="AP61" s="14">
        <v>0</v>
      </c>
      <c r="AQ61" s="61">
        <f t="shared" si="10"/>
        <v>3240000</v>
      </c>
    </row>
    <row r="62" s="1" customFormat="1" ht="52" customHeight="1" spans="1:43">
      <c r="A62" s="5"/>
      <c r="B62" s="49" t="s">
        <v>155</v>
      </c>
      <c r="C62" s="50"/>
      <c r="D62" s="50"/>
      <c r="E62" s="50"/>
      <c r="F62" s="51"/>
      <c r="G62" s="9"/>
      <c r="H62" s="9"/>
      <c r="I62" s="24"/>
      <c r="J62" s="6"/>
      <c r="K62" s="9"/>
      <c r="L62" s="14"/>
      <c r="M62" s="6"/>
      <c r="N62" s="6"/>
      <c r="O62" s="15"/>
      <c r="P62" s="6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</row>
    <row r="63" s="1" customFormat="1" ht="22" customHeight="1" spans="1:43">
      <c r="A63" s="5"/>
      <c r="B63" s="47" t="s">
        <v>94</v>
      </c>
      <c r="C63" s="52"/>
      <c r="D63" s="52"/>
      <c r="E63" s="52"/>
      <c r="F63" s="52"/>
      <c r="G63" s="9"/>
      <c r="H63" s="9"/>
      <c r="I63" s="24"/>
      <c r="J63" s="6"/>
      <c r="K63" s="9"/>
      <c r="L63" s="14"/>
      <c r="M63" s="6"/>
      <c r="N63" s="6"/>
      <c r="O63" s="15"/>
      <c r="P63" s="6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</row>
    <row r="64" s="1" customFormat="1" ht="52" customHeight="1" spans="1:43">
      <c r="A64" s="5" t="s">
        <v>156</v>
      </c>
      <c r="B64" s="6" t="s">
        <v>114</v>
      </c>
      <c r="C64" s="26" t="s">
        <v>22</v>
      </c>
      <c r="D64" s="6"/>
      <c r="E64" s="14" t="s">
        <v>23</v>
      </c>
      <c r="F64" s="14" t="s">
        <v>24</v>
      </c>
      <c r="G64" s="9" t="s">
        <v>25</v>
      </c>
      <c r="H64" s="9" t="s">
        <v>26</v>
      </c>
      <c r="I64" s="24" t="s">
        <v>27</v>
      </c>
      <c r="J64" s="6" t="s">
        <v>73</v>
      </c>
      <c r="K64" s="9">
        <v>200</v>
      </c>
      <c r="L64" s="14">
        <v>250000</v>
      </c>
      <c r="M64" s="6">
        <v>0</v>
      </c>
      <c r="N64" s="6">
        <v>0</v>
      </c>
      <c r="O64" s="15" t="s">
        <v>74</v>
      </c>
      <c r="P64" s="6">
        <v>0</v>
      </c>
      <c r="Q64" s="14">
        <v>250000</v>
      </c>
      <c r="R64" s="14" t="s">
        <v>116</v>
      </c>
      <c r="S64" s="14">
        <v>1</v>
      </c>
      <c r="T64" s="14">
        <v>100000</v>
      </c>
      <c r="U64" s="14">
        <v>100000</v>
      </c>
      <c r="V64" s="14">
        <v>0</v>
      </c>
      <c r="W64" s="14">
        <v>0</v>
      </c>
      <c r="X64" s="14"/>
      <c r="Y64" s="14"/>
      <c r="Z64" s="14"/>
      <c r="AA64" s="14"/>
      <c r="AB64" s="14">
        <v>100000</v>
      </c>
      <c r="AC64" s="14">
        <v>100000</v>
      </c>
      <c r="AD64" s="14">
        <f t="shared" ref="AD64:AD66" si="11">AB64+AC64</f>
        <v>200000</v>
      </c>
      <c r="AE64" s="14"/>
      <c r="AF64" s="14">
        <v>0</v>
      </c>
      <c r="AG64" s="14">
        <v>1</v>
      </c>
      <c r="AH64" s="14">
        <v>50000</v>
      </c>
      <c r="AI64" s="14">
        <v>200000</v>
      </c>
      <c r="AJ64" s="14">
        <v>0</v>
      </c>
      <c r="AK64" s="14">
        <v>0</v>
      </c>
      <c r="AL64" s="14">
        <v>0</v>
      </c>
      <c r="AM64" s="14">
        <v>0</v>
      </c>
      <c r="AN64" s="14">
        <v>50000</v>
      </c>
      <c r="AO64" s="14">
        <v>0</v>
      </c>
      <c r="AP64" s="14">
        <v>0</v>
      </c>
      <c r="AQ64" s="61">
        <f t="shared" ref="AQ64:AQ66" si="12">SUM(AI64:AP64)</f>
        <v>250000</v>
      </c>
    </row>
    <row r="65" s="1" customFormat="1" ht="52" customHeight="1" spans="1:43">
      <c r="A65" s="5" t="s">
        <v>157</v>
      </c>
      <c r="B65" s="6" t="s">
        <v>118</v>
      </c>
      <c r="C65" s="26" t="s">
        <v>22</v>
      </c>
      <c r="D65" s="6"/>
      <c r="E65" s="14" t="s">
        <v>23</v>
      </c>
      <c r="F65" s="14" t="s">
        <v>24</v>
      </c>
      <c r="G65" s="9" t="s">
        <v>25</v>
      </c>
      <c r="H65" s="9" t="s">
        <v>26</v>
      </c>
      <c r="I65" s="24" t="s">
        <v>27</v>
      </c>
      <c r="J65" s="6" t="s">
        <v>73</v>
      </c>
      <c r="K65" s="9">
        <v>200</v>
      </c>
      <c r="L65" s="14">
        <v>550000</v>
      </c>
      <c r="M65" s="6">
        <v>0</v>
      </c>
      <c r="N65" s="6">
        <v>0</v>
      </c>
      <c r="O65" s="15" t="s">
        <v>74</v>
      </c>
      <c r="P65" s="6">
        <v>0</v>
      </c>
      <c r="Q65" s="14">
        <v>550000</v>
      </c>
      <c r="R65" s="14" t="s">
        <v>116</v>
      </c>
      <c r="S65" s="14">
        <v>1</v>
      </c>
      <c r="T65" s="14">
        <v>100000</v>
      </c>
      <c r="U65" s="14">
        <v>100000</v>
      </c>
      <c r="V65" s="14">
        <v>0</v>
      </c>
      <c r="W65" s="14">
        <v>0</v>
      </c>
      <c r="X65" s="14"/>
      <c r="Y65" s="14"/>
      <c r="Z65" s="14"/>
      <c r="AA65" s="14"/>
      <c r="AB65" s="14">
        <v>100000</v>
      </c>
      <c r="AC65" s="14">
        <v>100000</v>
      </c>
      <c r="AD65" s="14">
        <f t="shared" si="11"/>
        <v>200000</v>
      </c>
      <c r="AE65" s="14"/>
      <c r="AF65" s="14">
        <v>0</v>
      </c>
      <c r="AG65" s="14">
        <v>3</v>
      </c>
      <c r="AH65" s="14">
        <v>350000</v>
      </c>
      <c r="AI65" s="14">
        <v>200000</v>
      </c>
      <c r="AJ65" s="14">
        <v>300000</v>
      </c>
      <c r="AK65" s="14">
        <v>0</v>
      </c>
      <c r="AL65" s="14">
        <v>0</v>
      </c>
      <c r="AM65" s="14">
        <v>0</v>
      </c>
      <c r="AN65" s="14">
        <v>50000</v>
      </c>
      <c r="AO65" s="14">
        <v>0</v>
      </c>
      <c r="AP65" s="14">
        <v>0</v>
      </c>
      <c r="AQ65" s="61">
        <f t="shared" si="12"/>
        <v>550000</v>
      </c>
    </row>
    <row r="66" s="1" customFormat="1" ht="52" customHeight="1" spans="1:43">
      <c r="A66" s="5" t="s">
        <v>158</v>
      </c>
      <c r="B66" s="6" t="s">
        <v>121</v>
      </c>
      <c r="C66" s="26" t="s">
        <v>22</v>
      </c>
      <c r="D66" s="6"/>
      <c r="E66" s="14" t="s">
        <v>23</v>
      </c>
      <c r="F66" s="14" t="s">
        <v>24</v>
      </c>
      <c r="G66" s="9" t="s">
        <v>25</v>
      </c>
      <c r="H66" s="9" t="s">
        <v>26</v>
      </c>
      <c r="I66" s="24" t="s">
        <v>27</v>
      </c>
      <c r="J66" s="6" t="s">
        <v>73</v>
      </c>
      <c r="K66" s="9">
        <v>200</v>
      </c>
      <c r="L66" s="14">
        <v>650000</v>
      </c>
      <c r="M66" s="6">
        <v>0</v>
      </c>
      <c r="N66" s="6">
        <v>0</v>
      </c>
      <c r="O66" s="15" t="s">
        <v>74</v>
      </c>
      <c r="P66" s="6">
        <v>0</v>
      </c>
      <c r="Q66" s="14">
        <v>650000</v>
      </c>
      <c r="R66" s="14" t="s">
        <v>116</v>
      </c>
      <c r="S66" s="14">
        <v>1</v>
      </c>
      <c r="T66" s="14">
        <v>100000</v>
      </c>
      <c r="U66" s="14">
        <v>100000</v>
      </c>
      <c r="V66" s="14">
        <v>0</v>
      </c>
      <c r="W66" s="14">
        <v>0</v>
      </c>
      <c r="X66" s="14"/>
      <c r="Y66" s="14"/>
      <c r="Z66" s="14"/>
      <c r="AA66" s="14"/>
      <c r="AB66" s="14">
        <v>100000</v>
      </c>
      <c r="AC66" s="14">
        <v>100000</v>
      </c>
      <c r="AD66" s="14">
        <f t="shared" si="11"/>
        <v>200000</v>
      </c>
      <c r="AE66" s="14"/>
      <c r="AF66" s="14">
        <v>0</v>
      </c>
      <c r="AG66" s="14">
        <v>4</v>
      </c>
      <c r="AH66" s="14">
        <v>450000</v>
      </c>
      <c r="AI66" s="14">
        <v>200000</v>
      </c>
      <c r="AJ66" s="14">
        <v>300000</v>
      </c>
      <c r="AK66" s="14">
        <v>0</v>
      </c>
      <c r="AL66" s="14">
        <v>0</v>
      </c>
      <c r="AM66" s="14">
        <v>100000</v>
      </c>
      <c r="AN66" s="14">
        <v>50000</v>
      </c>
      <c r="AO66" s="14">
        <v>0</v>
      </c>
      <c r="AP66" s="14">
        <v>0</v>
      </c>
      <c r="AQ66" s="61">
        <f t="shared" si="12"/>
        <v>650000</v>
      </c>
    </row>
    <row r="67" s="1" customFormat="1" ht="25" customHeight="1" spans="1:43">
      <c r="A67" s="5"/>
      <c r="B67" s="47" t="s">
        <v>101</v>
      </c>
      <c r="C67" s="26"/>
      <c r="D67" s="6"/>
      <c r="E67" s="14"/>
      <c r="F67" s="14"/>
      <c r="G67" s="9"/>
      <c r="H67" s="9"/>
      <c r="I67" s="24"/>
      <c r="J67" s="6"/>
      <c r="K67" s="9"/>
      <c r="L67" s="14"/>
      <c r="M67" s="6"/>
      <c r="N67" s="6"/>
      <c r="O67" s="15"/>
      <c r="P67" s="6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61"/>
    </row>
    <row r="68" s="1" customFormat="1" ht="52" customHeight="1" spans="1:43">
      <c r="A68" s="5" t="s">
        <v>159</v>
      </c>
      <c r="B68" s="6" t="s">
        <v>103</v>
      </c>
      <c r="C68" s="26" t="s">
        <v>22</v>
      </c>
      <c r="D68" s="6"/>
      <c r="E68" s="14" t="s">
        <v>23</v>
      </c>
      <c r="F68" s="14" t="s">
        <v>24</v>
      </c>
      <c r="G68" s="9" t="s">
        <v>25</v>
      </c>
      <c r="H68" s="9" t="s">
        <v>26</v>
      </c>
      <c r="I68" s="24" t="s">
        <v>27</v>
      </c>
      <c r="J68" s="6" t="s">
        <v>73</v>
      </c>
      <c r="K68" s="9">
        <v>200</v>
      </c>
      <c r="L68" s="14">
        <v>1550000</v>
      </c>
      <c r="M68" s="6">
        <v>0</v>
      </c>
      <c r="N68" s="6">
        <v>0</v>
      </c>
      <c r="O68" s="15" t="s">
        <v>74</v>
      </c>
      <c r="P68" s="6">
        <v>0</v>
      </c>
      <c r="Q68" s="14">
        <v>1550000</v>
      </c>
      <c r="R68" s="14"/>
      <c r="S68" s="14">
        <v>2</v>
      </c>
      <c r="T68" s="14">
        <v>100000</v>
      </c>
      <c r="U68" s="14">
        <v>100000</v>
      </c>
      <c r="V68" s="14">
        <v>0</v>
      </c>
      <c r="W68" s="14">
        <v>0</v>
      </c>
      <c r="X68" s="14">
        <v>500000</v>
      </c>
      <c r="Y68" s="14">
        <v>300000</v>
      </c>
      <c r="Z68" s="14">
        <v>0</v>
      </c>
      <c r="AA68" s="14">
        <v>0</v>
      </c>
      <c r="AB68" s="14">
        <v>600000</v>
      </c>
      <c r="AC68" s="14">
        <v>400000</v>
      </c>
      <c r="AD68" s="14">
        <v>1000000</v>
      </c>
      <c r="AE68" s="14"/>
      <c r="AF68" s="14">
        <v>0</v>
      </c>
      <c r="AG68" s="14">
        <v>5</v>
      </c>
      <c r="AH68" s="14">
        <v>550000</v>
      </c>
      <c r="AI68" s="14">
        <v>1000000</v>
      </c>
      <c r="AJ68" s="14">
        <v>300000</v>
      </c>
      <c r="AK68" s="14">
        <v>0</v>
      </c>
      <c r="AL68" s="14">
        <v>0</v>
      </c>
      <c r="AM68" s="14">
        <v>100000</v>
      </c>
      <c r="AN68" s="14">
        <v>150000</v>
      </c>
      <c r="AO68" s="14">
        <v>0</v>
      </c>
      <c r="AP68" s="14">
        <v>0</v>
      </c>
      <c r="AQ68" s="61">
        <f t="shared" ref="AQ68:AQ72" si="13">SUM(AI68:AP68)</f>
        <v>1550000</v>
      </c>
    </row>
    <row r="69" s="1" customFormat="1" ht="72" customHeight="1" spans="1:43">
      <c r="A69" s="5" t="s">
        <v>160</v>
      </c>
      <c r="B69" s="6" t="s">
        <v>105</v>
      </c>
      <c r="C69" s="26" t="s">
        <v>22</v>
      </c>
      <c r="D69" s="6"/>
      <c r="E69" s="14" t="s">
        <v>23</v>
      </c>
      <c r="F69" s="14" t="s">
        <v>24</v>
      </c>
      <c r="G69" s="9" t="s">
        <v>25</v>
      </c>
      <c r="H69" s="9" t="s">
        <v>26</v>
      </c>
      <c r="I69" s="24" t="s">
        <v>27</v>
      </c>
      <c r="J69" s="6" t="s">
        <v>73</v>
      </c>
      <c r="K69" s="9">
        <v>200</v>
      </c>
      <c r="L69" s="14">
        <v>900000</v>
      </c>
      <c r="M69" s="6">
        <v>0</v>
      </c>
      <c r="N69" s="6">
        <v>0</v>
      </c>
      <c r="O69" s="15" t="s">
        <v>74</v>
      </c>
      <c r="P69" s="6">
        <v>0</v>
      </c>
      <c r="Q69" s="14">
        <v>900000</v>
      </c>
      <c r="R69" s="14"/>
      <c r="S69" s="14">
        <v>2</v>
      </c>
      <c r="T69" s="14">
        <v>100000</v>
      </c>
      <c r="U69" s="14">
        <v>100000</v>
      </c>
      <c r="V69" s="14">
        <v>0</v>
      </c>
      <c r="W69" s="14">
        <v>0</v>
      </c>
      <c r="X69" s="14">
        <v>100000</v>
      </c>
      <c r="Y69" s="14">
        <v>100000</v>
      </c>
      <c r="Z69" s="14">
        <v>0</v>
      </c>
      <c r="AA69" s="14">
        <v>0</v>
      </c>
      <c r="AB69" s="14">
        <v>200000</v>
      </c>
      <c r="AC69" s="14">
        <v>200000</v>
      </c>
      <c r="AD69" s="14">
        <v>400000</v>
      </c>
      <c r="AE69" s="14"/>
      <c r="AF69" s="14">
        <v>0</v>
      </c>
      <c r="AG69" s="14">
        <v>5</v>
      </c>
      <c r="AH69" s="14">
        <v>500000</v>
      </c>
      <c r="AI69" s="14">
        <v>400000</v>
      </c>
      <c r="AJ69" s="14">
        <v>300000</v>
      </c>
      <c r="AK69" s="14">
        <v>0</v>
      </c>
      <c r="AL69" s="14">
        <v>0</v>
      </c>
      <c r="AM69" s="14">
        <v>100000</v>
      </c>
      <c r="AN69" s="14">
        <v>100000</v>
      </c>
      <c r="AO69" s="14">
        <v>0</v>
      </c>
      <c r="AP69" s="14">
        <v>0</v>
      </c>
      <c r="AQ69" s="61">
        <f t="shared" si="13"/>
        <v>900000</v>
      </c>
    </row>
    <row r="70" s="1" customFormat="1" ht="66" customHeight="1" spans="1:43">
      <c r="A70" s="5" t="s">
        <v>161</v>
      </c>
      <c r="B70" s="6" t="s">
        <v>107</v>
      </c>
      <c r="C70" s="26" t="s">
        <v>22</v>
      </c>
      <c r="D70" s="6"/>
      <c r="E70" s="14" t="s">
        <v>23</v>
      </c>
      <c r="F70" s="14" t="s">
        <v>24</v>
      </c>
      <c r="G70" s="9" t="s">
        <v>25</v>
      </c>
      <c r="H70" s="9" t="s">
        <v>26</v>
      </c>
      <c r="I70" s="24" t="s">
        <v>27</v>
      </c>
      <c r="J70" s="6" t="s">
        <v>73</v>
      </c>
      <c r="K70" s="9">
        <v>200</v>
      </c>
      <c r="L70" s="14">
        <v>1850000</v>
      </c>
      <c r="M70" s="6">
        <v>0</v>
      </c>
      <c r="N70" s="6">
        <v>0</v>
      </c>
      <c r="O70" s="15" t="s">
        <v>74</v>
      </c>
      <c r="P70" s="6">
        <v>0</v>
      </c>
      <c r="Q70" s="14">
        <v>1850000</v>
      </c>
      <c r="R70" s="14"/>
      <c r="S70" s="14">
        <v>2</v>
      </c>
      <c r="T70" s="14">
        <v>100000</v>
      </c>
      <c r="U70" s="14">
        <v>100000</v>
      </c>
      <c r="V70" s="14">
        <v>0</v>
      </c>
      <c r="W70" s="14">
        <v>0</v>
      </c>
      <c r="X70" s="14">
        <v>100000</v>
      </c>
      <c r="Y70" s="14">
        <v>100000</v>
      </c>
      <c r="Z70" s="14">
        <v>0</v>
      </c>
      <c r="AA70" s="14">
        <v>0</v>
      </c>
      <c r="AB70" s="14">
        <v>600000</v>
      </c>
      <c r="AC70" s="14">
        <v>400000</v>
      </c>
      <c r="AD70" s="14">
        <v>1000000</v>
      </c>
      <c r="AE70" s="14"/>
      <c r="AF70" s="14">
        <v>0</v>
      </c>
      <c r="AG70" s="14">
        <v>7</v>
      </c>
      <c r="AH70" s="14">
        <v>850000</v>
      </c>
      <c r="AI70" s="14">
        <v>1000000</v>
      </c>
      <c r="AJ70" s="14">
        <v>600000</v>
      </c>
      <c r="AK70" s="14">
        <v>0</v>
      </c>
      <c r="AL70" s="14">
        <v>0</v>
      </c>
      <c r="AM70" s="14">
        <v>100000</v>
      </c>
      <c r="AN70" s="14">
        <v>150000</v>
      </c>
      <c r="AO70" s="14">
        <v>0</v>
      </c>
      <c r="AP70" s="14">
        <v>0</v>
      </c>
      <c r="AQ70" s="61">
        <f t="shared" si="13"/>
        <v>1850000</v>
      </c>
    </row>
    <row r="71" s="1" customFormat="1" ht="66" customHeight="1" spans="1:43">
      <c r="A71" s="5" t="s">
        <v>162</v>
      </c>
      <c r="B71" s="6" t="s">
        <v>109</v>
      </c>
      <c r="C71" s="26" t="s">
        <v>22</v>
      </c>
      <c r="D71" s="6"/>
      <c r="E71" s="14" t="s">
        <v>23</v>
      </c>
      <c r="F71" s="14" t="s">
        <v>24</v>
      </c>
      <c r="G71" s="9" t="s">
        <v>25</v>
      </c>
      <c r="H71" s="9" t="s">
        <v>26</v>
      </c>
      <c r="I71" s="24" t="s">
        <v>27</v>
      </c>
      <c r="J71" s="6" t="s">
        <v>73</v>
      </c>
      <c r="K71" s="9">
        <v>200</v>
      </c>
      <c r="L71" s="14">
        <v>2850000</v>
      </c>
      <c r="M71" s="6">
        <v>0</v>
      </c>
      <c r="N71" s="6">
        <v>0</v>
      </c>
      <c r="O71" s="15" t="s">
        <v>74</v>
      </c>
      <c r="P71" s="6">
        <v>0</v>
      </c>
      <c r="Q71" s="14">
        <v>2850000</v>
      </c>
      <c r="R71" s="14"/>
      <c r="S71" s="14">
        <v>2</v>
      </c>
      <c r="T71" s="14">
        <v>1000000</v>
      </c>
      <c r="U71" s="14">
        <v>600000</v>
      </c>
      <c r="V71" s="14">
        <v>0</v>
      </c>
      <c r="W71" s="14">
        <v>0</v>
      </c>
      <c r="X71" s="14">
        <v>100000</v>
      </c>
      <c r="Y71" s="14">
        <v>100000</v>
      </c>
      <c r="Z71" s="14">
        <v>0</v>
      </c>
      <c r="AA71" s="14">
        <v>0</v>
      </c>
      <c r="AB71" s="14">
        <v>1100000</v>
      </c>
      <c r="AC71" s="14">
        <v>700000</v>
      </c>
      <c r="AD71" s="14">
        <v>1800000</v>
      </c>
      <c r="AE71" s="14"/>
      <c r="AF71" s="14">
        <v>0</v>
      </c>
      <c r="AG71" s="14">
        <v>7</v>
      </c>
      <c r="AH71" s="14">
        <v>1050000</v>
      </c>
      <c r="AI71" s="14">
        <v>1800000</v>
      </c>
      <c r="AJ71" s="14">
        <v>800000</v>
      </c>
      <c r="AK71" s="14">
        <v>0</v>
      </c>
      <c r="AL71" s="14">
        <v>0</v>
      </c>
      <c r="AM71" s="14">
        <v>100000</v>
      </c>
      <c r="AN71" s="14">
        <v>150000</v>
      </c>
      <c r="AO71" s="14">
        <v>0</v>
      </c>
      <c r="AP71" s="14">
        <v>0</v>
      </c>
      <c r="AQ71" s="61">
        <f t="shared" si="13"/>
        <v>2850000</v>
      </c>
    </row>
    <row r="72" s="1" customFormat="1" ht="66" customHeight="1" spans="1:43">
      <c r="A72" s="5" t="s">
        <v>163</v>
      </c>
      <c r="B72" s="6" t="s">
        <v>111</v>
      </c>
      <c r="C72" s="26" t="s">
        <v>22</v>
      </c>
      <c r="D72" s="6"/>
      <c r="E72" s="14" t="s">
        <v>23</v>
      </c>
      <c r="F72" s="14" t="s">
        <v>24</v>
      </c>
      <c r="G72" s="9" t="s">
        <v>25</v>
      </c>
      <c r="H72" s="9" t="s">
        <v>26</v>
      </c>
      <c r="I72" s="24" t="s">
        <v>27</v>
      </c>
      <c r="J72" s="6" t="s">
        <v>73</v>
      </c>
      <c r="K72" s="9">
        <v>200</v>
      </c>
      <c r="L72" s="14">
        <v>1100000</v>
      </c>
      <c r="M72" s="6">
        <v>0</v>
      </c>
      <c r="N72" s="6">
        <v>0</v>
      </c>
      <c r="O72" s="15" t="s">
        <v>74</v>
      </c>
      <c r="P72" s="6">
        <v>0</v>
      </c>
      <c r="Q72" s="14">
        <v>1100000</v>
      </c>
      <c r="R72" s="14"/>
      <c r="S72" s="14">
        <v>2</v>
      </c>
      <c r="T72" s="14">
        <v>100000</v>
      </c>
      <c r="U72" s="14">
        <v>100000</v>
      </c>
      <c r="V72" s="14">
        <v>0</v>
      </c>
      <c r="W72" s="14">
        <v>0</v>
      </c>
      <c r="X72" s="14">
        <v>100000</v>
      </c>
      <c r="Y72" s="14">
        <v>100000</v>
      </c>
      <c r="Z72" s="14">
        <v>0</v>
      </c>
      <c r="AA72" s="14">
        <v>0</v>
      </c>
      <c r="AB72" s="14">
        <v>200000</v>
      </c>
      <c r="AC72" s="14">
        <v>200000</v>
      </c>
      <c r="AD72" s="14">
        <v>400000</v>
      </c>
      <c r="AE72" s="14"/>
      <c r="AF72" s="14">
        <v>0</v>
      </c>
      <c r="AG72" s="14">
        <v>7</v>
      </c>
      <c r="AH72" s="14">
        <v>700000</v>
      </c>
      <c r="AI72" s="14">
        <v>400000</v>
      </c>
      <c r="AJ72" s="14">
        <v>500000</v>
      </c>
      <c r="AK72" s="14">
        <v>0</v>
      </c>
      <c r="AL72" s="14">
        <v>0</v>
      </c>
      <c r="AM72" s="14">
        <v>100000</v>
      </c>
      <c r="AN72" s="14">
        <v>100000</v>
      </c>
      <c r="AO72" s="14">
        <v>0</v>
      </c>
      <c r="AP72" s="14">
        <v>0</v>
      </c>
      <c r="AQ72" s="61">
        <f t="shared" si="13"/>
        <v>1100000</v>
      </c>
    </row>
    <row r="73" s="1" customFormat="1" ht="52" customHeight="1" spans="1:43">
      <c r="A73" s="5"/>
      <c r="B73" s="49" t="s">
        <v>164</v>
      </c>
      <c r="C73" s="50"/>
      <c r="D73" s="50"/>
      <c r="E73" s="50"/>
      <c r="F73" s="51"/>
      <c r="G73" s="9"/>
      <c r="H73" s="9"/>
      <c r="I73" s="24"/>
      <c r="J73" s="6"/>
      <c r="K73" s="9"/>
      <c r="L73" s="14"/>
      <c r="M73" s="6"/>
      <c r="N73" s="6"/>
      <c r="O73" s="15"/>
      <c r="P73" s="6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</row>
    <row r="74" s="1" customFormat="1" ht="24" customHeight="1" spans="1:43">
      <c r="A74" s="5"/>
      <c r="B74" s="47" t="s">
        <v>94</v>
      </c>
      <c r="C74" s="52"/>
      <c r="D74" s="52"/>
      <c r="E74" s="52"/>
      <c r="F74" s="52"/>
      <c r="G74" s="9"/>
      <c r="H74" s="9"/>
      <c r="I74" s="24"/>
      <c r="J74" s="6"/>
      <c r="K74" s="9"/>
      <c r="L74" s="14"/>
      <c r="M74" s="6"/>
      <c r="N74" s="6"/>
      <c r="O74" s="15"/>
      <c r="P74" s="6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</row>
    <row r="75" s="1" customFormat="1" ht="52" customHeight="1" spans="1:43">
      <c r="A75" s="5" t="s">
        <v>165</v>
      </c>
      <c r="B75" s="6" t="s">
        <v>114</v>
      </c>
      <c r="C75" s="26" t="s">
        <v>22</v>
      </c>
      <c r="D75" s="6"/>
      <c r="E75" s="14" t="s">
        <v>23</v>
      </c>
      <c r="F75" s="14" t="s">
        <v>24</v>
      </c>
      <c r="G75" s="9" t="s">
        <v>25</v>
      </c>
      <c r="H75" s="9" t="s">
        <v>26</v>
      </c>
      <c r="I75" s="24" t="s">
        <v>27</v>
      </c>
      <c r="J75" s="6" t="s">
        <v>73</v>
      </c>
      <c r="K75" s="9">
        <v>200</v>
      </c>
      <c r="L75" s="14">
        <v>250000</v>
      </c>
      <c r="M75" s="6">
        <v>0</v>
      </c>
      <c r="N75" s="6">
        <v>0</v>
      </c>
      <c r="O75" s="15" t="s">
        <v>74</v>
      </c>
      <c r="P75" s="6">
        <v>0</v>
      </c>
      <c r="Q75" s="14">
        <v>250000</v>
      </c>
      <c r="R75" s="14" t="s">
        <v>116</v>
      </c>
      <c r="S75" s="14">
        <v>1</v>
      </c>
      <c r="T75" s="14">
        <v>100000</v>
      </c>
      <c r="U75" s="14">
        <v>100000</v>
      </c>
      <c r="V75" s="14">
        <v>0</v>
      </c>
      <c r="W75" s="14">
        <v>0</v>
      </c>
      <c r="X75" s="14"/>
      <c r="Y75" s="14"/>
      <c r="Z75" s="14"/>
      <c r="AA75" s="14"/>
      <c r="AB75" s="14">
        <v>100000</v>
      </c>
      <c r="AC75" s="14">
        <v>100000</v>
      </c>
      <c r="AD75" s="14">
        <f t="shared" ref="AD75:AD77" si="14">AB75+AC75</f>
        <v>200000</v>
      </c>
      <c r="AE75" s="14"/>
      <c r="AF75" s="14">
        <v>0</v>
      </c>
      <c r="AG75" s="14">
        <v>1</v>
      </c>
      <c r="AH75" s="14">
        <v>50000</v>
      </c>
      <c r="AI75" s="14">
        <v>200000</v>
      </c>
      <c r="AJ75" s="14">
        <v>0</v>
      </c>
      <c r="AK75" s="14">
        <v>0</v>
      </c>
      <c r="AL75" s="14">
        <v>0</v>
      </c>
      <c r="AM75" s="14">
        <v>0</v>
      </c>
      <c r="AN75" s="14">
        <v>50000</v>
      </c>
      <c r="AO75" s="14">
        <v>0</v>
      </c>
      <c r="AP75" s="14">
        <v>0</v>
      </c>
      <c r="AQ75" s="61">
        <f t="shared" ref="AQ75:AQ77" si="15">SUM(AI75:AP75)</f>
        <v>250000</v>
      </c>
    </row>
    <row r="76" s="1" customFormat="1" ht="52" customHeight="1" spans="1:43">
      <c r="A76" s="5" t="s">
        <v>166</v>
      </c>
      <c r="B76" s="6" t="s">
        <v>118</v>
      </c>
      <c r="C76" s="26" t="s">
        <v>22</v>
      </c>
      <c r="D76" s="6"/>
      <c r="E76" s="14" t="s">
        <v>23</v>
      </c>
      <c r="F76" s="14" t="s">
        <v>24</v>
      </c>
      <c r="G76" s="9" t="s">
        <v>25</v>
      </c>
      <c r="H76" s="9" t="s">
        <v>26</v>
      </c>
      <c r="I76" s="24" t="s">
        <v>27</v>
      </c>
      <c r="J76" s="6" t="s">
        <v>73</v>
      </c>
      <c r="K76" s="9">
        <v>200</v>
      </c>
      <c r="L76" s="14">
        <v>550000</v>
      </c>
      <c r="M76" s="6">
        <v>0</v>
      </c>
      <c r="N76" s="6">
        <v>0</v>
      </c>
      <c r="O76" s="15" t="s">
        <v>74</v>
      </c>
      <c r="P76" s="6">
        <v>0</v>
      </c>
      <c r="Q76" s="14">
        <v>550000</v>
      </c>
      <c r="R76" s="14" t="s">
        <v>116</v>
      </c>
      <c r="S76" s="14">
        <v>1</v>
      </c>
      <c r="T76" s="14">
        <v>100000</v>
      </c>
      <c r="U76" s="14">
        <v>100000</v>
      </c>
      <c r="V76" s="14">
        <v>0</v>
      </c>
      <c r="W76" s="14">
        <v>0</v>
      </c>
      <c r="X76" s="14"/>
      <c r="Y76" s="14"/>
      <c r="Z76" s="14"/>
      <c r="AA76" s="14"/>
      <c r="AB76" s="14">
        <v>100000</v>
      </c>
      <c r="AC76" s="14">
        <v>100000</v>
      </c>
      <c r="AD76" s="14">
        <f t="shared" si="14"/>
        <v>200000</v>
      </c>
      <c r="AE76" s="14"/>
      <c r="AF76" s="14">
        <v>0</v>
      </c>
      <c r="AG76" s="14">
        <v>3</v>
      </c>
      <c r="AH76" s="14">
        <v>350000</v>
      </c>
      <c r="AI76" s="14">
        <v>200000</v>
      </c>
      <c r="AJ76" s="14">
        <v>300000</v>
      </c>
      <c r="AK76" s="14">
        <v>0</v>
      </c>
      <c r="AL76" s="14">
        <v>0</v>
      </c>
      <c r="AM76" s="14">
        <v>0</v>
      </c>
      <c r="AN76" s="14">
        <v>50000</v>
      </c>
      <c r="AO76" s="14">
        <v>0</v>
      </c>
      <c r="AP76" s="14">
        <v>0</v>
      </c>
      <c r="AQ76" s="61">
        <f t="shared" si="15"/>
        <v>550000</v>
      </c>
    </row>
    <row r="77" s="1" customFormat="1" ht="52" customHeight="1" spans="1:43">
      <c r="A77" s="5" t="s">
        <v>167</v>
      </c>
      <c r="B77" s="6" t="s">
        <v>121</v>
      </c>
      <c r="C77" s="26" t="s">
        <v>22</v>
      </c>
      <c r="D77" s="6"/>
      <c r="E77" s="14" t="s">
        <v>23</v>
      </c>
      <c r="F77" s="14" t="s">
        <v>24</v>
      </c>
      <c r="G77" s="9" t="s">
        <v>25</v>
      </c>
      <c r="H77" s="9" t="s">
        <v>26</v>
      </c>
      <c r="I77" s="24" t="s">
        <v>27</v>
      </c>
      <c r="J77" s="6" t="s">
        <v>73</v>
      </c>
      <c r="K77" s="9">
        <v>200</v>
      </c>
      <c r="L77" s="14">
        <v>650000</v>
      </c>
      <c r="M77" s="6">
        <v>0</v>
      </c>
      <c r="N77" s="6">
        <v>0</v>
      </c>
      <c r="O77" s="15" t="s">
        <v>74</v>
      </c>
      <c r="P77" s="6">
        <v>0</v>
      </c>
      <c r="Q77" s="14">
        <v>650000</v>
      </c>
      <c r="R77" s="14" t="s">
        <v>116</v>
      </c>
      <c r="S77" s="14">
        <v>1</v>
      </c>
      <c r="T77" s="14">
        <v>100000</v>
      </c>
      <c r="U77" s="14">
        <v>100000</v>
      </c>
      <c r="V77" s="14">
        <v>0</v>
      </c>
      <c r="W77" s="14">
        <v>0</v>
      </c>
      <c r="X77" s="14"/>
      <c r="Y77" s="14"/>
      <c r="Z77" s="14"/>
      <c r="AA77" s="14"/>
      <c r="AB77" s="14">
        <v>100000</v>
      </c>
      <c r="AC77" s="14">
        <v>100000</v>
      </c>
      <c r="AD77" s="14">
        <f t="shared" si="14"/>
        <v>200000</v>
      </c>
      <c r="AE77" s="14"/>
      <c r="AF77" s="14">
        <v>0</v>
      </c>
      <c r="AG77" s="14">
        <v>4</v>
      </c>
      <c r="AH77" s="14">
        <v>450000</v>
      </c>
      <c r="AI77" s="14">
        <v>200000</v>
      </c>
      <c r="AJ77" s="14">
        <v>300000</v>
      </c>
      <c r="AK77" s="14">
        <v>0</v>
      </c>
      <c r="AL77" s="14">
        <v>0</v>
      </c>
      <c r="AM77" s="14">
        <v>100000</v>
      </c>
      <c r="AN77" s="14">
        <v>50000</v>
      </c>
      <c r="AO77" s="14">
        <v>0</v>
      </c>
      <c r="AP77" s="14">
        <v>0</v>
      </c>
      <c r="AQ77" s="61">
        <f t="shared" si="15"/>
        <v>650000</v>
      </c>
    </row>
    <row r="78" s="38" customFormat="1" ht="21" customHeight="1" spans="1:56">
      <c r="A78" s="39"/>
      <c r="B78" s="40" t="s">
        <v>168</v>
      </c>
      <c r="C78" s="41"/>
      <c r="D78" s="41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55"/>
      <c r="R78" s="56"/>
      <c r="S78" s="56"/>
      <c r="T78" s="56"/>
      <c r="U78" s="56"/>
      <c r="V78" s="56"/>
      <c r="W78" s="57"/>
      <c r="X78" s="56"/>
      <c r="Y78" s="56"/>
      <c r="Z78" s="56"/>
      <c r="AA78" s="56"/>
      <c r="AB78" s="56"/>
      <c r="AC78" s="56"/>
      <c r="AD78" s="56"/>
      <c r="AE78" s="56"/>
      <c r="AF78" s="58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</row>
    <row r="79" s="1" customFormat="1" ht="52" customHeight="1" spans="1:43">
      <c r="A79" s="5" t="s">
        <v>169</v>
      </c>
      <c r="B79" s="6" t="s">
        <v>170</v>
      </c>
      <c r="C79" s="26" t="s">
        <v>22</v>
      </c>
      <c r="D79" s="6"/>
      <c r="E79" s="14" t="s">
        <v>23</v>
      </c>
      <c r="F79" s="14" t="s">
        <v>24</v>
      </c>
      <c r="G79" s="9" t="s">
        <v>25</v>
      </c>
      <c r="H79" s="9" t="s">
        <v>26</v>
      </c>
      <c r="I79" s="24" t="s">
        <v>27</v>
      </c>
      <c r="J79" s="6" t="s">
        <v>171</v>
      </c>
      <c r="K79" s="9">
        <v>200</v>
      </c>
      <c r="L79" s="14">
        <v>1700000</v>
      </c>
      <c r="M79" s="6">
        <v>1700000</v>
      </c>
      <c r="N79" s="6">
        <v>1700000</v>
      </c>
      <c r="O79" s="15" t="s">
        <v>74</v>
      </c>
      <c r="P79" s="6">
        <v>0</v>
      </c>
      <c r="Q79" s="14">
        <v>0</v>
      </c>
      <c r="R79" s="14" t="s">
        <v>116</v>
      </c>
      <c r="S79" s="14">
        <v>1</v>
      </c>
      <c r="T79" s="14">
        <v>1000000</v>
      </c>
      <c r="U79" s="14">
        <v>600000</v>
      </c>
      <c r="V79" s="14">
        <v>0</v>
      </c>
      <c r="W79" s="14">
        <v>0</v>
      </c>
      <c r="X79" s="14"/>
      <c r="Y79" s="14"/>
      <c r="Z79" s="14"/>
      <c r="AA79" s="14"/>
      <c r="AB79" s="14">
        <v>1000000</v>
      </c>
      <c r="AC79" s="14">
        <v>600000</v>
      </c>
      <c r="AD79" s="14">
        <f t="shared" ref="AD79:AD86" si="16">AB79+AC79</f>
        <v>1600000</v>
      </c>
      <c r="AE79" s="14"/>
      <c r="AF79" s="14">
        <v>0</v>
      </c>
      <c r="AG79" s="14">
        <v>1</v>
      </c>
      <c r="AH79" s="14">
        <v>100000</v>
      </c>
      <c r="AI79" s="14">
        <v>1600000</v>
      </c>
      <c r="AJ79" s="14">
        <v>0</v>
      </c>
      <c r="AK79" s="14">
        <v>0</v>
      </c>
      <c r="AL79" s="14">
        <v>0</v>
      </c>
      <c r="AM79" s="14">
        <v>0</v>
      </c>
      <c r="AN79" s="14">
        <v>100000</v>
      </c>
      <c r="AO79" s="14">
        <v>0</v>
      </c>
      <c r="AP79" s="14">
        <v>0</v>
      </c>
      <c r="AQ79" s="61">
        <f t="shared" ref="AQ79:AQ86" si="17">SUM(AI79:AP79)</f>
        <v>1700000</v>
      </c>
    </row>
    <row r="80" s="1" customFormat="1" ht="52" customHeight="1" spans="1:43">
      <c r="A80" s="5" t="s">
        <v>172</v>
      </c>
      <c r="B80" s="6" t="s">
        <v>173</v>
      </c>
      <c r="C80" s="26" t="s">
        <v>22</v>
      </c>
      <c r="D80" s="6"/>
      <c r="E80" s="14" t="s">
        <v>23</v>
      </c>
      <c r="F80" s="14" t="s">
        <v>24</v>
      </c>
      <c r="G80" s="9" t="s">
        <v>25</v>
      </c>
      <c r="H80" s="9" t="s">
        <v>26</v>
      </c>
      <c r="I80" s="24" t="s">
        <v>27</v>
      </c>
      <c r="J80" s="6" t="s">
        <v>73</v>
      </c>
      <c r="K80" s="9">
        <v>200</v>
      </c>
      <c r="L80" s="14">
        <v>2300000</v>
      </c>
      <c r="M80" s="14">
        <v>2100000</v>
      </c>
      <c r="N80" s="14">
        <v>2100000</v>
      </c>
      <c r="O80" s="15" t="s">
        <v>74</v>
      </c>
      <c r="P80" s="6">
        <v>0</v>
      </c>
      <c r="Q80" s="14">
        <v>200000</v>
      </c>
      <c r="R80" s="14"/>
      <c r="S80" s="14">
        <v>1</v>
      </c>
      <c r="T80" s="14">
        <v>1000000</v>
      </c>
      <c r="U80" s="14">
        <v>600000</v>
      </c>
      <c r="V80" s="14">
        <v>0</v>
      </c>
      <c r="W80" s="14">
        <v>0</v>
      </c>
      <c r="X80" s="14"/>
      <c r="Y80" s="14"/>
      <c r="Z80" s="14"/>
      <c r="AA80" s="14"/>
      <c r="AB80" s="14">
        <v>1000000</v>
      </c>
      <c r="AC80" s="14">
        <v>600000</v>
      </c>
      <c r="AD80" s="14">
        <f t="shared" si="16"/>
        <v>1600000</v>
      </c>
      <c r="AE80" s="14"/>
      <c r="AF80" s="14">
        <v>0</v>
      </c>
      <c r="AG80" s="14">
        <v>3</v>
      </c>
      <c r="AH80" s="14">
        <v>700000</v>
      </c>
      <c r="AI80" s="14">
        <v>1600000</v>
      </c>
      <c r="AJ80" s="14">
        <v>600000</v>
      </c>
      <c r="AK80" s="14">
        <v>0</v>
      </c>
      <c r="AL80" s="14">
        <v>0</v>
      </c>
      <c r="AM80" s="14">
        <v>0</v>
      </c>
      <c r="AN80" s="14">
        <v>100000</v>
      </c>
      <c r="AO80" s="14">
        <v>0</v>
      </c>
      <c r="AP80" s="14">
        <v>0</v>
      </c>
      <c r="AQ80" s="61">
        <f t="shared" si="17"/>
        <v>2300000</v>
      </c>
    </row>
    <row r="81" s="1" customFormat="1" ht="52" customHeight="1" spans="1:43">
      <c r="A81" s="5" t="s">
        <v>174</v>
      </c>
      <c r="B81" s="6" t="s">
        <v>175</v>
      </c>
      <c r="C81" s="26" t="s">
        <v>22</v>
      </c>
      <c r="D81" s="6"/>
      <c r="E81" s="14" t="s">
        <v>23</v>
      </c>
      <c r="F81" s="14" t="s">
        <v>24</v>
      </c>
      <c r="G81" s="9" t="s">
        <v>25</v>
      </c>
      <c r="H81" s="9" t="s">
        <v>26</v>
      </c>
      <c r="I81" s="24" t="s">
        <v>27</v>
      </c>
      <c r="J81" s="6" t="s">
        <v>73</v>
      </c>
      <c r="K81" s="9">
        <v>200</v>
      </c>
      <c r="L81" s="14">
        <v>2400000</v>
      </c>
      <c r="M81" s="14">
        <v>2100000</v>
      </c>
      <c r="N81" s="14">
        <v>2100000</v>
      </c>
      <c r="O81" s="15" t="s">
        <v>74</v>
      </c>
      <c r="P81" s="6">
        <v>0</v>
      </c>
      <c r="Q81" s="14">
        <v>300000</v>
      </c>
      <c r="R81" s="14"/>
      <c r="S81" s="14">
        <v>1</v>
      </c>
      <c r="T81" s="14">
        <v>1000000</v>
      </c>
      <c r="U81" s="14">
        <v>600000</v>
      </c>
      <c r="V81" s="14">
        <v>0</v>
      </c>
      <c r="W81" s="14">
        <v>0</v>
      </c>
      <c r="X81" s="14"/>
      <c r="Y81" s="14"/>
      <c r="Z81" s="14"/>
      <c r="AA81" s="14"/>
      <c r="AB81" s="14">
        <v>1000000</v>
      </c>
      <c r="AC81" s="14">
        <v>600000</v>
      </c>
      <c r="AD81" s="14">
        <f t="shared" si="16"/>
        <v>1600000</v>
      </c>
      <c r="AE81" s="14"/>
      <c r="AF81" s="14">
        <v>0</v>
      </c>
      <c r="AG81" s="14">
        <v>4</v>
      </c>
      <c r="AH81" s="14">
        <v>800000</v>
      </c>
      <c r="AI81" s="14">
        <v>1600000</v>
      </c>
      <c r="AJ81" s="14">
        <v>600000</v>
      </c>
      <c r="AK81" s="14">
        <v>0</v>
      </c>
      <c r="AL81" s="14">
        <v>0</v>
      </c>
      <c r="AM81" s="14">
        <v>100000</v>
      </c>
      <c r="AN81" s="14">
        <v>100000</v>
      </c>
      <c r="AO81" s="14">
        <v>0</v>
      </c>
      <c r="AP81" s="14">
        <v>0</v>
      </c>
      <c r="AQ81" s="61">
        <f t="shared" si="17"/>
        <v>2400000</v>
      </c>
    </row>
    <row r="82" s="1" customFormat="1" ht="52" customHeight="1" spans="1:43">
      <c r="A82" s="5" t="s">
        <v>176</v>
      </c>
      <c r="B82" s="6" t="s">
        <v>177</v>
      </c>
      <c r="C82" s="26" t="s">
        <v>22</v>
      </c>
      <c r="D82" s="6"/>
      <c r="E82" s="14" t="s">
        <v>23</v>
      </c>
      <c r="F82" s="14" t="s">
        <v>24</v>
      </c>
      <c r="G82" s="9" t="s">
        <v>25</v>
      </c>
      <c r="H82" s="9" t="s">
        <v>26</v>
      </c>
      <c r="I82" s="24" t="s">
        <v>27</v>
      </c>
      <c r="J82" s="6" t="s">
        <v>73</v>
      </c>
      <c r="K82" s="9">
        <v>200</v>
      </c>
      <c r="L82" s="14">
        <v>2500000</v>
      </c>
      <c r="M82" s="14">
        <v>2100000</v>
      </c>
      <c r="N82" s="14">
        <v>2100000</v>
      </c>
      <c r="O82" s="15" t="s">
        <v>74</v>
      </c>
      <c r="P82" s="6">
        <v>0</v>
      </c>
      <c r="Q82" s="14">
        <v>400000</v>
      </c>
      <c r="R82" s="14"/>
      <c r="S82" s="14">
        <v>1</v>
      </c>
      <c r="T82" s="14">
        <v>1000000</v>
      </c>
      <c r="U82" s="14">
        <v>600000</v>
      </c>
      <c r="V82" s="14">
        <v>0</v>
      </c>
      <c r="W82" s="14">
        <v>0</v>
      </c>
      <c r="X82" s="14"/>
      <c r="Y82" s="14"/>
      <c r="Z82" s="14"/>
      <c r="AA82" s="14"/>
      <c r="AB82" s="14">
        <v>1000000</v>
      </c>
      <c r="AC82" s="14">
        <v>600000</v>
      </c>
      <c r="AD82" s="14">
        <f t="shared" si="16"/>
        <v>1600000</v>
      </c>
      <c r="AE82" s="14"/>
      <c r="AF82" s="14">
        <v>0</v>
      </c>
      <c r="AG82" s="14">
        <v>5</v>
      </c>
      <c r="AH82" s="14">
        <v>900000</v>
      </c>
      <c r="AI82" s="14">
        <v>1600000</v>
      </c>
      <c r="AJ82" s="14">
        <v>600000</v>
      </c>
      <c r="AK82" s="14">
        <v>0</v>
      </c>
      <c r="AL82" s="14">
        <v>0</v>
      </c>
      <c r="AM82" s="14">
        <v>100000</v>
      </c>
      <c r="AN82" s="14">
        <v>200000</v>
      </c>
      <c r="AO82" s="14">
        <v>0</v>
      </c>
      <c r="AP82" s="14">
        <v>0</v>
      </c>
      <c r="AQ82" s="61">
        <f t="shared" si="17"/>
        <v>2500000</v>
      </c>
    </row>
    <row r="83" s="1" customFormat="1" ht="52" customHeight="1" spans="1:43">
      <c r="A83" s="5" t="s">
        <v>178</v>
      </c>
      <c r="B83" s="6" t="s">
        <v>179</v>
      </c>
      <c r="C83" s="26" t="s">
        <v>22</v>
      </c>
      <c r="D83" s="6"/>
      <c r="E83" s="14" t="s">
        <v>23</v>
      </c>
      <c r="F83" s="14" t="s">
        <v>24</v>
      </c>
      <c r="G83" s="9" t="s">
        <v>25</v>
      </c>
      <c r="H83" s="9" t="s">
        <v>26</v>
      </c>
      <c r="I83" s="24" t="s">
        <v>27</v>
      </c>
      <c r="J83" s="6" t="s">
        <v>73</v>
      </c>
      <c r="K83" s="9">
        <v>200</v>
      </c>
      <c r="L83" s="14">
        <v>2600000</v>
      </c>
      <c r="M83" s="14">
        <v>2100000</v>
      </c>
      <c r="N83" s="14">
        <v>2100000</v>
      </c>
      <c r="O83" s="15" t="s">
        <v>74</v>
      </c>
      <c r="P83" s="6">
        <v>0</v>
      </c>
      <c r="Q83" s="14">
        <v>500000</v>
      </c>
      <c r="R83" s="14"/>
      <c r="S83" s="14">
        <v>1</v>
      </c>
      <c r="T83" s="14">
        <v>1000000</v>
      </c>
      <c r="U83" s="14">
        <v>600000</v>
      </c>
      <c r="V83" s="14">
        <v>0</v>
      </c>
      <c r="W83" s="14">
        <v>0</v>
      </c>
      <c r="X83" s="14"/>
      <c r="Y83" s="14"/>
      <c r="Z83" s="14"/>
      <c r="AA83" s="14"/>
      <c r="AB83" s="14">
        <v>1000000</v>
      </c>
      <c r="AC83" s="14">
        <v>600000</v>
      </c>
      <c r="AD83" s="14">
        <f t="shared" si="16"/>
        <v>1600000</v>
      </c>
      <c r="AE83" s="14"/>
      <c r="AF83" s="14">
        <v>0</v>
      </c>
      <c r="AG83" s="14">
        <v>6</v>
      </c>
      <c r="AH83" s="6">
        <v>1000000</v>
      </c>
      <c r="AI83" s="14">
        <v>1600000</v>
      </c>
      <c r="AJ83" s="14">
        <v>600000</v>
      </c>
      <c r="AK83" s="14">
        <v>0</v>
      </c>
      <c r="AL83" s="14">
        <v>0</v>
      </c>
      <c r="AM83" s="14">
        <v>100000</v>
      </c>
      <c r="AN83" s="14">
        <v>200000</v>
      </c>
      <c r="AO83" s="14">
        <v>100000</v>
      </c>
      <c r="AP83" s="14">
        <v>0</v>
      </c>
      <c r="AQ83" s="61">
        <f t="shared" si="17"/>
        <v>2600000</v>
      </c>
    </row>
    <row r="84" s="29" customFormat="1" ht="47" customHeight="1" spans="1:43">
      <c r="A84" s="5" t="s">
        <v>180</v>
      </c>
      <c r="B84" s="6" t="s">
        <v>181</v>
      </c>
      <c r="C84" s="26" t="s">
        <v>22</v>
      </c>
      <c r="D84" s="6"/>
      <c r="E84" s="14" t="s">
        <v>23</v>
      </c>
      <c r="F84" s="14" t="s">
        <v>24</v>
      </c>
      <c r="G84" s="9" t="s">
        <v>25</v>
      </c>
      <c r="H84" s="9" t="s">
        <v>26</v>
      </c>
      <c r="I84" s="24" t="s">
        <v>27</v>
      </c>
      <c r="J84" s="6" t="s">
        <v>73</v>
      </c>
      <c r="K84" s="9">
        <v>200</v>
      </c>
      <c r="L84" s="6">
        <v>2700000</v>
      </c>
      <c r="M84" s="14">
        <v>2100000</v>
      </c>
      <c r="N84" s="14">
        <v>2100000</v>
      </c>
      <c r="O84" s="15" t="s">
        <v>74</v>
      </c>
      <c r="P84" s="6">
        <v>0</v>
      </c>
      <c r="Q84" s="6">
        <v>600000</v>
      </c>
      <c r="R84" s="14"/>
      <c r="S84" s="14">
        <v>1</v>
      </c>
      <c r="T84" s="14">
        <v>1000000</v>
      </c>
      <c r="U84" s="14">
        <v>600000</v>
      </c>
      <c r="V84" s="14">
        <v>0</v>
      </c>
      <c r="W84" s="14">
        <v>0</v>
      </c>
      <c r="X84" s="14"/>
      <c r="Y84" s="14"/>
      <c r="Z84" s="14"/>
      <c r="AA84" s="14"/>
      <c r="AB84" s="14">
        <v>1000000</v>
      </c>
      <c r="AC84" s="14">
        <v>600000</v>
      </c>
      <c r="AD84" s="14">
        <f t="shared" si="16"/>
        <v>1600000</v>
      </c>
      <c r="AE84" s="14"/>
      <c r="AF84" s="14">
        <v>0</v>
      </c>
      <c r="AG84" s="14">
        <v>7</v>
      </c>
      <c r="AH84" s="6">
        <v>1100000</v>
      </c>
      <c r="AI84" s="14">
        <v>1600000</v>
      </c>
      <c r="AJ84" s="14">
        <v>600000</v>
      </c>
      <c r="AK84" s="14">
        <v>100000</v>
      </c>
      <c r="AL84" s="14">
        <v>0</v>
      </c>
      <c r="AM84" s="14">
        <v>100000</v>
      </c>
      <c r="AN84" s="14">
        <v>200000</v>
      </c>
      <c r="AO84" s="14">
        <v>100000</v>
      </c>
      <c r="AP84" s="14">
        <v>0</v>
      </c>
      <c r="AQ84" s="61">
        <f t="shared" si="17"/>
        <v>2700000</v>
      </c>
    </row>
    <row r="85" s="29" customFormat="1" ht="47" customHeight="1" spans="1:43">
      <c r="A85" s="5" t="s">
        <v>182</v>
      </c>
      <c r="B85" s="6" t="s">
        <v>183</v>
      </c>
      <c r="C85" s="26" t="s">
        <v>22</v>
      </c>
      <c r="D85" s="6"/>
      <c r="E85" s="14" t="s">
        <v>23</v>
      </c>
      <c r="F85" s="14" t="s">
        <v>24</v>
      </c>
      <c r="G85" s="9" t="s">
        <v>25</v>
      </c>
      <c r="H85" s="9" t="s">
        <v>26</v>
      </c>
      <c r="I85" s="24" t="s">
        <v>27</v>
      </c>
      <c r="J85" s="6" t="s">
        <v>73</v>
      </c>
      <c r="K85" s="9">
        <v>200</v>
      </c>
      <c r="L85" s="6">
        <v>2800000</v>
      </c>
      <c r="M85" s="14">
        <v>2100000</v>
      </c>
      <c r="N85" s="14">
        <v>2100000</v>
      </c>
      <c r="O85" s="15" t="s">
        <v>74</v>
      </c>
      <c r="P85" s="6">
        <v>0</v>
      </c>
      <c r="Q85" s="6">
        <v>700000</v>
      </c>
      <c r="R85" s="14"/>
      <c r="S85" s="14">
        <v>1</v>
      </c>
      <c r="T85" s="14">
        <v>1000000</v>
      </c>
      <c r="U85" s="14">
        <v>600000</v>
      </c>
      <c r="V85" s="14">
        <v>0</v>
      </c>
      <c r="W85" s="14">
        <v>0</v>
      </c>
      <c r="X85" s="14"/>
      <c r="Y85" s="14"/>
      <c r="Z85" s="14"/>
      <c r="AA85" s="14"/>
      <c r="AB85" s="14">
        <v>1000000</v>
      </c>
      <c r="AC85" s="14">
        <v>600000</v>
      </c>
      <c r="AD85" s="14">
        <f t="shared" si="16"/>
        <v>1600000</v>
      </c>
      <c r="AE85" s="14"/>
      <c r="AF85" s="14">
        <v>0</v>
      </c>
      <c r="AG85" s="14">
        <v>8</v>
      </c>
      <c r="AH85" s="6">
        <v>1200000</v>
      </c>
      <c r="AI85" s="14">
        <v>1600000</v>
      </c>
      <c r="AJ85" s="14">
        <v>700000</v>
      </c>
      <c r="AK85" s="14">
        <v>100000</v>
      </c>
      <c r="AL85" s="14">
        <v>0</v>
      </c>
      <c r="AM85" s="14">
        <v>100000</v>
      </c>
      <c r="AN85" s="14">
        <v>200000</v>
      </c>
      <c r="AO85" s="14">
        <v>100000</v>
      </c>
      <c r="AP85" s="14">
        <v>0</v>
      </c>
      <c r="AQ85" s="61">
        <f t="shared" si="17"/>
        <v>2800000</v>
      </c>
    </row>
    <row r="86" s="29" customFormat="1" ht="47" customHeight="1" spans="1:43">
      <c r="A86" s="5" t="s">
        <v>184</v>
      </c>
      <c r="B86" s="6" t="s">
        <v>185</v>
      </c>
      <c r="C86" s="26" t="s">
        <v>22</v>
      </c>
      <c r="D86" s="6"/>
      <c r="E86" s="14" t="s">
        <v>23</v>
      </c>
      <c r="F86" s="14" t="s">
        <v>24</v>
      </c>
      <c r="G86" s="9" t="s">
        <v>25</v>
      </c>
      <c r="H86" s="9" t="s">
        <v>26</v>
      </c>
      <c r="I86" s="24" t="s">
        <v>27</v>
      </c>
      <c r="J86" s="6" t="s">
        <v>73</v>
      </c>
      <c r="K86" s="9">
        <v>200</v>
      </c>
      <c r="L86" s="6">
        <v>2900000</v>
      </c>
      <c r="M86" s="14">
        <v>2100000</v>
      </c>
      <c r="N86" s="14">
        <v>2100000</v>
      </c>
      <c r="O86" s="15" t="s">
        <v>74</v>
      </c>
      <c r="P86" s="6">
        <v>0</v>
      </c>
      <c r="Q86" s="6">
        <v>800000</v>
      </c>
      <c r="R86" s="14"/>
      <c r="S86" s="14">
        <v>1</v>
      </c>
      <c r="T86" s="14">
        <v>1000000</v>
      </c>
      <c r="U86" s="14">
        <v>600000</v>
      </c>
      <c r="V86" s="14">
        <v>0</v>
      </c>
      <c r="W86" s="14">
        <v>0</v>
      </c>
      <c r="X86" s="14"/>
      <c r="Y86" s="14"/>
      <c r="Z86" s="14"/>
      <c r="AA86" s="14"/>
      <c r="AB86" s="14">
        <v>1000000</v>
      </c>
      <c r="AC86" s="14">
        <v>600000</v>
      </c>
      <c r="AD86" s="14">
        <f t="shared" si="16"/>
        <v>1600000</v>
      </c>
      <c r="AE86" s="14"/>
      <c r="AF86" s="14">
        <v>0</v>
      </c>
      <c r="AG86" s="14">
        <v>9</v>
      </c>
      <c r="AH86" s="6">
        <v>1300000</v>
      </c>
      <c r="AI86" s="14">
        <v>1600000</v>
      </c>
      <c r="AJ86" s="14">
        <v>700000</v>
      </c>
      <c r="AK86" s="14">
        <v>100000</v>
      </c>
      <c r="AL86" s="14">
        <v>100000</v>
      </c>
      <c r="AM86" s="14">
        <v>100000</v>
      </c>
      <c r="AN86" s="14">
        <v>200000</v>
      </c>
      <c r="AO86" s="14">
        <v>100000</v>
      </c>
      <c r="AP86" s="14">
        <v>0</v>
      </c>
      <c r="AQ86" s="61">
        <f t="shared" si="17"/>
        <v>2900000</v>
      </c>
    </row>
    <row r="87" s="29" customFormat="1" ht="47" customHeight="1" spans="1:43">
      <c r="A87" s="43"/>
      <c r="B87" s="44" t="s">
        <v>93</v>
      </c>
      <c r="C87" s="45"/>
      <c r="D87" s="45"/>
      <c r="E87" s="46"/>
      <c r="F87" s="46"/>
      <c r="G87" s="46"/>
      <c r="H87" s="46"/>
      <c r="I87" s="53"/>
      <c r="J87" s="54"/>
      <c r="K87" s="34"/>
      <c r="L87" s="34"/>
      <c r="M87" s="32"/>
      <c r="N87" s="32"/>
      <c r="O87" s="33"/>
      <c r="P87" s="32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2"/>
      <c r="AF87" s="32"/>
      <c r="AG87" s="34"/>
      <c r="AH87" s="6"/>
      <c r="AI87" s="34"/>
      <c r="AJ87" s="34"/>
      <c r="AK87" s="34"/>
      <c r="AL87" s="34"/>
      <c r="AM87" s="34"/>
      <c r="AN87" s="34"/>
      <c r="AO87" s="34"/>
      <c r="AP87" s="34"/>
      <c r="AQ87" s="34"/>
    </row>
    <row r="88" s="1" customFormat="1" ht="52" customHeight="1" spans="1:43">
      <c r="A88" s="5" t="s">
        <v>186</v>
      </c>
      <c r="B88" s="6" t="s">
        <v>187</v>
      </c>
      <c r="C88" s="26" t="s">
        <v>22</v>
      </c>
      <c r="D88" s="6"/>
      <c r="E88" s="14" t="s">
        <v>23</v>
      </c>
      <c r="F88" s="14" t="s">
        <v>24</v>
      </c>
      <c r="G88" s="9" t="s">
        <v>25</v>
      </c>
      <c r="H88" s="9" t="s">
        <v>26</v>
      </c>
      <c r="I88" s="24" t="s">
        <v>27</v>
      </c>
      <c r="J88" s="6" t="s">
        <v>171</v>
      </c>
      <c r="K88" s="9">
        <v>200</v>
      </c>
      <c r="L88" s="14">
        <v>1500000</v>
      </c>
      <c r="M88" s="14">
        <v>1500000</v>
      </c>
      <c r="N88" s="14">
        <v>1500000</v>
      </c>
      <c r="O88" s="15" t="s">
        <v>74</v>
      </c>
      <c r="P88" s="6">
        <v>200000</v>
      </c>
      <c r="Q88" s="14">
        <v>0</v>
      </c>
      <c r="R88" s="14" t="s">
        <v>116</v>
      </c>
      <c r="S88" s="14">
        <v>1</v>
      </c>
      <c r="T88" s="14">
        <v>800000</v>
      </c>
      <c r="U88" s="14">
        <v>600000</v>
      </c>
      <c r="V88" s="14">
        <v>200000</v>
      </c>
      <c r="W88" s="14">
        <v>0</v>
      </c>
      <c r="X88" s="14"/>
      <c r="Y88" s="14"/>
      <c r="Z88" s="14"/>
      <c r="AA88" s="14"/>
      <c r="AB88" s="14">
        <v>800000</v>
      </c>
      <c r="AC88" s="14">
        <v>600000</v>
      </c>
      <c r="AD88" s="14">
        <f t="shared" ref="AD88:AD90" si="18">AB88+AC88</f>
        <v>1400000</v>
      </c>
      <c r="AE88" s="14"/>
      <c r="AF88" s="14">
        <v>0</v>
      </c>
      <c r="AG88" s="14">
        <v>1</v>
      </c>
      <c r="AH88" s="6">
        <v>100000</v>
      </c>
      <c r="AI88" s="14">
        <v>1400000</v>
      </c>
      <c r="AJ88" s="14">
        <v>0</v>
      </c>
      <c r="AK88" s="14">
        <v>0</v>
      </c>
      <c r="AL88" s="14">
        <v>0</v>
      </c>
      <c r="AM88" s="14">
        <v>0</v>
      </c>
      <c r="AN88" s="14">
        <v>100000</v>
      </c>
      <c r="AO88" s="14">
        <v>0</v>
      </c>
      <c r="AP88" s="14">
        <v>0</v>
      </c>
      <c r="AQ88" s="61">
        <f t="shared" ref="AQ88:AQ90" si="19">SUM(AI88:AP88)</f>
        <v>1500000</v>
      </c>
    </row>
    <row r="89" s="1" customFormat="1" ht="52" customHeight="1" spans="1:43">
      <c r="A89" s="5" t="s">
        <v>188</v>
      </c>
      <c r="B89" s="6" t="s">
        <v>189</v>
      </c>
      <c r="C89" s="26" t="s">
        <v>22</v>
      </c>
      <c r="D89" s="6"/>
      <c r="E89" s="14" t="s">
        <v>23</v>
      </c>
      <c r="F89" s="14" t="s">
        <v>24</v>
      </c>
      <c r="G89" s="9" t="s">
        <v>25</v>
      </c>
      <c r="H89" s="9" t="s">
        <v>26</v>
      </c>
      <c r="I89" s="24" t="s">
        <v>27</v>
      </c>
      <c r="J89" s="6" t="s">
        <v>73</v>
      </c>
      <c r="K89" s="9">
        <v>200</v>
      </c>
      <c r="L89" s="14">
        <v>2100000</v>
      </c>
      <c r="M89" s="14">
        <v>1900000</v>
      </c>
      <c r="N89" s="14">
        <v>1900000</v>
      </c>
      <c r="O89" s="15" t="s">
        <v>74</v>
      </c>
      <c r="P89" s="6">
        <v>200000</v>
      </c>
      <c r="Q89" s="14">
        <v>200000</v>
      </c>
      <c r="R89" s="14"/>
      <c r="S89" s="14">
        <v>1</v>
      </c>
      <c r="T89" s="14">
        <v>800000</v>
      </c>
      <c r="U89" s="14">
        <v>600000</v>
      </c>
      <c r="V89" s="14">
        <v>200000</v>
      </c>
      <c r="W89" s="14">
        <v>0</v>
      </c>
      <c r="X89" s="14"/>
      <c r="Y89" s="14"/>
      <c r="Z89" s="14"/>
      <c r="AA89" s="14"/>
      <c r="AB89" s="14">
        <v>800000</v>
      </c>
      <c r="AC89" s="14">
        <v>600000</v>
      </c>
      <c r="AD89" s="14">
        <f t="shared" si="18"/>
        <v>1400000</v>
      </c>
      <c r="AE89" s="14"/>
      <c r="AF89" s="14">
        <v>0</v>
      </c>
      <c r="AG89" s="14">
        <v>3</v>
      </c>
      <c r="AH89" s="14">
        <v>700000</v>
      </c>
      <c r="AI89" s="14">
        <v>1400000</v>
      </c>
      <c r="AJ89" s="14">
        <v>600000</v>
      </c>
      <c r="AK89" s="14">
        <v>0</v>
      </c>
      <c r="AL89" s="14">
        <v>0</v>
      </c>
      <c r="AM89" s="14">
        <v>0</v>
      </c>
      <c r="AN89" s="14">
        <v>100000</v>
      </c>
      <c r="AO89" s="14">
        <v>0</v>
      </c>
      <c r="AP89" s="14">
        <v>0</v>
      </c>
      <c r="AQ89" s="61">
        <f t="shared" si="19"/>
        <v>2100000</v>
      </c>
    </row>
    <row r="90" s="1" customFormat="1" ht="52" customHeight="1" spans="1:43">
      <c r="A90" s="5" t="s">
        <v>190</v>
      </c>
      <c r="B90" s="6" t="s">
        <v>191</v>
      </c>
      <c r="C90" s="26" t="s">
        <v>22</v>
      </c>
      <c r="D90" s="6"/>
      <c r="E90" s="14" t="s">
        <v>23</v>
      </c>
      <c r="F90" s="14" t="s">
        <v>24</v>
      </c>
      <c r="G90" s="9" t="s">
        <v>25</v>
      </c>
      <c r="H90" s="9" t="s">
        <v>26</v>
      </c>
      <c r="I90" s="24" t="s">
        <v>27</v>
      </c>
      <c r="J90" s="6" t="s">
        <v>73</v>
      </c>
      <c r="K90" s="9">
        <v>200</v>
      </c>
      <c r="L90" s="14">
        <v>2200000</v>
      </c>
      <c r="M90" s="14">
        <v>1900000</v>
      </c>
      <c r="N90" s="14">
        <v>1900000</v>
      </c>
      <c r="O90" s="15" t="s">
        <v>74</v>
      </c>
      <c r="P90" s="6">
        <v>200000</v>
      </c>
      <c r="Q90" s="14">
        <v>300000</v>
      </c>
      <c r="R90" s="14"/>
      <c r="S90" s="14">
        <v>1</v>
      </c>
      <c r="T90" s="14">
        <v>800000</v>
      </c>
      <c r="U90" s="14">
        <v>600000</v>
      </c>
      <c r="V90" s="14">
        <v>200000</v>
      </c>
      <c r="W90" s="14">
        <v>0</v>
      </c>
      <c r="X90" s="14"/>
      <c r="Y90" s="14"/>
      <c r="Z90" s="14"/>
      <c r="AA90" s="14"/>
      <c r="AB90" s="14">
        <v>800000</v>
      </c>
      <c r="AC90" s="14">
        <v>600000</v>
      </c>
      <c r="AD90" s="14">
        <f t="shared" si="18"/>
        <v>1400000</v>
      </c>
      <c r="AE90" s="14"/>
      <c r="AF90" s="14">
        <v>0</v>
      </c>
      <c r="AG90" s="14">
        <v>4</v>
      </c>
      <c r="AH90" s="14">
        <v>800000</v>
      </c>
      <c r="AI90" s="14">
        <v>1400000</v>
      </c>
      <c r="AJ90" s="14">
        <v>600000</v>
      </c>
      <c r="AK90" s="14">
        <v>0</v>
      </c>
      <c r="AL90" s="14">
        <v>0</v>
      </c>
      <c r="AM90" s="14">
        <v>100000</v>
      </c>
      <c r="AN90" s="14">
        <v>100000</v>
      </c>
      <c r="AO90" s="14">
        <v>0</v>
      </c>
      <c r="AP90" s="14">
        <v>0</v>
      </c>
      <c r="AQ90" s="61">
        <f t="shared" si="19"/>
        <v>2200000</v>
      </c>
    </row>
    <row r="91" s="1" customFormat="1" ht="52" customHeight="1" spans="1:43">
      <c r="A91" s="5"/>
      <c r="B91" s="49" t="s">
        <v>112</v>
      </c>
      <c r="C91" s="50"/>
      <c r="D91" s="50"/>
      <c r="E91" s="50"/>
      <c r="F91" s="51"/>
      <c r="G91" s="9"/>
      <c r="H91" s="9"/>
      <c r="I91" s="24"/>
      <c r="J91" s="6"/>
      <c r="K91" s="9"/>
      <c r="L91" s="14"/>
      <c r="M91" s="6"/>
      <c r="N91" s="6"/>
      <c r="O91" s="15"/>
      <c r="P91" s="6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</row>
    <row r="92" s="1" customFormat="1" ht="52" customHeight="1" spans="1:43">
      <c r="A92" s="5" t="s">
        <v>192</v>
      </c>
      <c r="B92" s="6" t="s">
        <v>187</v>
      </c>
      <c r="C92" s="26" t="s">
        <v>22</v>
      </c>
      <c r="D92" s="6"/>
      <c r="E92" s="14" t="s">
        <v>23</v>
      </c>
      <c r="F92" s="14" t="s">
        <v>24</v>
      </c>
      <c r="G92" s="9" t="s">
        <v>25</v>
      </c>
      <c r="H92" s="9" t="s">
        <v>26</v>
      </c>
      <c r="I92" s="24" t="s">
        <v>27</v>
      </c>
      <c r="J92" s="6" t="s">
        <v>115</v>
      </c>
      <c r="K92" s="9">
        <v>200</v>
      </c>
      <c r="L92" s="14">
        <v>0</v>
      </c>
      <c r="M92" s="6">
        <v>0</v>
      </c>
      <c r="N92" s="6">
        <v>0</v>
      </c>
      <c r="O92" s="15" t="s">
        <v>74</v>
      </c>
      <c r="P92" s="6">
        <v>1700000</v>
      </c>
      <c r="Q92" s="14">
        <v>0</v>
      </c>
      <c r="R92" s="14" t="s">
        <v>116</v>
      </c>
      <c r="S92" s="14">
        <v>1</v>
      </c>
      <c r="T92" s="14">
        <v>0</v>
      </c>
      <c r="U92" s="14">
        <v>0</v>
      </c>
      <c r="V92" s="14">
        <v>1000000</v>
      </c>
      <c r="W92" s="14">
        <v>600000</v>
      </c>
      <c r="X92" s="14"/>
      <c r="Y92" s="14"/>
      <c r="Z92" s="14"/>
      <c r="AA92" s="14"/>
      <c r="AB92" s="14"/>
      <c r="AC92" s="14"/>
      <c r="AD92" s="14"/>
      <c r="AE92" s="14" t="s">
        <v>116</v>
      </c>
      <c r="AF92" s="14">
        <v>0</v>
      </c>
      <c r="AG92" s="14">
        <v>1</v>
      </c>
      <c r="AH92" s="14">
        <v>0</v>
      </c>
      <c r="AI92" s="14">
        <v>0</v>
      </c>
      <c r="AJ92" s="14">
        <v>0</v>
      </c>
      <c r="AK92" s="14">
        <v>0</v>
      </c>
      <c r="AL92" s="14">
        <v>0</v>
      </c>
      <c r="AM92" s="14">
        <v>0</v>
      </c>
      <c r="AN92" s="14">
        <v>0</v>
      </c>
      <c r="AO92" s="14">
        <v>0</v>
      </c>
      <c r="AP92" s="14">
        <v>0</v>
      </c>
      <c r="AQ92" s="61">
        <f t="shared" ref="AQ92:AQ94" si="20">SUM(AI92:AP92)</f>
        <v>0</v>
      </c>
    </row>
    <row r="93" s="1" customFormat="1" ht="52" customHeight="1" spans="1:43">
      <c r="A93" s="5" t="s">
        <v>193</v>
      </c>
      <c r="B93" s="6" t="s">
        <v>189</v>
      </c>
      <c r="C93" s="26" t="s">
        <v>22</v>
      </c>
      <c r="D93" s="6"/>
      <c r="E93" s="14" t="s">
        <v>23</v>
      </c>
      <c r="F93" s="14" t="s">
        <v>24</v>
      </c>
      <c r="G93" s="9" t="s">
        <v>25</v>
      </c>
      <c r="H93" s="9" t="s">
        <v>26</v>
      </c>
      <c r="I93" s="24" t="s">
        <v>27</v>
      </c>
      <c r="J93" s="6" t="s">
        <v>119</v>
      </c>
      <c r="K93" s="9">
        <v>200</v>
      </c>
      <c r="L93" s="14">
        <v>200000</v>
      </c>
      <c r="M93" s="6">
        <v>0</v>
      </c>
      <c r="N93" s="6">
        <v>0</v>
      </c>
      <c r="O93" s="15" t="s">
        <v>74</v>
      </c>
      <c r="P93" s="6">
        <v>2100000</v>
      </c>
      <c r="Q93" s="14">
        <v>200000</v>
      </c>
      <c r="R93" s="14"/>
      <c r="S93" s="14">
        <v>1</v>
      </c>
      <c r="T93" s="14">
        <v>0</v>
      </c>
      <c r="U93" s="14">
        <v>0</v>
      </c>
      <c r="V93" s="14">
        <v>1000000</v>
      </c>
      <c r="W93" s="14">
        <v>600000</v>
      </c>
      <c r="X93" s="14"/>
      <c r="Y93" s="14"/>
      <c r="Z93" s="14"/>
      <c r="AA93" s="14"/>
      <c r="AB93" s="14"/>
      <c r="AC93" s="14"/>
      <c r="AD93" s="14"/>
      <c r="AE93" s="14" t="s">
        <v>116</v>
      </c>
      <c r="AF93" s="14">
        <v>0</v>
      </c>
      <c r="AG93" s="14">
        <v>3</v>
      </c>
      <c r="AH93" s="14">
        <v>200000</v>
      </c>
      <c r="AI93" s="14">
        <v>0</v>
      </c>
      <c r="AJ93" s="14">
        <v>200000</v>
      </c>
      <c r="AK93" s="14">
        <v>0</v>
      </c>
      <c r="AL93" s="14">
        <v>0</v>
      </c>
      <c r="AM93" s="14">
        <v>0</v>
      </c>
      <c r="AN93" s="14">
        <v>0</v>
      </c>
      <c r="AO93" s="14">
        <v>0</v>
      </c>
      <c r="AP93" s="14">
        <v>0</v>
      </c>
      <c r="AQ93" s="61">
        <f t="shared" si="20"/>
        <v>200000</v>
      </c>
    </row>
    <row r="94" s="1" customFormat="1" ht="52" customHeight="1" spans="1:43">
      <c r="A94" s="5" t="s">
        <v>194</v>
      </c>
      <c r="B94" s="6" t="s">
        <v>191</v>
      </c>
      <c r="C94" s="26" t="s">
        <v>22</v>
      </c>
      <c r="D94" s="6"/>
      <c r="E94" s="14" t="s">
        <v>23</v>
      </c>
      <c r="F94" s="14" t="s">
        <v>24</v>
      </c>
      <c r="G94" s="9" t="s">
        <v>25</v>
      </c>
      <c r="H94" s="9" t="s">
        <v>26</v>
      </c>
      <c r="I94" s="24" t="s">
        <v>27</v>
      </c>
      <c r="J94" s="6" t="s">
        <v>119</v>
      </c>
      <c r="K94" s="9">
        <v>200</v>
      </c>
      <c r="L94" s="14">
        <v>300000</v>
      </c>
      <c r="M94" s="6">
        <v>0</v>
      </c>
      <c r="N94" s="6">
        <v>0</v>
      </c>
      <c r="O94" s="15" t="s">
        <v>74</v>
      </c>
      <c r="P94" s="6">
        <v>2100000</v>
      </c>
      <c r="Q94" s="14">
        <v>300000</v>
      </c>
      <c r="R94" s="14"/>
      <c r="S94" s="14">
        <v>1</v>
      </c>
      <c r="T94" s="14">
        <v>0</v>
      </c>
      <c r="U94" s="14">
        <v>0</v>
      </c>
      <c r="V94" s="14">
        <v>1000000</v>
      </c>
      <c r="W94" s="14">
        <v>600000</v>
      </c>
      <c r="X94" s="14"/>
      <c r="Y94" s="14"/>
      <c r="Z94" s="14"/>
      <c r="AA94" s="14"/>
      <c r="AB94" s="14"/>
      <c r="AC94" s="14"/>
      <c r="AD94" s="14"/>
      <c r="AE94" s="14" t="s">
        <v>116</v>
      </c>
      <c r="AF94" s="14">
        <v>0</v>
      </c>
      <c r="AG94" s="14">
        <v>4</v>
      </c>
      <c r="AH94" s="14">
        <v>300000</v>
      </c>
      <c r="AI94" s="14">
        <v>0</v>
      </c>
      <c r="AJ94" s="14">
        <v>200000</v>
      </c>
      <c r="AK94" s="14">
        <v>0</v>
      </c>
      <c r="AL94" s="14">
        <v>0</v>
      </c>
      <c r="AM94" s="14">
        <v>100000</v>
      </c>
      <c r="AN94" s="14">
        <v>0</v>
      </c>
      <c r="AO94" s="14">
        <v>0</v>
      </c>
      <c r="AP94" s="14">
        <v>0</v>
      </c>
      <c r="AQ94" s="61">
        <f t="shared" si="20"/>
        <v>300000</v>
      </c>
    </row>
    <row r="95" s="1" customFormat="1" ht="52" customHeight="1" spans="1:43">
      <c r="A95" s="5"/>
      <c r="B95" s="49" t="s">
        <v>127</v>
      </c>
      <c r="C95" s="50"/>
      <c r="D95" s="50"/>
      <c r="E95" s="50"/>
      <c r="F95" s="51"/>
      <c r="G95" s="9"/>
      <c r="H95" s="9"/>
      <c r="I95" s="24"/>
      <c r="J95" s="6"/>
      <c r="K95" s="9"/>
      <c r="L95" s="14"/>
      <c r="M95" s="6"/>
      <c r="N95" s="6"/>
      <c r="O95" s="15"/>
      <c r="P95" s="6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</row>
    <row r="96" s="1" customFormat="1" ht="52" customHeight="1" spans="1:43">
      <c r="A96" s="5" t="s">
        <v>195</v>
      </c>
      <c r="B96" s="6" t="s">
        <v>187</v>
      </c>
      <c r="C96" s="26" t="s">
        <v>22</v>
      </c>
      <c r="D96" s="6"/>
      <c r="E96" s="14" t="s">
        <v>23</v>
      </c>
      <c r="F96" s="14" t="s">
        <v>24</v>
      </c>
      <c r="G96" s="9" t="s">
        <v>25</v>
      </c>
      <c r="H96" s="9" t="s">
        <v>26</v>
      </c>
      <c r="I96" s="24" t="s">
        <v>27</v>
      </c>
      <c r="J96" s="6" t="s">
        <v>171</v>
      </c>
      <c r="K96" s="9">
        <v>200</v>
      </c>
      <c r="L96" s="14">
        <v>1600000</v>
      </c>
      <c r="M96" s="14">
        <v>1600000</v>
      </c>
      <c r="N96" s="14">
        <v>1600000</v>
      </c>
      <c r="O96" s="15" t="s">
        <v>74</v>
      </c>
      <c r="P96" s="6">
        <v>100000</v>
      </c>
      <c r="Q96" s="14">
        <v>0</v>
      </c>
      <c r="R96" s="14" t="s">
        <v>116</v>
      </c>
      <c r="S96" s="14">
        <v>1</v>
      </c>
      <c r="T96" s="14">
        <v>900000</v>
      </c>
      <c r="U96" s="14">
        <v>600000</v>
      </c>
      <c r="V96" s="14">
        <v>100000</v>
      </c>
      <c r="W96" s="14">
        <v>0</v>
      </c>
      <c r="X96" s="14"/>
      <c r="Y96" s="14"/>
      <c r="Z96" s="14"/>
      <c r="AA96" s="14"/>
      <c r="AB96" s="14">
        <v>900000</v>
      </c>
      <c r="AC96" s="14">
        <v>600000</v>
      </c>
      <c r="AD96" s="14">
        <f t="shared" ref="AD96:AD98" si="21">AB96+AC96</f>
        <v>1500000</v>
      </c>
      <c r="AE96" s="14"/>
      <c r="AF96" s="14">
        <v>0</v>
      </c>
      <c r="AG96" s="14">
        <v>1</v>
      </c>
      <c r="AH96" s="14">
        <v>100000</v>
      </c>
      <c r="AI96" s="14">
        <v>1500000</v>
      </c>
      <c r="AJ96" s="14">
        <v>0</v>
      </c>
      <c r="AK96" s="14">
        <v>0</v>
      </c>
      <c r="AL96" s="14">
        <v>0</v>
      </c>
      <c r="AM96" s="14">
        <v>0</v>
      </c>
      <c r="AN96" s="14">
        <v>100000</v>
      </c>
      <c r="AO96" s="14">
        <v>0</v>
      </c>
      <c r="AP96" s="14">
        <v>0</v>
      </c>
      <c r="AQ96" s="61">
        <f t="shared" ref="AQ96:AQ98" si="22">SUM(AI96:AP96)</f>
        <v>1600000</v>
      </c>
    </row>
    <row r="97" s="1" customFormat="1" ht="52" customHeight="1" spans="1:43">
      <c r="A97" s="5" t="s">
        <v>196</v>
      </c>
      <c r="B97" s="6" t="s">
        <v>189</v>
      </c>
      <c r="C97" s="26" t="s">
        <v>22</v>
      </c>
      <c r="D97" s="6"/>
      <c r="E97" s="14" t="s">
        <v>23</v>
      </c>
      <c r="F97" s="14" t="s">
        <v>24</v>
      </c>
      <c r="G97" s="9" t="s">
        <v>25</v>
      </c>
      <c r="H97" s="9" t="s">
        <v>26</v>
      </c>
      <c r="I97" s="24" t="s">
        <v>27</v>
      </c>
      <c r="J97" s="6" t="s">
        <v>73</v>
      </c>
      <c r="K97" s="9">
        <v>200</v>
      </c>
      <c r="L97" s="14">
        <v>2200000</v>
      </c>
      <c r="M97" s="14">
        <v>2000000</v>
      </c>
      <c r="N97" s="14">
        <v>2000000</v>
      </c>
      <c r="O97" s="15" t="s">
        <v>74</v>
      </c>
      <c r="P97" s="6">
        <v>100000</v>
      </c>
      <c r="Q97" s="14">
        <v>200000</v>
      </c>
      <c r="R97" s="14"/>
      <c r="S97" s="14">
        <v>1</v>
      </c>
      <c r="T97" s="14">
        <v>900000</v>
      </c>
      <c r="U97" s="14">
        <v>600000</v>
      </c>
      <c r="V97" s="14">
        <v>100000</v>
      </c>
      <c r="W97" s="14">
        <v>0</v>
      </c>
      <c r="X97" s="14"/>
      <c r="Y97" s="14"/>
      <c r="Z97" s="14"/>
      <c r="AA97" s="14"/>
      <c r="AB97" s="14">
        <v>900000</v>
      </c>
      <c r="AC97" s="14">
        <v>600000</v>
      </c>
      <c r="AD97" s="14">
        <f t="shared" si="21"/>
        <v>1500000</v>
      </c>
      <c r="AE97" s="14"/>
      <c r="AF97" s="14">
        <v>0</v>
      </c>
      <c r="AG97" s="14">
        <v>3</v>
      </c>
      <c r="AH97" s="14">
        <v>700000</v>
      </c>
      <c r="AI97" s="14">
        <v>1500000</v>
      </c>
      <c r="AJ97" s="14">
        <v>600000</v>
      </c>
      <c r="AK97" s="14">
        <v>0</v>
      </c>
      <c r="AL97" s="14">
        <v>0</v>
      </c>
      <c r="AM97" s="14">
        <v>0</v>
      </c>
      <c r="AN97" s="14">
        <v>100000</v>
      </c>
      <c r="AO97" s="14">
        <v>0</v>
      </c>
      <c r="AP97" s="14">
        <v>0</v>
      </c>
      <c r="AQ97" s="61">
        <f t="shared" si="22"/>
        <v>2200000</v>
      </c>
    </row>
    <row r="98" s="1" customFormat="1" ht="52" customHeight="1" spans="1:43">
      <c r="A98" s="5" t="s">
        <v>197</v>
      </c>
      <c r="B98" s="6" t="s">
        <v>191</v>
      </c>
      <c r="C98" s="26" t="s">
        <v>22</v>
      </c>
      <c r="D98" s="6"/>
      <c r="E98" s="14" t="s">
        <v>23</v>
      </c>
      <c r="F98" s="14" t="s">
        <v>24</v>
      </c>
      <c r="G98" s="9" t="s">
        <v>25</v>
      </c>
      <c r="H98" s="9" t="s">
        <v>26</v>
      </c>
      <c r="I98" s="24" t="s">
        <v>27</v>
      </c>
      <c r="J98" s="6" t="s">
        <v>73</v>
      </c>
      <c r="K98" s="9">
        <v>200</v>
      </c>
      <c r="L98" s="14">
        <v>2300000</v>
      </c>
      <c r="M98" s="14">
        <v>2000000</v>
      </c>
      <c r="N98" s="14">
        <v>2000000</v>
      </c>
      <c r="O98" s="15" t="s">
        <v>74</v>
      </c>
      <c r="P98" s="6">
        <v>100000</v>
      </c>
      <c r="Q98" s="14">
        <v>300000</v>
      </c>
      <c r="R98" s="14"/>
      <c r="S98" s="14">
        <v>1</v>
      </c>
      <c r="T98" s="14">
        <v>900000</v>
      </c>
      <c r="U98" s="14">
        <v>600000</v>
      </c>
      <c r="V98" s="14">
        <v>100000</v>
      </c>
      <c r="W98" s="14">
        <v>0</v>
      </c>
      <c r="X98" s="14"/>
      <c r="Y98" s="14"/>
      <c r="Z98" s="14"/>
      <c r="AA98" s="14"/>
      <c r="AB98" s="14">
        <v>900000</v>
      </c>
      <c r="AC98" s="14">
        <v>600000</v>
      </c>
      <c r="AD98" s="14">
        <f t="shared" si="21"/>
        <v>1500000</v>
      </c>
      <c r="AE98" s="14"/>
      <c r="AF98" s="14">
        <v>0</v>
      </c>
      <c r="AG98" s="14">
        <v>4</v>
      </c>
      <c r="AH98" s="14">
        <v>800000</v>
      </c>
      <c r="AI98" s="14">
        <v>1500000</v>
      </c>
      <c r="AJ98" s="14">
        <v>600000</v>
      </c>
      <c r="AK98" s="14">
        <v>0</v>
      </c>
      <c r="AL98" s="14">
        <v>0</v>
      </c>
      <c r="AM98" s="14">
        <v>100000</v>
      </c>
      <c r="AN98" s="14">
        <v>100000</v>
      </c>
      <c r="AO98" s="14">
        <v>0</v>
      </c>
      <c r="AP98" s="14">
        <v>0</v>
      </c>
      <c r="AQ98" s="61">
        <f t="shared" si="22"/>
        <v>2300000</v>
      </c>
    </row>
    <row r="99" s="1" customFormat="1" ht="52" customHeight="1" spans="1:43">
      <c r="A99" s="5"/>
      <c r="B99" s="49" t="s">
        <v>136</v>
      </c>
      <c r="C99" s="50"/>
      <c r="D99" s="50"/>
      <c r="E99" s="50"/>
      <c r="F99" s="51"/>
      <c r="G99" s="9"/>
      <c r="H99" s="9"/>
      <c r="I99" s="24"/>
      <c r="J99" s="6"/>
      <c r="K99" s="9"/>
      <c r="L99" s="14"/>
      <c r="M99" s="6"/>
      <c r="N99" s="6"/>
      <c r="O99" s="15"/>
      <c r="P99" s="6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</row>
    <row r="100" s="1" customFormat="1" ht="52" customHeight="1" spans="1:43">
      <c r="A100" s="5" t="s">
        <v>198</v>
      </c>
      <c r="B100" s="6" t="s">
        <v>187</v>
      </c>
      <c r="C100" s="26" t="s">
        <v>22</v>
      </c>
      <c r="D100" s="6"/>
      <c r="E100" s="14" t="s">
        <v>23</v>
      </c>
      <c r="F100" s="14" t="s">
        <v>24</v>
      </c>
      <c r="G100" s="9" t="s">
        <v>25</v>
      </c>
      <c r="H100" s="9" t="s">
        <v>26</v>
      </c>
      <c r="I100" s="24" t="s">
        <v>27</v>
      </c>
      <c r="J100" s="6" t="s">
        <v>171</v>
      </c>
      <c r="K100" s="9">
        <v>200</v>
      </c>
      <c r="L100" s="14">
        <v>1530000</v>
      </c>
      <c r="M100" s="14">
        <v>1530000</v>
      </c>
      <c r="N100" s="14">
        <v>1530000</v>
      </c>
      <c r="O100" s="15" t="s">
        <v>74</v>
      </c>
      <c r="P100" s="6">
        <v>170000</v>
      </c>
      <c r="Q100" s="14">
        <v>0</v>
      </c>
      <c r="R100" s="14" t="s">
        <v>116</v>
      </c>
      <c r="S100" s="14">
        <v>1</v>
      </c>
      <c r="T100" s="14">
        <v>900000</v>
      </c>
      <c r="U100" s="14">
        <v>540000</v>
      </c>
      <c r="V100" s="14">
        <v>100000</v>
      </c>
      <c r="W100" s="14">
        <v>60000</v>
      </c>
      <c r="X100" s="14"/>
      <c r="Y100" s="14"/>
      <c r="Z100" s="14"/>
      <c r="AA100" s="14"/>
      <c r="AB100" s="14">
        <v>900000</v>
      </c>
      <c r="AC100" s="14">
        <v>540000</v>
      </c>
      <c r="AD100" s="14">
        <f t="shared" ref="AD100:AD107" si="23">AB100+AC100</f>
        <v>1440000</v>
      </c>
      <c r="AE100" s="14"/>
      <c r="AF100" s="14">
        <v>0</v>
      </c>
      <c r="AG100" s="14">
        <v>1</v>
      </c>
      <c r="AH100" s="14">
        <v>90000</v>
      </c>
      <c r="AI100" s="14">
        <v>1440000</v>
      </c>
      <c r="AJ100" s="14">
        <v>0</v>
      </c>
      <c r="AK100" s="14">
        <v>0</v>
      </c>
      <c r="AL100" s="14">
        <v>0</v>
      </c>
      <c r="AM100" s="14">
        <v>0</v>
      </c>
      <c r="AN100" s="14">
        <v>90000</v>
      </c>
      <c r="AO100" s="14">
        <v>0</v>
      </c>
      <c r="AP100" s="14">
        <v>0</v>
      </c>
      <c r="AQ100" s="61">
        <f t="shared" ref="AQ100:AQ107" si="24">SUM(AI100:AP100)</f>
        <v>1530000</v>
      </c>
    </row>
    <row r="101" s="1" customFormat="1" ht="52" customHeight="1" spans="1:43">
      <c r="A101" s="5" t="s">
        <v>199</v>
      </c>
      <c r="B101" s="6" t="s">
        <v>189</v>
      </c>
      <c r="C101" s="26" t="s">
        <v>22</v>
      </c>
      <c r="D101" s="6"/>
      <c r="E101" s="14" t="s">
        <v>23</v>
      </c>
      <c r="F101" s="14" t="s">
        <v>24</v>
      </c>
      <c r="G101" s="9" t="s">
        <v>25</v>
      </c>
      <c r="H101" s="9" t="s">
        <v>26</v>
      </c>
      <c r="I101" s="24" t="s">
        <v>27</v>
      </c>
      <c r="J101" s="6" t="s">
        <v>73</v>
      </c>
      <c r="K101" s="9">
        <v>200</v>
      </c>
      <c r="L101" s="14">
        <v>2070000</v>
      </c>
      <c r="M101" s="6">
        <v>1890000</v>
      </c>
      <c r="N101" s="6">
        <v>1890000</v>
      </c>
      <c r="O101" s="15" t="s">
        <v>74</v>
      </c>
      <c r="P101" s="6">
        <v>230000</v>
      </c>
      <c r="Q101" s="14">
        <v>180000</v>
      </c>
      <c r="R101" s="14"/>
      <c r="S101" s="14">
        <v>1</v>
      </c>
      <c r="T101" s="14">
        <v>900000</v>
      </c>
      <c r="U101" s="14">
        <v>540000</v>
      </c>
      <c r="V101" s="14">
        <v>100000</v>
      </c>
      <c r="W101" s="14">
        <v>60000</v>
      </c>
      <c r="X101" s="14"/>
      <c r="Y101" s="14"/>
      <c r="Z101" s="14"/>
      <c r="AA101" s="14"/>
      <c r="AB101" s="14">
        <v>900000</v>
      </c>
      <c r="AC101" s="14">
        <v>540000</v>
      </c>
      <c r="AD101" s="14">
        <f t="shared" si="23"/>
        <v>1440000</v>
      </c>
      <c r="AE101" s="14"/>
      <c r="AF101" s="14">
        <v>0</v>
      </c>
      <c r="AG101" s="14">
        <v>3</v>
      </c>
      <c r="AH101" s="14">
        <v>630000</v>
      </c>
      <c r="AI101" s="14">
        <v>1440000</v>
      </c>
      <c r="AJ101" s="14">
        <v>540000</v>
      </c>
      <c r="AK101" s="14">
        <v>0</v>
      </c>
      <c r="AL101" s="14">
        <v>0</v>
      </c>
      <c r="AM101" s="14">
        <v>0</v>
      </c>
      <c r="AN101" s="14">
        <v>90000</v>
      </c>
      <c r="AO101" s="14">
        <v>0</v>
      </c>
      <c r="AP101" s="14">
        <v>0</v>
      </c>
      <c r="AQ101" s="61">
        <f t="shared" si="24"/>
        <v>2070000</v>
      </c>
    </row>
    <row r="102" s="1" customFormat="1" ht="52" customHeight="1" spans="1:43">
      <c r="A102" s="5" t="s">
        <v>200</v>
      </c>
      <c r="B102" s="6" t="s">
        <v>191</v>
      </c>
      <c r="C102" s="26" t="s">
        <v>22</v>
      </c>
      <c r="D102" s="6"/>
      <c r="E102" s="14" t="s">
        <v>23</v>
      </c>
      <c r="F102" s="14" t="s">
        <v>24</v>
      </c>
      <c r="G102" s="9" t="s">
        <v>25</v>
      </c>
      <c r="H102" s="9" t="s">
        <v>26</v>
      </c>
      <c r="I102" s="24" t="s">
        <v>27</v>
      </c>
      <c r="J102" s="6" t="s">
        <v>73</v>
      </c>
      <c r="K102" s="9">
        <v>200</v>
      </c>
      <c r="L102" s="14">
        <v>2160000</v>
      </c>
      <c r="M102" s="6">
        <v>1890000</v>
      </c>
      <c r="N102" s="6">
        <v>1890000</v>
      </c>
      <c r="O102" s="15" t="s">
        <v>74</v>
      </c>
      <c r="P102" s="6">
        <v>230000</v>
      </c>
      <c r="Q102" s="14">
        <v>270000</v>
      </c>
      <c r="R102" s="14"/>
      <c r="S102" s="14">
        <v>1</v>
      </c>
      <c r="T102" s="14">
        <v>900000</v>
      </c>
      <c r="U102" s="14">
        <v>540000</v>
      </c>
      <c r="V102" s="14">
        <v>100000</v>
      </c>
      <c r="W102" s="14">
        <v>60000</v>
      </c>
      <c r="X102" s="14"/>
      <c r="Y102" s="14"/>
      <c r="Z102" s="14"/>
      <c r="AA102" s="14"/>
      <c r="AB102" s="14">
        <v>900000</v>
      </c>
      <c r="AC102" s="14">
        <v>540000</v>
      </c>
      <c r="AD102" s="14">
        <f t="shared" si="23"/>
        <v>1440000</v>
      </c>
      <c r="AE102" s="14"/>
      <c r="AF102" s="14">
        <v>0</v>
      </c>
      <c r="AG102" s="14">
        <v>4</v>
      </c>
      <c r="AH102" s="14">
        <v>720000</v>
      </c>
      <c r="AI102" s="14">
        <v>1440000</v>
      </c>
      <c r="AJ102" s="14">
        <v>540000</v>
      </c>
      <c r="AK102" s="14">
        <v>0</v>
      </c>
      <c r="AL102" s="14">
        <v>0</v>
      </c>
      <c r="AM102" s="14">
        <v>90000</v>
      </c>
      <c r="AN102" s="14">
        <v>90000</v>
      </c>
      <c r="AO102" s="14">
        <v>0</v>
      </c>
      <c r="AP102" s="14">
        <v>0</v>
      </c>
      <c r="AQ102" s="61">
        <f t="shared" si="24"/>
        <v>2160000</v>
      </c>
    </row>
    <row r="103" s="1" customFormat="1" ht="52" customHeight="1" spans="1:43">
      <c r="A103" s="5" t="s">
        <v>201</v>
      </c>
      <c r="B103" s="6" t="s">
        <v>202</v>
      </c>
      <c r="C103" s="26" t="s">
        <v>22</v>
      </c>
      <c r="D103" s="6"/>
      <c r="E103" s="14" t="s">
        <v>23</v>
      </c>
      <c r="F103" s="14" t="s">
        <v>24</v>
      </c>
      <c r="G103" s="9" t="s">
        <v>25</v>
      </c>
      <c r="H103" s="9" t="s">
        <v>26</v>
      </c>
      <c r="I103" s="24" t="s">
        <v>27</v>
      </c>
      <c r="J103" s="6" t="s">
        <v>73</v>
      </c>
      <c r="K103" s="9">
        <v>200</v>
      </c>
      <c r="L103" s="14">
        <v>2250000</v>
      </c>
      <c r="M103" s="6">
        <v>1890000</v>
      </c>
      <c r="N103" s="6">
        <v>1890000</v>
      </c>
      <c r="O103" s="15" t="s">
        <v>74</v>
      </c>
      <c r="P103" s="6">
        <v>230000</v>
      </c>
      <c r="Q103" s="14">
        <v>360000</v>
      </c>
      <c r="R103" s="14"/>
      <c r="S103" s="14">
        <v>1</v>
      </c>
      <c r="T103" s="14">
        <v>900000</v>
      </c>
      <c r="U103" s="14">
        <v>540000</v>
      </c>
      <c r="V103" s="14">
        <v>100000</v>
      </c>
      <c r="W103" s="14">
        <v>60000</v>
      </c>
      <c r="X103" s="14"/>
      <c r="Y103" s="14"/>
      <c r="Z103" s="14"/>
      <c r="AA103" s="14"/>
      <c r="AB103" s="14">
        <v>900000</v>
      </c>
      <c r="AC103" s="14">
        <v>540000</v>
      </c>
      <c r="AD103" s="14">
        <f t="shared" si="23"/>
        <v>1440000</v>
      </c>
      <c r="AE103" s="14"/>
      <c r="AF103" s="14">
        <v>0</v>
      </c>
      <c r="AG103" s="14">
        <v>5</v>
      </c>
      <c r="AH103" s="14">
        <v>810000</v>
      </c>
      <c r="AI103" s="14">
        <v>1440000</v>
      </c>
      <c r="AJ103" s="14">
        <v>540000</v>
      </c>
      <c r="AK103" s="14">
        <v>0</v>
      </c>
      <c r="AL103" s="14">
        <v>0</v>
      </c>
      <c r="AM103" s="14">
        <v>90000</v>
      </c>
      <c r="AN103" s="14">
        <v>180000</v>
      </c>
      <c r="AO103" s="14">
        <v>0</v>
      </c>
      <c r="AP103" s="14">
        <v>0</v>
      </c>
      <c r="AQ103" s="61">
        <f t="shared" si="24"/>
        <v>2250000</v>
      </c>
    </row>
    <row r="104" s="1" customFormat="1" ht="52" customHeight="1" spans="1:43">
      <c r="A104" s="5" t="s">
        <v>203</v>
      </c>
      <c r="B104" s="6" t="s">
        <v>204</v>
      </c>
      <c r="C104" s="26" t="s">
        <v>22</v>
      </c>
      <c r="D104" s="6"/>
      <c r="E104" s="14" t="s">
        <v>23</v>
      </c>
      <c r="F104" s="14" t="s">
        <v>24</v>
      </c>
      <c r="G104" s="9" t="s">
        <v>25</v>
      </c>
      <c r="H104" s="9" t="s">
        <v>26</v>
      </c>
      <c r="I104" s="24" t="s">
        <v>27</v>
      </c>
      <c r="J104" s="6" t="s">
        <v>73</v>
      </c>
      <c r="K104" s="9">
        <v>200</v>
      </c>
      <c r="L104" s="14">
        <v>2340000</v>
      </c>
      <c r="M104" s="6">
        <v>1890000</v>
      </c>
      <c r="N104" s="6">
        <v>1890000</v>
      </c>
      <c r="O104" s="15" t="s">
        <v>74</v>
      </c>
      <c r="P104" s="6">
        <v>230000</v>
      </c>
      <c r="Q104" s="14">
        <v>450000</v>
      </c>
      <c r="R104" s="14"/>
      <c r="S104" s="14">
        <v>1</v>
      </c>
      <c r="T104" s="14">
        <v>900000</v>
      </c>
      <c r="U104" s="14">
        <v>540000</v>
      </c>
      <c r="V104" s="14">
        <v>100000</v>
      </c>
      <c r="W104" s="14">
        <v>60000</v>
      </c>
      <c r="X104" s="14"/>
      <c r="Y104" s="14"/>
      <c r="Z104" s="14"/>
      <c r="AA104" s="14"/>
      <c r="AB104" s="14">
        <v>900000</v>
      </c>
      <c r="AC104" s="14">
        <v>540000</v>
      </c>
      <c r="AD104" s="14">
        <f t="shared" si="23"/>
        <v>1440000</v>
      </c>
      <c r="AE104" s="14"/>
      <c r="AF104" s="14">
        <v>0</v>
      </c>
      <c r="AG104" s="14">
        <v>6</v>
      </c>
      <c r="AH104" s="14">
        <v>900000</v>
      </c>
      <c r="AI104" s="14">
        <v>1440000</v>
      </c>
      <c r="AJ104" s="14">
        <v>540000</v>
      </c>
      <c r="AK104" s="14">
        <v>0</v>
      </c>
      <c r="AL104" s="14">
        <v>0</v>
      </c>
      <c r="AM104" s="14">
        <v>90000</v>
      </c>
      <c r="AN104" s="14">
        <v>180000</v>
      </c>
      <c r="AO104" s="14">
        <v>90000</v>
      </c>
      <c r="AP104" s="14">
        <v>0</v>
      </c>
      <c r="AQ104" s="61">
        <f t="shared" si="24"/>
        <v>2340000</v>
      </c>
    </row>
    <row r="105" s="1" customFormat="1" ht="52" customHeight="1" spans="1:43">
      <c r="A105" s="5" t="s">
        <v>205</v>
      </c>
      <c r="B105" s="6" t="s">
        <v>206</v>
      </c>
      <c r="C105" s="26" t="s">
        <v>22</v>
      </c>
      <c r="D105" s="6"/>
      <c r="E105" s="14" t="s">
        <v>23</v>
      </c>
      <c r="F105" s="14" t="s">
        <v>24</v>
      </c>
      <c r="G105" s="9" t="s">
        <v>25</v>
      </c>
      <c r="H105" s="9" t="s">
        <v>26</v>
      </c>
      <c r="I105" s="24" t="s">
        <v>27</v>
      </c>
      <c r="J105" s="6" t="s">
        <v>73</v>
      </c>
      <c r="K105" s="9">
        <v>200</v>
      </c>
      <c r="L105" s="14">
        <v>2430000</v>
      </c>
      <c r="M105" s="6">
        <v>1890000</v>
      </c>
      <c r="N105" s="6">
        <v>1890000</v>
      </c>
      <c r="O105" s="15" t="s">
        <v>74</v>
      </c>
      <c r="P105" s="6">
        <v>230000</v>
      </c>
      <c r="Q105" s="14">
        <v>540000</v>
      </c>
      <c r="R105" s="14"/>
      <c r="S105" s="14">
        <v>1</v>
      </c>
      <c r="T105" s="14">
        <v>900000</v>
      </c>
      <c r="U105" s="14">
        <v>540000</v>
      </c>
      <c r="V105" s="14">
        <v>100000</v>
      </c>
      <c r="W105" s="14">
        <v>60000</v>
      </c>
      <c r="X105" s="14"/>
      <c r="Y105" s="14"/>
      <c r="Z105" s="14"/>
      <c r="AA105" s="14"/>
      <c r="AB105" s="14">
        <v>900000</v>
      </c>
      <c r="AC105" s="14">
        <v>540000</v>
      </c>
      <c r="AD105" s="14">
        <f t="shared" si="23"/>
        <v>1440000</v>
      </c>
      <c r="AE105" s="14"/>
      <c r="AF105" s="14">
        <v>0</v>
      </c>
      <c r="AG105" s="14">
        <v>7</v>
      </c>
      <c r="AH105" s="14">
        <v>990000</v>
      </c>
      <c r="AI105" s="14">
        <v>1440000</v>
      </c>
      <c r="AJ105" s="14">
        <v>540000</v>
      </c>
      <c r="AK105" s="14">
        <v>90000</v>
      </c>
      <c r="AL105" s="14">
        <v>0</v>
      </c>
      <c r="AM105" s="14">
        <v>90000</v>
      </c>
      <c r="AN105" s="14">
        <v>180000</v>
      </c>
      <c r="AO105" s="14">
        <v>90000</v>
      </c>
      <c r="AP105" s="14">
        <v>0</v>
      </c>
      <c r="AQ105" s="61">
        <f t="shared" si="24"/>
        <v>2430000</v>
      </c>
    </row>
    <row r="106" s="1" customFormat="1" ht="52" customHeight="1" spans="1:43">
      <c r="A106" s="5" t="s">
        <v>207</v>
      </c>
      <c r="B106" s="6" t="s">
        <v>208</v>
      </c>
      <c r="C106" s="26" t="s">
        <v>22</v>
      </c>
      <c r="D106" s="6"/>
      <c r="E106" s="14" t="s">
        <v>23</v>
      </c>
      <c r="F106" s="14" t="s">
        <v>24</v>
      </c>
      <c r="G106" s="9" t="s">
        <v>25</v>
      </c>
      <c r="H106" s="9" t="s">
        <v>26</v>
      </c>
      <c r="I106" s="24" t="s">
        <v>27</v>
      </c>
      <c r="J106" s="6" t="s">
        <v>73</v>
      </c>
      <c r="K106" s="9">
        <v>200</v>
      </c>
      <c r="L106" s="14">
        <v>2520000</v>
      </c>
      <c r="M106" s="6">
        <v>1890000</v>
      </c>
      <c r="N106" s="6">
        <v>1890000</v>
      </c>
      <c r="O106" s="15" t="s">
        <v>74</v>
      </c>
      <c r="P106" s="6">
        <v>230000</v>
      </c>
      <c r="Q106" s="14">
        <v>630000</v>
      </c>
      <c r="R106" s="14"/>
      <c r="S106" s="14">
        <v>1</v>
      </c>
      <c r="T106" s="14">
        <v>900000</v>
      </c>
      <c r="U106" s="14">
        <v>540000</v>
      </c>
      <c r="V106" s="14">
        <v>100000</v>
      </c>
      <c r="W106" s="14">
        <v>60000</v>
      </c>
      <c r="X106" s="14"/>
      <c r="Y106" s="14"/>
      <c r="Z106" s="14"/>
      <c r="AA106" s="14"/>
      <c r="AB106" s="14">
        <v>900000</v>
      </c>
      <c r="AC106" s="14">
        <v>540000</v>
      </c>
      <c r="AD106" s="14">
        <f t="shared" si="23"/>
        <v>1440000</v>
      </c>
      <c r="AE106" s="14"/>
      <c r="AF106" s="14">
        <v>0</v>
      </c>
      <c r="AG106" s="14">
        <v>8</v>
      </c>
      <c r="AH106" s="14">
        <v>1080000</v>
      </c>
      <c r="AI106" s="14">
        <v>1440000</v>
      </c>
      <c r="AJ106" s="14">
        <v>630000</v>
      </c>
      <c r="AK106" s="14">
        <v>90000</v>
      </c>
      <c r="AL106" s="14">
        <v>0</v>
      </c>
      <c r="AM106" s="14">
        <v>90000</v>
      </c>
      <c r="AN106" s="14">
        <v>180000</v>
      </c>
      <c r="AO106" s="14">
        <v>90000</v>
      </c>
      <c r="AP106" s="14">
        <v>0</v>
      </c>
      <c r="AQ106" s="61">
        <f t="shared" si="24"/>
        <v>2520000</v>
      </c>
    </row>
    <row r="107" s="1" customFormat="1" ht="73" customHeight="1" spans="1:43">
      <c r="A107" s="5" t="s">
        <v>209</v>
      </c>
      <c r="B107" s="6" t="s">
        <v>210</v>
      </c>
      <c r="C107" s="26" t="s">
        <v>22</v>
      </c>
      <c r="D107" s="6"/>
      <c r="E107" s="14" t="s">
        <v>23</v>
      </c>
      <c r="F107" s="14" t="s">
        <v>24</v>
      </c>
      <c r="G107" s="9" t="s">
        <v>25</v>
      </c>
      <c r="H107" s="9" t="s">
        <v>26</v>
      </c>
      <c r="I107" s="24" t="s">
        <v>27</v>
      </c>
      <c r="J107" s="6" t="s">
        <v>73</v>
      </c>
      <c r="K107" s="9">
        <v>200</v>
      </c>
      <c r="L107" s="14">
        <v>2610000</v>
      </c>
      <c r="M107" s="6">
        <v>1890000</v>
      </c>
      <c r="N107" s="6">
        <v>1890000</v>
      </c>
      <c r="O107" s="15" t="s">
        <v>74</v>
      </c>
      <c r="P107" s="6">
        <v>230000</v>
      </c>
      <c r="Q107" s="14">
        <v>720000</v>
      </c>
      <c r="R107" s="14"/>
      <c r="S107" s="14">
        <v>1</v>
      </c>
      <c r="T107" s="14">
        <v>900000</v>
      </c>
      <c r="U107" s="14">
        <v>540000</v>
      </c>
      <c r="V107" s="14">
        <v>100000</v>
      </c>
      <c r="W107" s="14">
        <v>60000</v>
      </c>
      <c r="X107" s="14"/>
      <c r="Y107" s="14"/>
      <c r="Z107" s="14"/>
      <c r="AA107" s="14"/>
      <c r="AB107" s="14">
        <v>900000</v>
      </c>
      <c r="AC107" s="14">
        <v>540000</v>
      </c>
      <c r="AD107" s="14">
        <f t="shared" si="23"/>
        <v>1440000</v>
      </c>
      <c r="AE107" s="14"/>
      <c r="AF107" s="14">
        <v>0</v>
      </c>
      <c r="AG107" s="14">
        <v>9</v>
      </c>
      <c r="AH107" s="14">
        <v>1170000</v>
      </c>
      <c r="AI107" s="14">
        <v>1440000</v>
      </c>
      <c r="AJ107" s="14">
        <v>630000</v>
      </c>
      <c r="AK107" s="14">
        <v>90000</v>
      </c>
      <c r="AL107" s="14">
        <v>90000</v>
      </c>
      <c r="AM107" s="14">
        <v>90000</v>
      </c>
      <c r="AN107" s="14">
        <v>180000</v>
      </c>
      <c r="AO107" s="14">
        <v>90000</v>
      </c>
      <c r="AP107" s="14">
        <v>0</v>
      </c>
      <c r="AQ107" s="61">
        <f t="shared" si="24"/>
        <v>2610000</v>
      </c>
    </row>
    <row r="108" s="1" customFormat="1" ht="52" customHeight="1" spans="1:43">
      <c r="A108" s="5"/>
      <c r="B108" s="49" t="s">
        <v>155</v>
      </c>
      <c r="C108" s="50"/>
      <c r="D108" s="50"/>
      <c r="E108" s="50"/>
      <c r="F108" s="51"/>
      <c r="G108" s="9"/>
      <c r="H108" s="9"/>
      <c r="I108" s="24"/>
      <c r="J108" s="6"/>
      <c r="K108" s="9"/>
      <c r="L108" s="14"/>
      <c r="M108" s="6"/>
      <c r="N108" s="6"/>
      <c r="O108" s="15"/>
      <c r="P108" s="6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</row>
    <row r="109" s="1" customFormat="1" ht="52" customHeight="1" spans="1:43">
      <c r="A109" s="5" t="s">
        <v>211</v>
      </c>
      <c r="B109" s="6" t="s">
        <v>187</v>
      </c>
      <c r="C109" s="26" t="s">
        <v>22</v>
      </c>
      <c r="D109" s="6"/>
      <c r="E109" s="14" t="s">
        <v>23</v>
      </c>
      <c r="F109" s="14" t="s">
        <v>24</v>
      </c>
      <c r="G109" s="9" t="s">
        <v>25</v>
      </c>
      <c r="H109" s="9" t="s">
        <v>26</v>
      </c>
      <c r="I109" s="24" t="s">
        <v>27</v>
      </c>
      <c r="J109" s="6" t="s">
        <v>171</v>
      </c>
      <c r="K109" s="9">
        <v>200</v>
      </c>
      <c r="L109" s="14">
        <v>250000</v>
      </c>
      <c r="M109" s="14">
        <v>250000</v>
      </c>
      <c r="N109" s="14">
        <v>250000</v>
      </c>
      <c r="O109" s="15" t="s">
        <v>74</v>
      </c>
      <c r="P109" s="6">
        <v>0</v>
      </c>
      <c r="Q109" s="14">
        <v>0</v>
      </c>
      <c r="R109" s="14" t="s">
        <v>116</v>
      </c>
      <c r="S109" s="14">
        <v>1</v>
      </c>
      <c r="T109" s="14">
        <v>100000</v>
      </c>
      <c r="U109" s="14">
        <v>100000</v>
      </c>
      <c r="V109" s="14">
        <v>0</v>
      </c>
      <c r="W109" s="14">
        <v>0</v>
      </c>
      <c r="X109" s="14"/>
      <c r="Y109" s="14"/>
      <c r="Z109" s="14"/>
      <c r="AA109" s="14"/>
      <c r="AB109" s="14">
        <v>100000</v>
      </c>
      <c r="AC109" s="14">
        <v>100000</v>
      </c>
      <c r="AD109" s="14">
        <f t="shared" ref="AD109:AD111" si="25">AB109+AC109</f>
        <v>200000</v>
      </c>
      <c r="AE109" s="14"/>
      <c r="AF109" s="14">
        <v>0</v>
      </c>
      <c r="AG109" s="14">
        <v>1</v>
      </c>
      <c r="AH109" s="14">
        <v>50000</v>
      </c>
      <c r="AI109" s="14">
        <v>200000</v>
      </c>
      <c r="AJ109" s="14">
        <v>0</v>
      </c>
      <c r="AK109" s="14">
        <v>0</v>
      </c>
      <c r="AL109" s="14">
        <v>0</v>
      </c>
      <c r="AM109" s="14">
        <v>0</v>
      </c>
      <c r="AN109" s="14">
        <v>50000</v>
      </c>
      <c r="AO109" s="14">
        <v>0</v>
      </c>
      <c r="AP109" s="14">
        <v>0</v>
      </c>
      <c r="AQ109" s="61">
        <f t="shared" ref="AQ109:AQ111" si="26">SUM(AI109:AP109)</f>
        <v>250000</v>
      </c>
    </row>
    <row r="110" s="1" customFormat="1" ht="52" customHeight="1" spans="1:43">
      <c r="A110" s="5" t="s">
        <v>212</v>
      </c>
      <c r="B110" s="6" t="s">
        <v>189</v>
      </c>
      <c r="C110" s="26" t="s">
        <v>22</v>
      </c>
      <c r="D110" s="6"/>
      <c r="E110" s="14" t="s">
        <v>23</v>
      </c>
      <c r="F110" s="14" t="s">
        <v>24</v>
      </c>
      <c r="G110" s="9" t="s">
        <v>25</v>
      </c>
      <c r="H110" s="9" t="s">
        <v>26</v>
      </c>
      <c r="I110" s="24" t="s">
        <v>27</v>
      </c>
      <c r="J110" s="6" t="s">
        <v>73</v>
      </c>
      <c r="K110" s="9">
        <v>200</v>
      </c>
      <c r="L110" s="14">
        <v>550000</v>
      </c>
      <c r="M110" s="6">
        <v>350000</v>
      </c>
      <c r="N110" s="6">
        <v>350000</v>
      </c>
      <c r="O110" s="15" t="s">
        <v>74</v>
      </c>
      <c r="P110" s="6">
        <v>0</v>
      </c>
      <c r="Q110" s="14">
        <v>200000</v>
      </c>
      <c r="R110" s="14" t="s">
        <v>116</v>
      </c>
      <c r="S110" s="14">
        <v>1</v>
      </c>
      <c r="T110" s="14">
        <v>100000</v>
      </c>
      <c r="U110" s="14">
        <v>100000</v>
      </c>
      <c r="V110" s="14">
        <v>0</v>
      </c>
      <c r="W110" s="14">
        <v>0</v>
      </c>
      <c r="X110" s="14"/>
      <c r="Y110" s="14"/>
      <c r="Z110" s="14"/>
      <c r="AA110" s="14"/>
      <c r="AB110" s="14">
        <v>100000</v>
      </c>
      <c r="AC110" s="14">
        <v>100000</v>
      </c>
      <c r="AD110" s="14">
        <f t="shared" si="25"/>
        <v>200000</v>
      </c>
      <c r="AE110" s="14"/>
      <c r="AF110" s="14">
        <v>0</v>
      </c>
      <c r="AG110" s="14">
        <v>3</v>
      </c>
      <c r="AH110" s="14">
        <v>350000</v>
      </c>
      <c r="AI110" s="14">
        <v>200000</v>
      </c>
      <c r="AJ110" s="14">
        <v>300000</v>
      </c>
      <c r="AK110" s="14">
        <v>0</v>
      </c>
      <c r="AL110" s="14">
        <v>0</v>
      </c>
      <c r="AM110" s="14">
        <v>0</v>
      </c>
      <c r="AN110" s="14">
        <v>50000</v>
      </c>
      <c r="AO110" s="14">
        <v>0</v>
      </c>
      <c r="AP110" s="14">
        <v>0</v>
      </c>
      <c r="AQ110" s="61">
        <f t="shared" si="26"/>
        <v>550000</v>
      </c>
    </row>
    <row r="111" s="1" customFormat="1" ht="52" customHeight="1" spans="1:43">
      <c r="A111" s="5" t="s">
        <v>213</v>
      </c>
      <c r="B111" s="6" t="s">
        <v>191</v>
      </c>
      <c r="C111" s="26" t="s">
        <v>22</v>
      </c>
      <c r="D111" s="6"/>
      <c r="E111" s="14" t="s">
        <v>23</v>
      </c>
      <c r="F111" s="14" t="s">
        <v>24</v>
      </c>
      <c r="G111" s="9" t="s">
        <v>25</v>
      </c>
      <c r="H111" s="9" t="s">
        <v>26</v>
      </c>
      <c r="I111" s="24" t="s">
        <v>27</v>
      </c>
      <c r="J111" s="6" t="s">
        <v>73</v>
      </c>
      <c r="K111" s="9">
        <v>200</v>
      </c>
      <c r="L111" s="14">
        <v>650000</v>
      </c>
      <c r="M111" s="6">
        <v>350000</v>
      </c>
      <c r="N111" s="6">
        <v>350000</v>
      </c>
      <c r="O111" s="15" t="s">
        <v>74</v>
      </c>
      <c r="P111" s="6">
        <v>0</v>
      </c>
      <c r="Q111" s="14">
        <v>300000</v>
      </c>
      <c r="R111" s="14" t="s">
        <v>116</v>
      </c>
      <c r="S111" s="14">
        <v>1</v>
      </c>
      <c r="T111" s="14">
        <v>100000</v>
      </c>
      <c r="U111" s="14">
        <v>100000</v>
      </c>
      <c r="V111" s="14">
        <v>0</v>
      </c>
      <c r="W111" s="14">
        <v>0</v>
      </c>
      <c r="X111" s="14"/>
      <c r="Y111" s="14"/>
      <c r="Z111" s="14"/>
      <c r="AA111" s="14"/>
      <c r="AB111" s="14">
        <v>100000</v>
      </c>
      <c r="AC111" s="14">
        <v>100000</v>
      </c>
      <c r="AD111" s="14">
        <f t="shared" si="25"/>
        <v>200000</v>
      </c>
      <c r="AE111" s="14"/>
      <c r="AF111" s="14">
        <v>0</v>
      </c>
      <c r="AG111" s="14">
        <v>4</v>
      </c>
      <c r="AH111" s="14">
        <v>450000</v>
      </c>
      <c r="AI111" s="14">
        <v>200000</v>
      </c>
      <c r="AJ111" s="14">
        <v>300000</v>
      </c>
      <c r="AK111" s="14">
        <v>0</v>
      </c>
      <c r="AL111" s="14">
        <v>0</v>
      </c>
      <c r="AM111" s="14">
        <v>100000</v>
      </c>
      <c r="AN111" s="14">
        <v>50000</v>
      </c>
      <c r="AO111" s="14">
        <v>0</v>
      </c>
      <c r="AP111" s="14">
        <v>0</v>
      </c>
      <c r="AQ111" s="61">
        <f t="shared" si="26"/>
        <v>650000</v>
      </c>
    </row>
    <row r="112" s="1" customFormat="1" ht="52" customHeight="1" spans="1:43">
      <c r="A112" s="5"/>
      <c r="B112" s="49" t="s">
        <v>164</v>
      </c>
      <c r="C112" s="50"/>
      <c r="D112" s="50"/>
      <c r="E112" s="50"/>
      <c r="F112" s="51"/>
      <c r="G112" s="9"/>
      <c r="H112" s="9"/>
      <c r="I112" s="24"/>
      <c r="J112" s="6"/>
      <c r="K112" s="9"/>
      <c r="L112" s="14"/>
      <c r="M112" s="6"/>
      <c r="N112" s="6"/>
      <c r="O112" s="15"/>
      <c r="P112" s="6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</row>
    <row r="113" s="1" customFormat="1" ht="52" customHeight="1" spans="1:43">
      <c r="A113" s="5" t="s">
        <v>214</v>
      </c>
      <c r="B113" s="6" t="s">
        <v>187</v>
      </c>
      <c r="C113" s="26" t="s">
        <v>22</v>
      </c>
      <c r="D113" s="6"/>
      <c r="E113" s="14" t="s">
        <v>23</v>
      </c>
      <c r="F113" s="14" t="s">
        <v>24</v>
      </c>
      <c r="G113" s="9" t="s">
        <v>25</v>
      </c>
      <c r="H113" s="9" t="s">
        <v>26</v>
      </c>
      <c r="I113" s="24" t="s">
        <v>27</v>
      </c>
      <c r="J113" s="6" t="s">
        <v>171</v>
      </c>
      <c r="K113" s="9">
        <v>200</v>
      </c>
      <c r="L113" s="14">
        <v>250000</v>
      </c>
      <c r="M113" s="14">
        <v>250000</v>
      </c>
      <c r="N113" s="14">
        <v>250000</v>
      </c>
      <c r="O113" s="15" t="s">
        <v>74</v>
      </c>
      <c r="P113" s="6">
        <v>0</v>
      </c>
      <c r="Q113" s="14">
        <v>0</v>
      </c>
      <c r="R113" s="14" t="s">
        <v>116</v>
      </c>
      <c r="S113" s="14">
        <v>1</v>
      </c>
      <c r="T113" s="14">
        <v>100000</v>
      </c>
      <c r="U113" s="14">
        <v>100000</v>
      </c>
      <c r="V113" s="14">
        <v>0</v>
      </c>
      <c r="W113" s="14">
        <v>0</v>
      </c>
      <c r="X113" s="14"/>
      <c r="Y113" s="14"/>
      <c r="Z113" s="14"/>
      <c r="AA113" s="14"/>
      <c r="AB113" s="14">
        <v>100000</v>
      </c>
      <c r="AC113" s="14">
        <v>100000</v>
      </c>
      <c r="AD113" s="14">
        <f t="shared" ref="AD113:AD115" si="27">AB113+AC113</f>
        <v>200000</v>
      </c>
      <c r="AE113" s="14"/>
      <c r="AF113" s="14">
        <v>0</v>
      </c>
      <c r="AG113" s="14">
        <v>1</v>
      </c>
      <c r="AH113" s="14">
        <v>50000</v>
      </c>
      <c r="AI113" s="14">
        <v>200000</v>
      </c>
      <c r="AJ113" s="14">
        <v>0</v>
      </c>
      <c r="AK113" s="14">
        <v>0</v>
      </c>
      <c r="AL113" s="14">
        <v>0</v>
      </c>
      <c r="AM113" s="14">
        <v>0</v>
      </c>
      <c r="AN113" s="14">
        <v>50000</v>
      </c>
      <c r="AO113" s="14">
        <v>0</v>
      </c>
      <c r="AP113" s="14">
        <v>0</v>
      </c>
      <c r="AQ113" s="61">
        <f t="shared" ref="AQ113:AQ115" si="28">SUM(AI113:AP113)</f>
        <v>250000</v>
      </c>
    </row>
    <row r="114" s="1" customFormat="1" ht="52" customHeight="1" spans="1:43">
      <c r="A114" s="5" t="s">
        <v>215</v>
      </c>
      <c r="B114" s="6" t="s">
        <v>189</v>
      </c>
      <c r="C114" s="26" t="s">
        <v>22</v>
      </c>
      <c r="D114" s="6"/>
      <c r="E114" s="14" t="s">
        <v>23</v>
      </c>
      <c r="F114" s="14" t="s">
        <v>24</v>
      </c>
      <c r="G114" s="9" t="s">
        <v>25</v>
      </c>
      <c r="H114" s="9" t="s">
        <v>26</v>
      </c>
      <c r="I114" s="24" t="s">
        <v>27</v>
      </c>
      <c r="J114" s="6" t="s">
        <v>73</v>
      </c>
      <c r="K114" s="9">
        <v>200</v>
      </c>
      <c r="L114" s="14">
        <v>550000</v>
      </c>
      <c r="M114" s="6">
        <v>350000</v>
      </c>
      <c r="N114" s="6">
        <v>350000</v>
      </c>
      <c r="O114" s="15" t="s">
        <v>74</v>
      </c>
      <c r="P114" s="6">
        <v>0</v>
      </c>
      <c r="Q114" s="14">
        <v>200000</v>
      </c>
      <c r="R114" s="14" t="s">
        <v>116</v>
      </c>
      <c r="S114" s="14">
        <v>1</v>
      </c>
      <c r="T114" s="14">
        <v>100000</v>
      </c>
      <c r="U114" s="14">
        <v>100000</v>
      </c>
      <c r="V114" s="14">
        <v>0</v>
      </c>
      <c r="W114" s="14">
        <v>0</v>
      </c>
      <c r="X114" s="14"/>
      <c r="Y114" s="14"/>
      <c r="Z114" s="14"/>
      <c r="AA114" s="14"/>
      <c r="AB114" s="14">
        <v>100000</v>
      </c>
      <c r="AC114" s="14">
        <v>100000</v>
      </c>
      <c r="AD114" s="14">
        <f t="shared" si="27"/>
        <v>200000</v>
      </c>
      <c r="AE114" s="14"/>
      <c r="AF114" s="14">
        <v>0</v>
      </c>
      <c r="AG114" s="14">
        <v>3</v>
      </c>
      <c r="AH114" s="14">
        <v>350000</v>
      </c>
      <c r="AI114" s="14">
        <v>200000</v>
      </c>
      <c r="AJ114" s="14">
        <v>300000</v>
      </c>
      <c r="AK114" s="14">
        <v>0</v>
      </c>
      <c r="AL114" s="14">
        <v>0</v>
      </c>
      <c r="AM114" s="14">
        <v>0</v>
      </c>
      <c r="AN114" s="14">
        <v>50000</v>
      </c>
      <c r="AO114" s="14">
        <v>0</v>
      </c>
      <c r="AP114" s="14">
        <v>0</v>
      </c>
      <c r="AQ114" s="61">
        <f t="shared" si="28"/>
        <v>550000</v>
      </c>
    </row>
    <row r="115" s="1" customFormat="1" ht="52" customHeight="1" spans="1:43">
      <c r="A115" s="5" t="s">
        <v>216</v>
      </c>
      <c r="B115" s="6" t="s">
        <v>191</v>
      </c>
      <c r="C115" s="26" t="s">
        <v>22</v>
      </c>
      <c r="D115" s="6"/>
      <c r="E115" s="14" t="s">
        <v>23</v>
      </c>
      <c r="F115" s="14" t="s">
        <v>24</v>
      </c>
      <c r="G115" s="9" t="s">
        <v>25</v>
      </c>
      <c r="H115" s="9" t="s">
        <v>26</v>
      </c>
      <c r="I115" s="24" t="s">
        <v>27</v>
      </c>
      <c r="J115" s="6" t="s">
        <v>73</v>
      </c>
      <c r="K115" s="9">
        <v>200</v>
      </c>
      <c r="L115" s="14">
        <v>650000</v>
      </c>
      <c r="M115" s="6">
        <v>350000</v>
      </c>
      <c r="N115" s="6">
        <v>350000</v>
      </c>
      <c r="O115" s="15" t="s">
        <v>74</v>
      </c>
      <c r="P115" s="6">
        <v>0</v>
      </c>
      <c r="Q115" s="14">
        <v>300000</v>
      </c>
      <c r="R115" s="14" t="s">
        <v>116</v>
      </c>
      <c r="S115" s="14">
        <v>1</v>
      </c>
      <c r="T115" s="14">
        <v>100000</v>
      </c>
      <c r="U115" s="14">
        <v>100000</v>
      </c>
      <c r="V115" s="14">
        <v>0</v>
      </c>
      <c r="W115" s="14">
        <v>0</v>
      </c>
      <c r="X115" s="14"/>
      <c r="Y115" s="14"/>
      <c r="Z115" s="14"/>
      <c r="AA115" s="14"/>
      <c r="AB115" s="14">
        <v>100000</v>
      </c>
      <c r="AC115" s="14">
        <v>100000</v>
      </c>
      <c r="AD115" s="14">
        <f t="shared" si="27"/>
        <v>200000</v>
      </c>
      <c r="AE115" s="14"/>
      <c r="AF115" s="14">
        <v>0</v>
      </c>
      <c r="AG115" s="14">
        <v>4</v>
      </c>
      <c r="AH115" s="14">
        <v>450000</v>
      </c>
      <c r="AI115" s="14">
        <v>200000</v>
      </c>
      <c r="AJ115" s="14">
        <v>300000</v>
      </c>
      <c r="AK115" s="14">
        <v>0</v>
      </c>
      <c r="AL115" s="14">
        <v>0</v>
      </c>
      <c r="AM115" s="14">
        <v>100000</v>
      </c>
      <c r="AN115" s="14">
        <v>50000</v>
      </c>
      <c r="AO115" s="14">
        <v>0</v>
      </c>
      <c r="AP115" s="14">
        <v>0</v>
      </c>
      <c r="AQ115" s="61">
        <f t="shared" si="28"/>
        <v>650000</v>
      </c>
    </row>
    <row r="116" s="1" customFormat="1" ht="52" customHeight="1" spans="1:43">
      <c r="A116" s="5"/>
      <c r="B116" s="6"/>
      <c r="C116" s="26"/>
      <c r="D116" s="6"/>
      <c r="E116" s="14"/>
      <c r="F116" s="14"/>
      <c r="G116" s="9"/>
      <c r="H116" s="9"/>
      <c r="I116" s="24"/>
      <c r="J116" s="6"/>
      <c r="K116" s="9"/>
      <c r="L116" s="14"/>
      <c r="M116" s="6"/>
      <c r="N116" s="6"/>
      <c r="O116" s="15"/>
      <c r="P116" s="6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</row>
    <row r="117" s="1" customFormat="1" ht="52" customHeight="1" spans="1:43">
      <c r="A117" s="5" t="s">
        <v>217</v>
      </c>
      <c r="B117" s="6" t="s">
        <v>218</v>
      </c>
      <c r="C117" s="26" t="s">
        <v>22</v>
      </c>
      <c r="D117" s="6"/>
      <c r="E117" s="14" t="s">
        <v>23</v>
      </c>
      <c r="F117" s="14" t="s">
        <v>24</v>
      </c>
      <c r="G117" s="9" t="s">
        <v>25</v>
      </c>
      <c r="H117" s="9" t="s">
        <v>26</v>
      </c>
      <c r="I117" s="24" t="s">
        <v>27</v>
      </c>
      <c r="J117" s="6" t="s">
        <v>73</v>
      </c>
      <c r="K117" s="9">
        <v>200</v>
      </c>
      <c r="L117" s="14">
        <v>2400000</v>
      </c>
      <c r="M117" s="6">
        <v>0</v>
      </c>
      <c r="N117" s="6">
        <v>0</v>
      </c>
      <c r="O117" s="15" t="s">
        <v>74</v>
      </c>
      <c r="P117" s="6">
        <v>0</v>
      </c>
      <c r="Q117" s="14">
        <v>2400000</v>
      </c>
      <c r="R117" s="14"/>
      <c r="S117" s="14">
        <v>1</v>
      </c>
      <c r="T117" s="14">
        <v>1000000</v>
      </c>
      <c r="U117" s="14">
        <v>600000</v>
      </c>
      <c r="V117" s="14">
        <v>0</v>
      </c>
      <c r="W117" s="14">
        <v>0</v>
      </c>
      <c r="X117" s="14"/>
      <c r="Y117" s="14"/>
      <c r="Z117" s="14"/>
      <c r="AA117" s="14"/>
      <c r="AB117" s="14">
        <v>1000000</v>
      </c>
      <c r="AC117" s="14">
        <v>600000</v>
      </c>
      <c r="AD117" s="14">
        <v>1600000</v>
      </c>
      <c r="AE117" s="14"/>
      <c r="AF117" s="14">
        <v>0</v>
      </c>
      <c r="AG117" s="14">
        <v>4</v>
      </c>
      <c r="AH117" s="14">
        <v>800000</v>
      </c>
      <c r="AI117" s="14">
        <v>1600000</v>
      </c>
      <c r="AJ117" s="14">
        <v>600000</v>
      </c>
      <c r="AK117" s="14">
        <v>0</v>
      </c>
      <c r="AL117" s="14">
        <v>200000</v>
      </c>
      <c r="AM117" s="14">
        <v>0</v>
      </c>
      <c r="AN117" s="14">
        <v>0</v>
      </c>
      <c r="AO117" s="14">
        <v>0</v>
      </c>
      <c r="AP117" s="14">
        <v>0</v>
      </c>
      <c r="AQ117" s="14">
        <v>2400000</v>
      </c>
    </row>
    <row r="118" s="1" customFormat="1" ht="52" customHeight="1" spans="1:43">
      <c r="A118" s="5" t="s">
        <v>219</v>
      </c>
      <c r="B118" s="6" t="s">
        <v>220</v>
      </c>
      <c r="C118" s="26" t="s">
        <v>22</v>
      </c>
      <c r="D118" s="6"/>
      <c r="E118" s="14" t="s">
        <v>23</v>
      </c>
      <c r="F118" s="14" t="s">
        <v>24</v>
      </c>
      <c r="G118" s="9" t="s">
        <v>25</v>
      </c>
      <c r="H118" s="9" t="s">
        <v>26</v>
      </c>
      <c r="I118" s="24" t="s">
        <v>27</v>
      </c>
      <c r="J118" s="6" t="s">
        <v>73</v>
      </c>
      <c r="K118" s="9">
        <v>200</v>
      </c>
      <c r="L118" s="14">
        <v>2400000</v>
      </c>
      <c r="M118" s="6">
        <v>2000000</v>
      </c>
      <c r="N118" s="6">
        <v>2000000</v>
      </c>
      <c r="O118" s="15" t="s">
        <v>74</v>
      </c>
      <c r="P118" s="6">
        <v>0</v>
      </c>
      <c r="Q118" s="14">
        <v>400000</v>
      </c>
      <c r="R118" s="14"/>
      <c r="S118" s="14">
        <v>1</v>
      </c>
      <c r="T118" s="14">
        <v>1000000</v>
      </c>
      <c r="U118" s="14">
        <v>600000</v>
      </c>
      <c r="V118" s="14">
        <v>0</v>
      </c>
      <c r="W118" s="14">
        <v>0</v>
      </c>
      <c r="X118" s="14"/>
      <c r="Y118" s="14"/>
      <c r="Z118" s="14"/>
      <c r="AA118" s="14"/>
      <c r="AB118" s="14">
        <v>1000000</v>
      </c>
      <c r="AC118" s="14">
        <v>600000</v>
      </c>
      <c r="AD118" s="14">
        <v>1600000</v>
      </c>
      <c r="AE118" s="14"/>
      <c r="AF118" s="14">
        <v>0</v>
      </c>
      <c r="AG118" s="14">
        <v>4</v>
      </c>
      <c r="AH118" s="14">
        <v>800000</v>
      </c>
      <c r="AI118" s="14">
        <v>1600000</v>
      </c>
      <c r="AJ118" s="14">
        <v>600000</v>
      </c>
      <c r="AK118" s="14">
        <v>0</v>
      </c>
      <c r="AL118" s="14">
        <v>200000</v>
      </c>
      <c r="AM118" s="14">
        <v>0</v>
      </c>
      <c r="AN118" s="14">
        <v>0</v>
      </c>
      <c r="AO118" s="14">
        <v>0</v>
      </c>
      <c r="AP118" s="14">
        <v>0</v>
      </c>
      <c r="AQ118" s="14">
        <v>2400000</v>
      </c>
    </row>
    <row r="119" s="1" customFormat="1" ht="52" customHeight="1" spans="1:43">
      <c r="A119" s="5" t="s">
        <v>221</v>
      </c>
      <c r="B119" s="6" t="s">
        <v>222</v>
      </c>
      <c r="C119" s="26" t="s">
        <v>22</v>
      </c>
      <c r="D119" s="6"/>
      <c r="E119" s="14" t="s">
        <v>23</v>
      </c>
      <c r="F119" s="14" t="s">
        <v>24</v>
      </c>
      <c r="G119" s="9" t="s">
        <v>25</v>
      </c>
      <c r="H119" s="9" t="s">
        <v>26</v>
      </c>
      <c r="I119" s="24" t="s">
        <v>27</v>
      </c>
      <c r="J119" s="6" t="s">
        <v>73</v>
      </c>
      <c r="K119" s="9">
        <v>200</v>
      </c>
      <c r="L119" s="14">
        <v>2100000</v>
      </c>
      <c r="M119" s="6">
        <v>0</v>
      </c>
      <c r="N119" s="6">
        <v>0</v>
      </c>
      <c r="O119" s="15" t="s">
        <v>74</v>
      </c>
      <c r="P119" s="6">
        <v>0</v>
      </c>
      <c r="Q119" s="14">
        <v>2100000</v>
      </c>
      <c r="R119" s="14"/>
      <c r="S119" s="14">
        <v>1</v>
      </c>
      <c r="T119" s="14">
        <v>1000000</v>
      </c>
      <c r="U119" s="14">
        <v>600000</v>
      </c>
      <c r="V119" s="14">
        <v>0</v>
      </c>
      <c r="W119" s="14">
        <v>0</v>
      </c>
      <c r="X119" s="14"/>
      <c r="Y119" s="14"/>
      <c r="Z119" s="14"/>
      <c r="AA119" s="14"/>
      <c r="AB119" s="14">
        <v>1000000</v>
      </c>
      <c r="AC119" s="14">
        <v>600000</v>
      </c>
      <c r="AD119" s="14">
        <v>1600000</v>
      </c>
      <c r="AE119" s="14"/>
      <c r="AF119" s="14">
        <v>0</v>
      </c>
      <c r="AG119" s="14">
        <v>2</v>
      </c>
      <c r="AH119" s="14">
        <v>500000</v>
      </c>
      <c r="AI119" s="14">
        <v>1600000</v>
      </c>
      <c r="AJ119" s="14">
        <v>400000</v>
      </c>
      <c r="AK119" s="14">
        <v>0</v>
      </c>
      <c r="AL119" s="14">
        <v>100000</v>
      </c>
      <c r="AM119" s="14">
        <v>0</v>
      </c>
      <c r="AN119" s="14">
        <v>0</v>
      </c>
      <c r="AO119" s="14">
        <v>0</v>
      </c>
      <c r="AP119" s="14">
        <v>0</v>
      </c>
      <c r="AQ119" s="14">
        <v>2100000</v>
      </c>
    </row>
    <row r="120" s="1" customFormat="1" ht="52" customHeight="1" spans="1:43">
      <c r="A120" s="5" t="s">
        <v>223</v>
      </c>
      <c r="B120" s="6" t="s">
        <v>224</v>
      </c>
      <c r="C120" s="26" t="s">
        <v>22</v>
      </c>
      <c r="D120" s="6"/>
      <c r="E120" s="14" t="s">
        <v>23</v>
      </c>
      <c r="F120" s="14" t="s">
        <v>24</v>
      </c>
      <c r="G120" s="9" t="s">
        <v>25</v>
      </c>
      <c r="H120" s="9" t="s">
        <v>26</v>
      </c>
      <c r="I120" s="24" t="s">
        <v>27</v>
      </c>
      <c r="J120" s="6" t="s">
        <v>73</v>
      </c>
      <c r="K120" s="9">
        <v>200</v>
      </c>
      <c r="L120" s="14">
        <v>4200000</v>
      </c>
      <c r="M120" s="6">
        <v>0</v>
      </c>
      <c r="N120" s="6">
        <v>0</v>
      </c>
      <c r="O120" s="15" t="s">
        <v>74</v>
      </c>
      <c r="P120" s="6">
        <v>0</v>
      </c>
      <c r="Q120" s="14">
        <v>4200000</v>
      </c>
      <c r="R120" s="14"/>
      <c r="S120" s="14">
        <v>1</v>
      </c>
      <c r="T120" s="14">
        <v>1000000</v>
      </c>
      <c r="U120" s="14">
        <v>600000</v>
      </c>
      <c r="V120" s="14">
        <v>0</v>
      </c>
      <c r="W120" s="14">
        <v>0</v>
      </c>
      <c r="X120" s="14"/>
      <c r="Y120" s="14"/>
      <c r="Z120" s="14"/>
      <c r="AA120" s="14"/>
      <c r="AB120" s="14">
        <v>2000000</v>
      </c>
      <c r="AC120" s="14">
        <v>1200000</v>
      </c>
      <c r="AD120" s="14">
        <v>3200000</v>
      </c>
      <c r="AE120" s="14"/>
      <c r="AF120" s="14">
        <v>1</v>
      </c>
      <c r="AG120" s="14">
        <v>4</v>
      </c>
      <c r="AH120" s="14">
        <v>1000000</v>
      </c>
      <c r="AI120" s="14">
        <v>1600000</v>
      </c>
      <c r="AJ120" s="14">
        <v>400000</v>
      </c>
      <c r="AK120" s="14">
        <v>0</v>
      </c>
      <c r="AL120" s="14">
        <v>100000</v>
      </c>
      <c r="AM120" s="14">
        <v>0</v>
      </c>
      <c r="AN120" s="14">
        <v>0</v>
      </c>
      <c r="AO120" s="14">
        <v>0</v>
      </c>
      <c r="AP120" s="14">
        <v>0</v>
      </c>
      <c r="AQ120" s="14">
        <v>2100000</v>
      </c>
    </row>
    <row r="121" s="1" customFormat="1" ht="52" customHeight="1" spans="1:43">
      <c r="A121" s="5" t="s">
        <v>225</v>
      </c>
      <c r="B121" s="6" t="s">
        <v>226</v>
      </c>
      <c r="C121" s="26" t="s">
        <v>22</v>
      </c>
      <c r="D121" s="6"/>
      <c r="E121" s="14" t="s">
        <v>23</v>
      </c>
      <c r="F121" s="14" t="s">
        <v>24</v>
      </c>
      <c r="G121" s="9" t="s">
        <v>25</v>
      </c>
      <c r="H121" s="9" t="s">
        <v>26</v>
      </c>
      <c r="I121" s="24" t="s">
        <v>27</v>
      </c>
      <c r="J121" s="6" t="s">
        <v>171</v>
      </c>
      <c r="K121" s="9">
        <v>200</v>
      </c>
      <c r="L121" s="6">
        <v>2000000</v>
      </c>
      <c r="M121" s="6">
        <v>2000000</v>
      </c>
      <c r="N121" s="6">
        <v>2000000</v>
      </c>
      <c r="O121" s="15" t="s">
        <v>74</v>
      </c>
      <c r="P121" s="6">
        <v>0</v>
      </c>
      <c r="Q121" s="14"/>
      <c r="R121" s="14" t="s">
        <v>116</v>
      </c>
      <c r="S121" s="14">
        <v>1</v>
      </c>
      <c r="T121" s="14">
        <v>1000000</v>
      </c>
      <c r="U121" s="14">
        <v>600000</v>
      </c>
      <c r="V121" s="14">
        <v>0</v>
      </c>
      <c r="W121" s="14">
        <v>0</v>
      </c>
      <c r="X121" s="14"/>
      <c r="Y121" s="14"/>
      <c r="Z121" s="14"/>
      <c r="AA121" s="14"/>
      <c r="AB121" s="14">
        <v>1000000</v>
      </c>
      <c r="AC121" s="14">
        <v>600000</v>
      </c>
      <c r="AD121" s="14">
        <v>1600000</v>
      </c>
      <c r="AE121" s="14"/>
      <c r="AF121" s="14">
        <v>0</v>
      </c>
      <c r="AG121" s="14">
        <v>1</v>
      </c>
      <c r="AH121" s="14">
        <v>400000</v>
      </c>
      <c r="AI121" s="14">
        <v>1600000</v>
      </c>
      <c r="AJ121" s="14">
        <v>400000</v>
      </c>
      <c r="AK121" s="14">
        <v>0</v>
      </c>
      <c r="AL121" s="14">
        <v>0</v>
      </c>
      <c r="AM121" s="14">
        <v>0</v>
      </c>
      <c r="AN121" s="14">
        <v>0</v>
      </c>
      <c r="AO121" s="14">
        <v>0</v>
      </c>
      <c r="AP121" s="14">
        <v>0</v>
      </c>
      <c r="AQ121" s="14">
        <v>2000000</v>
      </c>
    </row>
    <row r="122" s="1" customFormat="1" ht="52" customHeight="1" spans="1:43">
      <c r="A122" s="5" t="s">
        <v>227</v>
      </c>
      <c r="B122" s="6" t="s">
        <v>228</v>
      </c>
      <c r="C122" s="26" t="s">
        <v>22</v>
      </c>
      <c r="D122" s="6"/>
      <c r="E122" s="14" t="s">
        <v>23</v>
      </c>
      <c r="F122" s="14" t="s">
        <v>24</v>
      </c>
      <c r="G122" s="9" t="s">
        <v>25</v>
      </c>
      <c r="H122" s="9" t="s">
        <v>26</v>
      </c>
      <c r="I122" s="24" t="s">
        <v>27</v>
      </c>
      <c r="J122" s="6" t="s">
        <v>73</v>
      </c>
      <c r="K122" s="9">
        <v>200</v>
      </c>
      <c r="L122" s="14">
        <v>1600000</v>
      </c>
      <c r="M122" s="6">
        <v>0</v>
      </c>
      <c r="N122" s="6">
        <v>0</v>
      </c>
      <c r="O122" s="15" t="s">
        <v>74</v>
      </c>
      <c r="P122" s="6">
        <v>0</v>
      </c>
      <c r="Q122" s="14">
        <v>1600000</v>
      </c>
      <c r="R122" s="14"/>
      <c r="S122" s="14">
        <v>1</v>
      </c>
      <c r="T122" s="14">
        <v>800000</v>
      </c>
      <c r="U122" s="14">
        <v>400000</v>
      </c>
      <c r="V122" s="14">
        <v>200000</v>
      </c>
      <c r="W122" s="14">
        <v>200000</v>
      </c>
      <c r="X122" s="14"/>
      <c r="Y122" s="14"/>
      <c r="Z122" s="14"/>
      <c r="AA122" s="14"/>
      <c r="AB122" s="14">
        <v>800000</v>
      </c>
      <c r="AC122" s="14">
        <v>400000</v>
      </c>
      <c r="AD122" s="14">
        <v>1200000</v>
      </c>
      <c r="AE122" s="14"/>
      <c r="AF122" s="14">
        <v>0</v>
      </c>
      <c r="AG122" s="14">
        <v>2</v>
      </c>
      <c r="AH122" s="14">
        <v>400000</v>
      </c>
      <c r="AI122" s="14">
        <v>1200000</v>
      </c>
      <c r="AJ122" s="14">
        <v>400000</v>
      </c>
      <c r="AK122" s="14">
        <v>0</v>
      </c>
      <c r="AL122" s="14">
        <v>0</v>
      </c>
      <c r="AM122" s="14">
        <v>0</v>
      </c>
      <c r="AN122" s="14">
        <v>0</v>
      </c>
      <c r="AO122" s="14">
        <v>0</v>
      </c>
      <c r="AP122" s="14">
        <v>0</v>
      </c>
      <c r="AQ122" s="14">
        <v>1600000</v>
      </c>
    </row>
    <row r="123" s="1" customFormat="1" ht="52" customHeight="1" spans="1:43">
      <c r="A123" s="5" t="s">
        <v>229</v>
      </c>
      <c r="B123" s="6" t="s">
        <v>228</v>
      </c>
      <c r="C123" s="26" t="s">
        <v>22</v>
      </c>
      <c r="D123" s="6"/>
      <c r="E123" s="14" t="s">
        <v>23</v>
      </c>
      <c r="F123" s="14" t="s">
        <v>24</v>
      </c>
      <c r="G123" s="9" t="s">
        <v>25</v>
      </c>
      <c r="H123" s="9" t="s">
        <v>26</v>
      </c>
      <c r="I123" s="24" t="s">
        <v>27</v>
      </c>
      <c r="J123" s="6" t="s">
        <v>73</v>
      </c>
      <c r="K123" s="9">
        <v>200</v>
      </c>
      <c r="L123" s="14">
        <v>1200000</v>
      </c>
      <c r="M123" s="6">
        <v>0</v>
      </c>
      <c r="N123" s="6">
        <v>0</v>
      </c>
      <c r="O123" s="15" t="s">
        <v>74</v>
      </c>
      <c r="P123" s="6">
        <v>0</v>
      </c>
      <c r="Q123" s="14">
        <v>1200000</v>
      </c>
      <c r="R123" s="14"/>
      <c r="S123" s="14">
        <v>1</v>
      </c>
      <c r="T123" s="14">
        <v>800000</v>
      </c>
      <c r="U123" s="14">
        <v>400000</v>
      </c>
      <c r="V123" s="14">
        <v>200000</v>
      </c>
      <c r="W123" s="14">
        <v>200000</v>
      </c>
      <c r="X123" s="14"/>
      <c r="Y123" s="14"/>
      <c r="Z123" s="14"/>
      <c r="AA123" s="14"/>
      <c r="AB123" s="14">
        <v>800000</v>
      </c>
      <c r="AC123" s="14">
        <v>400000</v>
      </c>
      <c r="AD123" s="14">
        <v>1200000</v>
      </c>
      <c r="AE123" s="14"/>
      <c r="AF123" s="14">
        <v>0</v>
      </c>
      <c r="AG123" s="14">
        <v>2</v>
      </c>
      <c r="AH123" s="14">
        <v>800000</v>
      </c>
      <c r="AI123" s="14">
        <v>1200000</v>
      </c>
      <c r="AJ123" s="14">
        <v>0</v>
      </c>
      <c r="AK123" s="14">
        <v>0</v>
      </c>
      <c r="AL123" s="14">
        <v>0</v>
      </c>
      <c r="AM123" s="14">
        <v>0</v>
      </c>
      <c r="AN123" s="14">
        <v>0</v>
      </c>
      <c r="AO123" s="14">
        <v>0</v>
      </c>
      <c r="AP123" s="14">
        <v>0</v>
      </c>
      <c r="AQ123" s="14">
        <v>1200000</v>
      </c>
    </row>
    <row r="126" customHeight="1" spans="12:12">
      <c r="L126" s="36"/>
    </row>
  </sheetData>
  <mergeCells count="14">
    <mergeCell ref="B2:D2"/>
    <mergeCell ref="B13:D13"/>
    <mergeCell ref="B24:F24"/>
    <mergeCell ref="B35:F35"/>
    <mergeCell ref="B46:F46"/>
    <mergeCell ref="B62:F62"/>
    <mergeCell ref="B73:F73"/>
    <mergeCell ref="B78:D78"/>
    <mergeCell ref="B87:D87"/>
    <mergeCell ref="B91:F91"/>
    <mergeCell ref="B95:F95"/>
    <mergeCell ref="B99:F99"/>
    <mergeCell ref="B108:F108"/>
    <mergeCell ref="B112:F11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217</v>
      </c>
      <c r="B2" s="6" t="s">
        <v>218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219</v>
      </c>
      <c r="B3" s="6" t="s">
        <v>220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221</v>
      </c>
      <c r="B4" s="6" t="s">
        <v>222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230</v>
      </c>
      <c r="B5" s="6" t="s">
        <v>222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171</v>
      </c>
      <c r="K5" s="9">
        <v>200</v>
      </c>
      <c r="L5" s="14">
        <v>0</v>
      </c>
      <c r="M5" s="6">
        <v>0</v>
      </c>
      <c r="N5" s="6">
        <v>0</v>
      </c>
      <c r="O5" s="15" t="s">
        <v>74</v>
      </c>
      <c r="P5" s="6">
        <v>0</v>
      </c>
      <c r="Q5" s="14">
        <v>0</v>
      </c>
      <c r="R5" s="14" t="s">
        <v>116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225</v>
      </c>
      <c r="B6" s="6" t="s">
        <v>226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171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74</v>
      </c>
      <c r="P6" s="6">
        <v>0</v>
      </c>
      <c r="Q6" s="14">
        <v>0</v>
      </c>
      <c r="R6" s="14" t="s">
        <v>116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217</v>
      </c>
      <c r="B2" s="6" t="s">
        <v>218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219</v>
      </c>
      <c r="B3" s="6" t="s">
        <v>220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221</v>
      </c>
      <c r="B4" s="6" t="s">
        <v>222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225</v>
      </c>
      <c r="B5" s="6" t="s">
        <v>226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171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116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217</v>
      </c>
      <c r="B2" s="6" t="s">
        <v>218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219</v>
      </c>
      <c r="B3" s="6" t="s">
        <v>220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221</v>
      </c>
      <c r="B4" s="6" t="s">
        <v>222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225</v>
      </c>
      <c r="B5" s="6" t="s">
        <v>226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171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116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231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59</v>
      </c>
      <c r="W1" s="34" t="s">
        <v>19</v>
      </c>
    </row>
    <row r="2" s="1" customFormat="1" customHeight="1" spans="1:23">
      <c r="A2" s="5" t="s">
        <v>232</v>
      </c>
      <c r="B2" s="6" t="s">
        <v>218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74</v>
      </c>
      <c r="J2" s="6" t="s">
        <v>233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234</v>
      </c>
      <c r="B3" s="6" t="s">
        <v>220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74</v>
      </c>
      <c r="J3" s="6" t="s">
        <v>233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235</v>
      </c>
      <c r="B4" s="6" t="s">
        <v>222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74</v>
      </c>
      <c r="J4" s="6" t="s">
        <v>233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223</v>
      </c>
      <c r="B5" s="6" t="s">
        <v>224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74</v>
      </c>
      <c r="J5" s="6" t="s">
        <v>233</v>
      </c>
      <c r="K5" s="9">
        <v>200</v>
      </c>
      <c r="L5" s="6">
        <v>0</v>
      </c>
      <c r="M5" s="15" t="s">
        <v>74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236</v>
      </c>
      <c r="B6" s="6" t="s">
        <v>226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74</v>
      </c>
      <c r="J6" s="6" t="s">
        <v>237</v>
      </c>
      <c r="K6" s="9">
        <v>200</v>
      </c>
      <c r="L6" s="6">
        <v>2000000</v>
      </c>
      <c r="M6" s="15" t="s">
        <v>74</v>
      </c>
      <c r="N6" s="6">
        <v>0</v>
      </c>
      <c r="O6" s="14"/>
      <c r="P6" s="14" t="s">
        <v>116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231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232</v>
      </c>
      <c r="B2" s="6" t="s">
        <v>218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74</v>
      </c>
      <c r="J2" s="6" t="s">
        <v>233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234</v>
      </c>
      <c r="B3" s="6" t="s">
        <v>220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74</v>
      </c>
      <c r="J3" s="6" t="s">
        <v>233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235</v>
      </c>
      <c r="B4" s="6" t="s">
        <v>222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74</v>
      </c>
      <c r="J4" s="6" t="s">
        <v>233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230</v>
      </c>
      <c r="B5" s="6" t="s">
        <v>222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74</v>
      </c>
      <c r="J5" s="6" t="s">
        <v>237</v>
      </c>
      <c r="K5" s="9">
        <v>200</v>
      </c>
      <c r="L5" s="6">
        <v>0</v>
      </c>
      <c r="M5" s="15" t="s">
        <v>74</v>
      </c>
      <c r="N5" s="6">
        <v>0</v>
      </c>
      <c r="O5" s="14">
        <v>0</v>
      </c>
      <c r="P5" s="14" t="s">
        <v>116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236</v>
      </c>
      <c r="B6" s="6" t="s">
        <v>226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74</v>
      </c>
      <c r="J6" s="6" t="s">
        <v>237</v>
      </c>
      <c r="K6" s="9">
        <v>200</v>
      </c>
      <c r="L6" s="6">
        <v>2000000</v>
      </c>
      <c r="M6" s="15" t="s">
        <v>74</v>
      </c>
      <c r="N6" s="6">
        <v>0</v>
      </c>
      <c r="O6" s="14">
        <v>0</v>
      </c>
      <c r="P6" s="14" t="s">
        <v>116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231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232</v>
      </c>
      <c r="B2" s="6" t="s">
        <v>218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74</v>
      </c>
      <c r="J2" s="6" t="s">
        <v>233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234</v>
      </c>
      <c r="B3" s="6" t="s">
        <v>220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74</v>
      </c>
      <c r="J3" s="6" t="s">
        <v>233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235</v>
      </c>
      <c r="B4" s="6" t="s">
        <v>222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74</v>
      </c>
      <c r="J4" s="6" t="s">
        <v>233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236</v>
      </c>
      <c r="B5" s="6" t="s">
        <v>226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74</v>
      </c>
      <c r="J5" s="6" t="s">
        <v>237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116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231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232</v>
      </c>
      <c r="B2" s="6" t="s">
        <v>218</v>
      </c>
      <c r="C2" s="26" t="s">
        <v>22</v>
      </c>
      <c r="D2" s="6"/>
      <c r="E2" s="14" t="s">
        <v>23</v>
      </c>
      <c r="F2" s="14" t="s">
        <v>24</v>
      </c>
      <c r="G2" s="9" t="s">
        <v>238</v>
      </c>
      <c r="H2" s="9" t="s">
        <v>26</v>
      </c>
      <c r="I2" s="24" t="s">
        <v>74</v>
      </c>
      <c r="J2" s="6" t="s">
        <v>233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234</v>
      </c>
      <c r="B3" s="6" t="s">
        <v>220</v>
      </c>
      <c r="C3" s="26" t="s">
        <v>22</v>
      </c>
      <c r="D3" s="6"/>
      <c r="E3" s="14" t="s">
        <v>23</v>
      </c>
      <c r="F3" s="14" t="s">
        <v>24</v>
      </c>
      <c r="G3" s="9" t="s">
        <v>238</v>
      </c>
      <c r="H3" s="9" t="s">
        <v>26</v>
      </c>
      <c r="I3" s="24" t="s">
        <v>74</v>
      </c>
      <c r="J3" s="6" t="s">
        <v>233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235</v>
      </c>
      <c r="B4" s="6" t="s">
        <v>222</v>
      </c>
      <c r="C4" s="26" t="s">
        <v>22</v>
      </c>
      <c r="D4" s="6"/>
      <c r="E4" s="14" t="s">
        <v>23</v>
      </c>
      <c r="F4" s="14" t="s">
        <v>24</v>
      </c>
      <c r="G4" s="9" t="s">
        <v>238</v>
      </c>
      <c r="H4" s="9" t="s">
        <v>26</v>
      </c>
      <c r="I4" s="24" t="s">
        <v>74</v>
      </c>
      <c r="J4" s="6" t="s">
        <v>233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236</v>
      </c>
      <c r="B5" s="6" t="s">
        <v>226</v>
      </c>
      <c r="C5" s="26" t="s">
        <v>22</v>
      </c>
      <c r="D5" s="6"/>
      <c r="E5" s="14" t="s">
        <v>23</v>
      </c>
      <c r="F5" s="14" t="s">
        <v>24</v>
      </c>
      <c r="G5" s="9" t="s">
        <v>238</v>
      </c>
      <c r="H5" s="9" t="s">
        <v>26</v>
      </c>
      <c r="I5" s="24" t="s">
        <v>74</v>
      </c>
      <c r="J5" s="6" t="s">
        <v>237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116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239</v>
      </c>
      <c r="F1" s="4" t="s">
        <v>240</v>
      </c>
      <c r="G1" s="4" t="s">
        <v>241</v>
      </c>
      <c r="H1" s="4" t="s">
        <v>242</v>
      </c>
      <c r="I1" s="4" t="s">
        <v>243</v>
      </c>
      <c r="J1" s="4" t="s">
        <v>244</v>
      </c>
      <c r="K1" s="4" t="s">
        <v>245</v>
      </c>
      <c r="L1" s="27" t="s">
        <v>9</v>
      </c>
      <c r="M1" s="11" t="s">
        <v>10</v>
      </c>
      <c r="N1" s="11" t="s">
        <v>246</v>
      </c>
    </row>
    <row r="2" s="29" customFormat="1" ht="166" customHeight="1" spans="1:14">
      <c r="A2" s="6" t="s">
        <v>247</v>
      </c>
      <c r="B2" s="6" t="s">
        <v>248</v>
      </c>
      <c r="C2" s="30" t="s">
        <v>22</v>
      </c>
      <c r="D2" s="6" t="s">
        <v>249</v>
      </c>
      <c r="E2" s="14" t="s">
        <v>250</v>
      </c>
      <c r="F2" s="14" t="s">
        <v>251</v>
      </c>
      <c r="G2" s="14" t="s">
        <v>252</v>
      </c>
      <c r="H2" s="14"/>
      <c r="I2" s="14"/>
      <c r="J2" s="14"/>
      <c r="K2" s="14"/>
      <c r="L2" s="6" t="s">
        <v>253</v>
      </c>
      <c r="M2" s="14">
        <v>200</v>
      </c>
      <c r="N2" s="14">
        <v>1</v>
      </c>
    </row>
    <row r="3" s="29" customFormat="1" ht="166" customHeight="1" spans="1:14">
      <c r="A3" s="6" t="s">
        <v>254</v>
      </c>
      <c r="B3" s="6" t="s">
        <v>255</v>
      </c>
      <c r="C3" s="30" t="s">
        <v>22</v>
      </c>
      <c r="D3" s="6" t="s">
        <v>256</v>
      </c>
      <c r="E3" s="14" t="s">
        <v>250</v>
      </c>
      <c r="F3" s="14" t="s">
        <v>251</v>
      </c>
      <c r="G3" s="14" t="s">
        <v>252</v>
      </c>
      <c r="H3" s="14" t="s">
        <v>257</v>
      </c>
      <c r="I3" s="14" t="s">
        <v>252</v>
      </c>
      <c r="J3" s="14"/>
      <c r="K3" s="14"/>
      <c r="L3" s="6" t="s">
        <v>253</v>
      </c>
      <c r="M3" s="14">
        <v>200</v>
      </c>
      <c r="N3" s="14">
        <v>2</v>
      </c>
    </row>
    <row r="4" s="29" customFormat="1" ht="166" customHeight="1" spans="1:14">
      <c r="A4" s="6" t="s">
        <v>258</v>
      </c>
      <c r="B4" s="6" t="s">
        <v>259</v>
      </c>
      <c r="C4" s="30" t="s">
        <v>22</v>
      </c>
      <c r="D4" s="6" t="s">
        <v>260</v>
      </c>
      <c r="E4" s="14" t="s">
        <v>250</v>
      </c>
      <c r="F4" s="14" t="s">
        <v>251</v>
      </c>
      <c r="G4" s="14" t="s">
        <v>252</v>
      </c>
      <c r="H4" s="14" t="s">
        <v>257</v>
      </c>
      <c r="I4" s="14" t="s">
        <v>252</v>
      </c>
      <c r="J4" s="14" t="s">
        <v>261</v>
      </c>
      <c r="K4" s="14" t="s">
        <v>252</v>
      </c>
      <c r="L4" s="6" t="s">
        <v>253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262</v>
      </c>
      <c r="F1" s="4" t="s">
        <v>263</v>
      </c>
      <c r="G1" s="4" t="s">
        <v>264</v>
      </c>
      <c r="H1" s="4" t="s">
        <v>265</v>
      </c>
      <c r="I1" s="4" t="s">
        <v>266</v>
      </c>
      <c r="J1" s="4" t="s">
        <v>267</v>
      </c>
      <c r="K1" s="4" t="s">
        <v>268</v>
      </c>
      <c r="L1" s="4" t="s">
        <v>239</v>
      </c>
      <c r="M1" s="4" t="s">
        <v>269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270</v>
      </c>
      <c r="S1" s="11" t="s">
        <v>271</v>
      </c>
    </row>
    <row r="2" s="1" customFormat="1" customHeight="1" spans="1:19">
      <c r="A2" s="5" t="s">
        <v>272</v>
      </c>
      <c r="B2" s="6" t="s">
        <v>273</v>
      </c>
      <c r="C2" s="26" t="s">
        <v>22</v>
      </c>
      <c r="D2" s="6" t="s">
        <v>274</v>
      </c>
      <c r="E2" s="14" t="s">
        <v>23</v>
      </c>
      <c r="F2" s="14" t="s">
        <v>24</v>
      </c>
      <c r="G2" s="9" t="s">
        <v>275</v>
      </c>
      <c r="H2" s="17" t="s">
        <v>26</v>
      </c>
      <c r="I2" s="9" t="s">
        <v>276</v>
      </c>
      <c r="J2" s="9" t="s">
        <v>277</v>
      </c>
      <c r="K2" s="9" t="s">
        <v>278</v>
      </c>
      <c r="L2" s="14" t="s">
        <v>250</v>
      </c>
      <c r="M2" s="28" t="s">
        <v>279</v>
      </c>
      <c r="N2" s="6" t="s">
        <v>280</v>
      </c>
      <c r="O2" s="9">
        <v>200</v>
      </c>
      <c r="P2" s="24" t="s">
        <v>74</v>
      </c>
      <c r="Q2" s="24" t="s">
        <v>74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281</v>
      </c>
      <c r="F1" s="22" t="s">
        <v>262</v>
      </c>
      <c r="G1" s="22" t="s">
        <v>263</v>
      </c>
      <c r="H1" s="22" t="s">
        <v>282</v>
      </c>
      <c r="I1" s="22" t="s">
        <v>283</v>
      </c>
      <c r="J1" s="22" t="s">
        <v>267</v>
      </c>
      <c r="K1" s="22" t="s">
        <v>266</v>
      </c>
      <c r="L1" s="22" t="s">
        <v>268</v>
      </c>
      <c r="M1" s="22" t="s">
        <v>284</v>
      </c>
      <c r="N1" s="22" t="s">
        <v>285</v>
      </c>
      <c r="O1" s="22" t="s">
        <v>286</v>
      </c>
      <c r="P1" s="23" t="s">
        <v>287</v>
      </c>
      <c r="Q1" s="22" t="s">
        <v>288</v>
      </c>
      <c r="R1" s="23" t="s">
        <v>289</v>
      </c>
      <c r="S1" s="19" t="s">
        <v>290</v>
      </c>
      <c r="T1" s="19" t="s">
        <v>291</v>
      </c>
      <c r="U1" s="19" t="s">
        <v>292</v>
      </c>
      <c r="V1" s="19" t="s">
        <v>293</v>
      </c>
      <c r="W1" s="19" t="s">
        <v>294</v>
      </c>
      <c r="X1" s="25" t="s">
        <v>295</v>
      </c>
      <c r="Y1" s="19" t="s">
        <v>296</v>
      </c>
      <c r="Z1" s="19" t="s">
        <v>297</v>
      </c>
      <c r="AA1" s="25" t="s">
        <v>298</v>
      </c>
      <c r="AB1" s="23" t="s">
        <v>299</v>
      </c>
      <c r="AC1" s="10" t="s">
        <v>9</v>
      </c>
      <c r="AD1" s="11" t="s">
        <v>10</v>
      </c>
      <c r="AE1" s="12" t="s">
        <v>41</v>
      </c>
      <c r="AF1" s="11" t="s">
        <v>270</v>
      </c>
    </row>
    <row r="2" s="1" customFormat="1" ht="69" customHeight="1" spans="1:32">
      <c r="A2" s="5" t="s">
        <v>300</v>
      </c>
      <c r="B2" s="6" t="s">
        <v>301</v>
      </c>
      <c r="C2" s="7" t="s">
        <v>22</v>
      </c>
      <c r="D2" s="8" t="s">
        <v>302</v>
      </c>
      <c r="E2" s="9" t="s">
        <v>303</v>
      </c>
      <c r="F2" s="5" t="s">
        <v>23</v>
      </c>
      <c r="G2" s="5" t="s">
        <v>24</v>
      </c>
      <c r="H2" s="9" t="s">
        <v>250</v>
      </c>
      <c r="I2" s="5" t="s">
        <v>304</v>
      </c>
      <c r="J2" s="5" t="s">
        <v>277</v>
      </c>
      <c r="K2" s="5" t="s">
        <v>276</v>
      </c>
      <c r="L2" s="5" t="s">
        <v>278</v>
      </c>
      <c r="M2" s="5" t="s">
        <v>305</v>
      </c>
      <c r="N2" s="5" t="s">
        <v>306</v>
      </c>
      <c r="O2" s="5" t="s">
        <v>307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308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309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310</v>
      </c>
      <c r="B3" s="6" t="s">
        <v>311</v>
      </c>
      <c r="C3" s="7" t="s">
        <v>22</v>
      </c>
      <c r="D3" s="8" t="s">
        <v>302</v>
      </c>
      <c r="E3" s="9" t="s">
        <v>303</v>
      </c>
      <c r="F3" s="5" t="s">
        <v>23</v>
      </c>
      <c r="G3" s="5" t="s">
        <v>24</v>
      </c>
      <c r="H3" s="9" t="s">
        <v>250</v>
      </c>
      <c r="I3" s="5" t="s">
        <v>304</v>
      </c>
      <c r="J3" s="5" t="s">
        <v>277</v>
      </c>
      <c r="K3" s="5" t="s">
        <v>276</v>
      </c>
      <c r="L3" s="5" t="s">
        <v>278</v>
      </c>
      <c r="M3" s="5" t="s">
        <v>305</v>
      </c>
      <c r="N3" s="5" t="s">
        <v>306</v>
      </c>
      <c r="O3" s="5" t="s">
        <v>307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308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309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312</v>
      </c>
      <c r="B4" s="6" t="s">
        <v>313</v>
      </c>
      <c r="C4" s="7" t="s">
        <v>22</v>
      </c>
      <c r="D4" s="8" t="s">
        <v>302</v>
      </c>
      <c r="E4" s="9" t="s">
        <v>303</v>
      </c>
      <c r="F4" s="5" t="s">
        <v>23</v>
      </c>
      <c r="G4" s="5" t="s">
        <v>24</v>
      </c>
      <c r="H4" s="9" t="s">
        <v>250</v>
      </c>
      <c r="I4" s="5" t="s">
        <v>304</v>
      </c>
      <c r="J4" s="5" t="s">
        <v>277</v>
      </c>
      <c r="K4" s="5" t="s">
        <v>276</v>
      </c>
      <c r="L4" s="5" t="s">
        <v>278</v>
      </c>
      <c r="M4" s="5" t="s">
        <v>305</v>
      </c>
      <c r="N4" s="5" t="s">
        <v>306</v>
      </c>
      <c r="O4" s="5" t="s">
        <v>307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308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309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314</v>
      </c>
      <c r="B5" s="6" t="s">
        <v>315</v>
      </c>
      <c r="C5" s="7" t="s">
        <v>22</v>
      </c>
      <c r="D5" s="8" t="s">
        <v>302</v>
      </c>
      <c r="E5" s="9" t="s">
        <v>303</v>
      </c>
      <c r="F5" s="5" t="s">
        <v>23</v>
      </c>
      <c r="G5" s="5" t="s">
        <v>24</v>
      </c>
      <c r="H5" s="9" t="s">
        <v>250</v>
      </c>
      <c r="I5" s="5" t="s">
        <v>304</v>
      </c>
      <c r="J5" s="5" t="s">
        <v>277</v>
      </c>
      <c r="K5" s="5" t="s">
        <v>276</v>
      </c>
      <c r="L5" s="5" t="s">
        <v>278</v>
      </c>
      <c r="M5" s="5" t="s">
        <v>305</v>
      </c>
      <c r="N5" s="5" t="s">
        <v>306</v>
      </c>
      <c r="O5" s="5" t="s">
        <v>307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308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309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316</v>
      </c>
      <c r="B6" s="6" t="s">
        <v>317</v>
      </c>
      <c r="C6" s="7" t="s">
        <v>22</v>
      </c>
      <c r="D6" s="8" t="s">
        <v>302</v>
      </c>
      <c r="E6" s="9" t="s">
        <v>303</v>
      </c>
      <c r="F6" s="5" t="s">
        <v>23</v>
      </c>
      <c r="G6" s="5" t="s">
        <v>24</v>
      </c>
      <c r="H6" s="9" t="s">
        <v>250</v>
      </c>
      <c r="I6" s="5" t="s">
        <v>304</v>
      </c>
      <c r="J6" s="5" t="s">
        <v>277</v>
      </c>
      <c r="K6" s="5" t="s">
        <v>276</v>
      </c>
      <c r="L6" s="5" t="s">
        <v>278</v>
      </c>
      <c r="M6" s="5" t="s">
        <v>305</v>
      </c>
      <c r="N6" s="5" t="s">
        <v>306</v>
      </c>
      <c r="O6" s="5" t="s">
        <v>307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308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309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281</v>
      </c>
      <c r="F1" s="22" t="s">
        <v>262</v>
      </c>
      <c r="G1" s="22" t="s">
        <v>263</v>
      </c>
      <c r="H1" s="22" t="s">
        <v>282</v>
      </c>
      <c r="I1" s="22" t="s">
        <v>283</v>
      </c>
      <c r="J1" s="22" t="s">
        <v>267</v>
      </c>
      <c r="K1" s="22" t="s">
        <v>266</v>
      </c>
      <c r="L1" s="22" t="s">
        <v>268</v>
      </c>
      <c r="M1" s="22" t="s">
        <v>284</v>
      </c>
      <c r="N1" s="22" t="s">
        <v>285</v>
      </c>
      <c r="O1" s="22" t="s">
        <v>286</v>
      </c>
      <c r="P1" s="23" t="s">
        <v>287</v>
      </c>
      <c r="Q1" s="22" t="s">
        <v>288</v>
      </c>
      <c r="R1" s="23" t="s">
        <v>289</v>
      </c>
      <c r="S1" s="19" t="s">
        <v>290</v>
      </c>
      <c r="T1" s="19" t="s">
        <v>291</v>
      </c>
      <c r="U1" s="19" t="s">
        <v>292</v>
      </c>
      <c r="V1" s="19" t="s">
        <v>293</v>
      </c>
      <c r="W1" s="19" t="s">
        <v>294</v>
      </c>
      <c r="X1" s="25" t="s">
        <v>295</v>
      </c>
      <c r="Y1" s="19" t="s">
        <v>296</v>
      </c>
      <c r="Z1" s="19" t="s">
        <v>297</v>
      </c>
      <c r="AA1" s="25" t="s">
        <v>298</v>
      </c>
      <c r="AB1" s="23" t="s">
        <v>299</v>
      </c>
      <c r="AC1" s="10" t="s">
        <v>9</v>
      </c>
      <c r="AD1" s="11" t="s">
        <v>10</v>
      </c>
      <c r="AE1" s="12" t="s">
        <v>41</v>
      </c>
      <c r="AF1" s="11" t="s">
        <v>270</v>
      </c>
    </row>
    <row r="2" s="1" customFormat="1" ht="69" customHeight="1" spans="1:32">
      <c r="A2" s="5" t="s">
        <v>318</v>
      </c>
      <c r="B2" s="6" t="s">
        <v>301</v>
      </c>
      <c r="C2" s="7" t="s">
        <v>22</v>
      </c>
      <c r="D2" s="8" t="s">
        <v>302</v>
      </c>
      <c r="E2" s="9" t="s">
        <v>303</v>
      </c>
      <c r="F2" s="5" t="s">
        <v>23</v>
      </c>
      <c r="G2" s="5" t="s">
        <v>24</v>
      </c>
      <c r="H2" s="9" t="s">
        <v>251</v>
      </c>
      <c r="I2" s="5" t="s">
        <v>319</v>
      </c>
      <c r="J2" s="5" t="s">
        <v>320</v>
      </c>
      <c r="K2" s="5" t="s">
        <v>321</v>
      </c>
      <c r="L2" s="5" t="s">
        <v>322</v>
      </c>
      <c r="M2" s="5" t="s">
        <v>323</v>
      </c>
      <c r="N2" s="5" t="s">
        <v>324</v>
      </c>
      <c r="O2" s="5" t="s">
        <v>325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308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309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326</v>
      </c>
      <c r="B3" s="6" t="s">
        <v>311</v>
      </c>
      <c r="C3" s="7" t="s">
        <v>22</v>
      </c>
      <c r="D3" s="8" t="s">
        <v>302</v>
      </c>
      <c r="E3" s="9" t="s">
        <v>303</v>
      </c>
      <c r="F3" s="5" t="s">
        <v>23</v>
      </c>
      <c r="G3" s="5" t="s">
        <v>24</v>
      </c>
      <c r="H3" s="9" t="s">
        <v>251</v>
      </c>
      <c r="I3" s="5" t="s">
        <v>319</v>
      </c>
      <c r="J3" s="5" t="s">
        <v>320</v>
      </c>
      <c r="K3" s="5" t="s">
        <v>321</v>
      </c>
      <c r="L3" s="5" t="s">
        <v>322</v>
      </c>
      <c r="M3" s="5" t="s">
        <v>323</v>
      </c>
      <c r="N3" s="5" t="s">
        <v>324</v>
      </c>
      <c r="O3" s="5" t="s">
        <v>325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308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309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327</v>
      </c>
      <c r="B4" s="6" t="s">
        <v>313</v>
      </c>
      <c r="C4" s="7" t="s">
        <v>22</v>
      </c>
      <c r="D4" s="8" t="s">
        <v>302</v>
      </c>
      <c r="E4" s="9" t="s">
        <v>303</v>
      </c>
      <c r="F4" s="5" t="s">
        <v>23</v>
      </c>
      <c r="G4" s="5" t="s">
        <v>24</v>
      </c>
      <c r="H4" s="9" t="s">
        <v>251</v>
      </c>
      <c r="I4" s="5" t="s">
        <v>319</v>
      </c>
      <c r="J4" s="5" t="s">
        <v>320</v>
      </c>
      <c r="K4" s="5" t="s">
        <v>321</v>
      </c>
      <c r="L4" s="5" t="s">
        <v>322</v>
      </c>
      <c r="M4" s="5" t="s">
        <v>323</v>
      </c>
      <c r="N4" s="5" t="s">
        <v>324</v>
      </c>
      <c r="O4" s="5" t="s">
        <v>325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308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309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328</v>
      </c>
      <c r="B5" s="6" t="s">
        <v>315</v>
      </c>
      <c r="C5" s="7" t="s">
        <v>22</v>
      </c>
      <c r="D5" s="8" t="s">
        <v>302</v>
      </c>
      <c r="E5" s="9" t="s">
        <v>303</v>
      </c>
      <c r="F5" s="5" t="s">
        <v>23</v>
      </c>
      <c r="G5" s="5" t="s">
        <v>24</v>
      </c>
      <c r="H5" s="9" t="s">
        <v>251</v>
      </c>
      <c r="I5" s="5" t="s">
        <v>319</v>
      </c>
      <c r="J5" s="5" t="s">
        <v>320</v>
      </c>
      <c r="K5" s="5" t="s">
        <v>321</v>
      </c>
      <c r="L5" s="5" t="s">
        <v>322</v>
      </c>
      <c r="M5" s="5" t="s">
        <v>323</v>
      </c>
      <c r="N5" s="5" t="s">
        <v>324</v>
      </c>
      <c r="O5" s="5" t="s">
        <v>325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308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309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329</v>
      </c>
      <c r="B6" s="6" t="s">
        <v>317</v>
      </c>
      <c r="C6" s="7" t="s">
        <v>22</v>
      </c>
      <c r="D6" s="8" t="s">
        <v>302</v>
      </c>
      <c r="E6" s="9" t="s">
        <v>303</v>
      </c>
      <c r="F6" s="5" t="s">
        <v>23</v>
      </c>
      <c r="G6" s="5" t="s">
        <v>24</v>
      </c>
      <c r="H6" s="9" t="s">
        <v>251</v>
      </c>
      <c r="I6" s="5" t="s">
        <v>319</v>
      </c>
      <c r="J6" s="5" t="s">
        <v>320</v>
      </c>
      <c r="K6" s="5" t="s">
        <v>321</v>
      </c>
      <c r="L6" s="5" t="s">
        <v>322</v>
      </c>
      <c r="M6" s="5" t="s">
        <v>323</v>
      </c>
      <c r="N6" s="5" t="s">
        <v>324</v>
      </c>
      <c r="O6" s="5" t="s">
        <v>325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308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309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281</v>
      </c>
      <c r="F1" s="22" t="s">
        <v>262</v>
      </c>
      <c r="G1" s="22" t="s">
        <v>263</v>
      </c>
      <c r="H1" s="22" t="s">
        <v>282</v>
      </c>
      <c r="I1" s="22" t="s">
        <v>283</v>
      </c>
      <c r="J1" s="22" t="s">
        <v>267</v>
      </c>
      <c r="K1" s="22" t="s">
        <v>266</v>
      </c>
      <c r="L1" s="22" t="s">
        <v>268</v>
      </c>
      <c r="M1" s="22" t="s">
        <v>284</v>
      </c>
      <c r="N1" s="22" t="s">
        <v>285</v>
      </c>
      <c r="O1" s="22" t="s">
        <v>286</v>
      </c>
      <c r="P1" s="23" t="s">
        <v>287</v>
      </c>
      <c r="Q1" s="22" t="s">
        <v>288</v>
      </c>
      <c r="R1" s="23" t="s">
        <v>289</v>
      </c>
      <c r="S1" s="19" t="s">
        <v>290</v>
      </c>
      <c r="T1" s="19" t="s">
        <v>291</v>
      </c>
      <c r="U1" s="19" t="s">
        <v>292</v>
      </c>
      <c r="V1" s="19" t="s">
        <v>293</v>
      </c>
      <c r="W1" s="19" t="s">
        <v>294</v>
      </c>
      <c r="X1" s="25" t="s">
        <v>295</v>
      </c>
      <c r="Y1" s="19" t="s">
        <v>296</v>
      </c>
      <c r="Z1" s="19" t="s">
        <v>297</v>
      </c>
      <c r="AA1" s="25" t="s">
        <v>298</v>
      </c>
      <c r="AB1" s="23" t="s">
        <v>299</v>
      </c>
      <c r="AC1" s="10" t="s">
        <v>9</v>
      </c>
      <c r="AD1" s="11" t="s">
        <v>10</v>
      </c>
      <c r="AE1" s="12" t="s">
        <v>41</v>
      </c>
      <c r="AF1" s="11" t="s">
        <v>270</v>
      </c>
    </row>
    <row r="2" s="1" customFormat="1" ht="69" customHeight="1" spans="1:32">
      <c r="A2" s="5" t="s">
        <v>330</v>
      </c>
      <c r="B2" s="6" t="s">
        <v>301</v>
      </c>
      <c r="C2" s="7" t="s">
        <v>22</v>
      </c>
      <c r="D2" s="8" t="s">
        <v>302</v>
      </c>
      <c r="E2" s="9" t="s">
        <v>303</v>
      </c>
      <c r="F2" s="5" t="s">
        <v>23</v>
      </c>
      <c r="G2" s="5" t="s">
        <v>24</v>
      </c>
      <c r="H2" s="9" t="s">
        <v>257</v>
      </c>
      <c r="I2" s="5" t="s">
        <v>331</v>
      </c>
      <c r="J2" s="5" t="s">
        <v>332</v>
      </c>
      <c r="K2" s="5" t="s">
        <v>333</v>
      </c>
      <c r="L2" s="5" t="s">
        <v>334</v>
      </c>
      <c r="M2" s="5" t="s">
        <v>335</v>
      </c>
      <c r="N2" s="5" t="s">
        <v>336</v>
      </c>
      <c r="O2" s="5" t="s">
        <v>337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308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309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338</v>
      </c>
      <c r="B3" s="6" t="s">
        <v>311</v>
      </c>
      <c r="C3" s="7" t="s">
        <v>22</v>
      </c>
      <c r="D3" s="8" t="s">
        <v>302</v>
      </c>
      <c r="E3" s="9" t="s">
        <v>303</v>
      </c>
      <c r="F3" s="5" t="s">
        <v>23</v>
      </c>
      <c r="G3" s="5" t="s">
        <v>24</v>
      </c>
      <c r="H3" s="9" t="s">
        <v>257</v>
      </c>
      <c r="I3" s="5" t="s">
        <v>331</v>
      </c>
      <c r="J3" s="5" t="s">
        <v>332</v>
      </c>
      <c r="K3" s="5" t="s">
        <v>333</v>
      </c>
      <c r="L3" s="5" t="s">
        <v>334</v>
      </c>
      <c r="M3" s="5" t="s">
        <v>335</v>
      </c>
      <c r="N3" s="5" t="s">
        <v>336</v>
      </c>
      <c r="O3" s="5" t="s">
        <v>337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308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309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339</v>
      </c>
      <c r="B4" s="6" t="s">
        <v>313</v>
      </c>
      <c r="C4" s="7" t="s">
        <v>22</v>
      </c>
      <c r="D4" s="8" t="s">
        <v>302</v>
      </c>
      <c r="E4" s="9" t="s">
        <v>303</v>
      </c>
      <c r="F4" s="5" t="s">
        <v>23</v>
      </c>
      <c r="G4" s="5" t="s">
        <v>24</v>
      </c>
      <c r="H4" s="9" t="s">
        <v>257</v>
      </c>
      <c r="I4" s="5" t="s">
        <v>331</v>
      </c>
      <c r="J4" s="5" t="s">
        <v>332</v>
      </c>
      <c r="K4" s="5" t="s">
        <v>333</v>
      </c>
      <c r="L4" s="5" t="s">
        <v>334</v>
      </c>
      <c r="M4" s="5" t="s">
        <v>335</v>
      </c>
      <c r="N4" s="5" t="s">
        <v>336</v>
      </c>
      <c r="O4" s="5" t="s">
        <v>337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308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309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340</v>
      </c>
      <c r="B5" s="6" t="s">
        <v>315</v>
      </c>
      <c r="C5" s="7" t="s">
        <v>22</v>
      </c>
      <c r="D5" s="8" t="s">
        <v>302</v>
      </c>
      <c r="E5" s="9" t="s">
        <v>303</v>
      </c>
      <c r="F5" s="5" t="s">
        <v>23</v>
      </c>
      <c r="G5" s="5" t="s">
        <v>24</v>
      </c>
      <c r="H5" s="9" t="s">
        <v>257</v>
      </c>
      <c r="I5" s="5" t="s">
        <v>331</v>
      </c>
      <c r="J5" s="5" t="s">
        <v>332</v>
      </c>
      <c r="K5" s="5" t="s">
        <v>333</v>
      </c>
      <c r="L5" s="5" t="s">
        <v>334</v>
      </c>
      <c r="M5" s="5" t="s">
        <v>335</v>
      </c>
      <c r="N5" s="5" t="s">
        <v>336</v>
      </c>
      <c r="O5" s="5" t="s">
        <v>337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308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309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341</v>
      </c>
      <c r="B6" s="6" t="s">
        <v>317</v>
      </c>
      <c r="C6" s="7" t="s">
        <v>22</v>
      </c>
      <c r="D6" s="8" t="s">
        <v>302</v>
      </c>
      <c r="E6" s="9" t="s">
        <v>303</v>
      </c>
      <c r="F6" s="5" t="s">
        <v>23</v>
      </c>
      <c r="G6" s="5" t="s">
        <v>24</v>
      </c>
      <c r="H6" s="9" t="s">
        <v>257</v>
      </c>
      <c r="I6" s="5" t="s">
        <v>331</v>
      </c>
      <c r="J6" s="5" t="s">
        <v>332</v>
      </c>
      <c r="K6" s="5" t="s">
        <v>333</v>
      </c>
      <c r="L6" s="5" t="s">
        <v>334</v>
      </c>
      <c r="M6" s="5" t="s">
        <v>335</v>
      </c>
      <c r="N6" s="5" t="s">
        <v>336</v>
      </c>
      <c r="O6" s="5" t="s">
        <v>337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308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309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281</v>
      </c>
      <c r="F1" s="22" t="s">
        <v>262</v>
      </c>
      <c r="G1" s="22" t="s">
        <v>263</v>
      </c>
      <c r="H1" s="22" t="s">
        <v>282</v>
      </c>
      <c r="I1" s="22" t="s">
        <v>283</v>
      </c>
      <c r="J1" s="22" t="s">
        <v>267</v>
      </c>
      <c r="K1" s="22" t="s">
        <v>266</v>
      </c>
      <c r="L1" s="22" t="s">
        <v>268</v>
      </c>
      <c r="M1" s="22" t="s">
        <v>284</v>
      </c>
      <c r="N1" s="22" t="s">
        <v>285</v>
      </c>
      <c r="O1" s="22" t="s">
        <v>286</v>
      </c>
      <c r="P1" s="23" t="s">
        <v>287</v>
      </c>
      <c r="Q1" s="22" t="s">
        <v>288</v>
      </c>
      <c r="R1" s="23" t="s">
        <v>289</v>
      </c>
      <c r="S1" s="19" t="s">
        <v>290</v>
      </c>
      <c r="T1" s="19" t="s">
        <v>291</v>
      </c>
      <c r="U1" s="19" t="s">
        <v>292</v>
      </c>
      <c r="V1" s="19" t="s">
        <v>293</v>
      </c>
      <c r="W1" s="19" t="s">
        <v>294</v>
      </c>
      <c r="X1" s="25" t="s">
        <v>295</v>
      </c>
      <c r="Y1" s="19" t="s">
        <v>296</v>
      </c>
      <c r="Z1" s="19" t="s">
        <v>297</v>
      </c>
      <c r="AA1" s="25" t="s">
        <v>298</v>
      </c>
      <c r="AB1" s="23" t="s">
        <v>299</v>
      </c>
      <c r="AC1" s="10" t="s">
        <v>9</v>
      </c>
      <c r="AD1" s="11" t="s">
        <v>10</v>
      </c>
      <c r="AE1" s="12" t="s">
        <v>41</v>
      </c>
      <c r="AF1" s="11" t="s">
        <v>270</v>
      </c>
    </row>
    <row r="2" s="1" customFormat="1" ht="69" customHeight="1" spans="1:32">
      <c r="A2" s="5" t="s">
        <v>342</v>
      </c>
      <c r="B2" s="6" t="s">
        <v>301</v>
      </c>
      <c r="C2" s="7" t="s">
        <v>22</v>
      </c>
      <c r="D2" s="8" t="s">
        <v>302</v>
      </c>
      <c r="E2" s="9" t="s">
        <v>303</v>
      </c>
      <c r="F2" s="5" t="s">
        <v>23</v>
      </c>
      <c r="G2" s="5" t="s">
        <v>24</v>
      </c>
      <c r="H2" s="9" t="s">
        <v>261</v>
      </c>
      <c r="I2" s="5" t="s">
        <v>343</v>
      </c>
      <c r="J2" s="5" t="s">
        <v>344</v>
      </c>
      <c r="K2" s="5" t="s">
        <v>345</v>
      </c>
      <c r="L2" s="5" t="s">
        <v>346</v>
      </c>
      <c r="M2" s="5" t="s">
        <v>347</v>
      </c>
      <c r="N2" s="5" t="s">
        <v>348</v>
      </c>
      <c r="O2" s="5" t="s">
        <v>349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308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309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350</v>
      </c>
      <c r="B3" s="6" t="s">
        <v>311</v>
      </c>
      <c r="C3" s="7" t="s">
        <v>22</v>
      </c>
      <c r="D3" s="8" t="s">
        <v>302</v>
      </c>
      <c r="E3" s="9" t="s">
        <v>303</v>
      </c>
      <c r="F3" s="5" t="s">
        <v>23</v>
      </c>
      <c r="G3" s="5" t="s">
        <v>24</v>
      </c>
      <c r="H3" s="9" t="s">
        <v>261</v>
      </c>
      <c r="I3" s="5" t="s">
        <v>343</v>
      </c>
      <c r="J3" s="5" t="s">
        <v>344</v>
      </c>
      <c r="K3" s="5" t="s">
        <v>345</v>
      </c>
      <c r="L3" s="5" t="s">
        <v>346</v>
      </c>
      <c r="M3" s="5" t="s">
        <v>347</v>
      </c>
      <c r="N3" s="5" t="s">
        <v>348</v>
      </c>
      <c r="O3" s="5" t="s">
        <v>349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308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309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351</v>
      </c>
      <c r="B4" s="6" t="s">
        <v>313</v>
      </c>
      <c r="C4" s="7" t="s">
        <v>22</v>
      </c>
      <c r="D4" s="8" t="s">
        <v>302</v>
      </c>
      <c r="E4" s="9" t="s">
        <v>303</v>
      </c>
      <c r="F4" s="5" t="s">
        <v>23</v>
      </c>
      <c r="G4" s="5" t="s">
        <v>24</v>
      </c>
      <c r="H4" s="9" t="s">
        <v>261</v>
      </c>
      <c r="I4" s="5" t="s">
        <v>343</v>
      </c>
      <c r="J4" s="5" t="s">
        <v>344</v>
      </c>
      <c r="K4" s="5" t="s">
        <v>345</v>
      </c>
      <c r="L4" s="5" t="s">
        <v>346</v>
      </c>
      <c r="M4" s="5" t="s">
        <v>347</v>
      </c>
      <c r="N4" s="5" t="s">
        <v>348</v>
      </c>
      <c r="O4" s="5" t="s">
        <v>349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308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309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352</v>
      </c>
      <c r="B5" s="6" t="s">
        <v>315</v>
      </c>
      <c r="C5" s="7" t="s">
        <v>22</v>
      </c>
      <c r="D5" s="8" t="s">
        <v>302</v>
      </c>
      <c r="E5" s="9" t="s">
        <v>303</v>
      </c>
      <c r="F5" s="5" t="s">
        <v>23</v>
      </c>
      <c r="G5" s="5" t="s">
        <v>24</v>
      </c>
      <c r="H5" s="9" t="s">
        <v>261</v>
      </c>
      <c r="I5" s="5" t="s">
        <v>343</v>
      </c>
      <c r="J5" s="5" t="s">
        <v>344</v>
      </c>
      <c r="K5" s="5" t="s">
        <v>345</v>
      </c>
      <c r="L5" s="5" t="s">
        <v>346</v>
      </c>
      <c r="M5" s="5" t="s">
        <v>347</v>
      </c>
      <c r="N5" s="5" t="s">
        <v>348</v>
      </c>
      <c r="O5" s="5" t="s">
        <v>349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308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309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353</v>
      </c>
      <c r="B6" s="6" t="s">
        <v>317</v>
      </c>
      <c r="C6" s="7" t="s">
        <v>22</v>
      </c>
      <c r="D6" s="8" t="s">
        <v>302</v>
      </c>
      <c r="E6" s="9" t="s">
        <v>303</v>
      </c>
      <c r="F6" s="5" t="s">
        <v>23</v>
      </c>
      <c r="G6" s="5" t="s">
        <v>24</v>
      </c>
      <c r="H6" s="9" t="s">
        <v>261</v>
      </c>
      <c r="I6" s="5" t="s">
        <v>343</v>
      </c>
      <c r="J6" s="5" t="s">
        <v>344</v>
      </c>
      <c r="K6" s="5" t="s">
        <v>345</v>
      </c>
      <c r="L6" s="5" t="s">
        <v>346</v>
      </c>
      <c r="M6" s="5" t="s">
        <v>347</v>
      </c>
      <c r="N6" s="5" t="s">
        <v>348</v>
      </c>
      <c r="O6" s="5" t="s">
        <v>349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308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309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239</v>
      </c>
      <c r="F1" s="18" t="s">
        <v>264</v>
      </c>
      <c r="G1" s="18" t="s">
        <v>354</v>
      </c>
      <c r="H1" s="18" t="s">
        <v>355</v>
      </c>
      <c r="I1" s="18" t="s">
        <v>356</v>
      </c>
      <c r="J1" s="18" t="s">
        <v>357</v>
      </c>
      <c r="K1" s="18" t="s">
        <v>358</v>
      </c>
      <c r="L1" s="18" t="s">
        <v>359</v>
      </c>
      <c r="M1" s="18" t="s">
        <v>360</v>
      </c>
      <c r="N1" s="18" t="s">
        <v>361</v>
      </c>
      <c r="O1" s="18" t="s">
        <v>362</v>
      </c>
      <c r="P1" s="18" t="s">
        <v>363</v>
      </c>
      <c r="Q1" s="18" t="s">
        <v>364</v>
      </c>
      <c r="R1" s="18" t="s">
        <v>365</v>
      </c>
      <c r="S1" s="18" t="s">
        <v>366</v>
      </c>
      <c r="T1" s="18" t="s">
        <v>367</v>
      </c>
      <c r="U1" s="18" t="s">
        <v>368</v>
      </c>
      <c r="V1" s="18" t="s">
        <v>369</v>
      </c>
      <c r="W1" s="18" t="s">
        <v>370</v>
      </c>
      <c r="X1" s="18" t="s">
        <v>371</v>
      </c>
      <c r="Y1" s="18" t="s">
        <v>372</v>
      </c>
      <c r="Z1" s="19" t="s">
        <v>373</v>
      </c>
      <c r="AA1" s="19" t="s">
        <v>374</v>
      </c>
      <c r="AB1" s="19" t="s">
        <v>375</v>
      </c>
      <c r="AC1" s="19" t="s">
        <v>376</v>
      </c>
      <c r="AD1" s="19" t="s">
        <v>377</v>
      </c>
      <c r="AE1" s="19" t="s">
        <v>378</v>
      </c>
      <c r="AF1" s="19" t="s">
        <v>379</v>
      </c>
      <c r="AG1" s="19" t="s">
        <v>380</v>
      </c>
      <c r="AH1" s="19" t="s">
        <v>381</v>
      </c>
      <c r="AI1" s="19" t="s">
        <v>382</v>
      </c>
      <c r="AJ1" s="19" t="s">
        <v>383</v>
      </c>
      <c r="AK1" s="19" t="s">
        <v>384</v>
      </c>
      <c r="AL1" s="19" t="s">
        <v>385</v>
      </c>
      <c r="AM1" s="19" t="s">
        <v>386</v>
      </c>
      <c r="AN1" s="19" t="s">
        <v>387</v>
      </c>
      <c r="AO1" s="19" t="s">
        <v>388</v>
      </c>
      <c r="AP1" s="18" t="s">
        <v>389</v>
      </c>
      <c r="AQ1" s="18" t="s">
        <v>390</v>
      </c>
      <c r="AR1" s="20" t="s">
        <v>391</v>
      </c>
      <c r="AS1" s="10" t="s">
        <v>9</v>
      </c>
      <c r="AT1" s="11" t="s">
        <v>10</v>
      </c>
      <c r="AU1" s="12" t="s">
        <v>392</v>
      </c>
    </row>
    <row r="2" s="1" customFormat="1" ht="69" customHeight="1" spans="1:47">
      <c r="A2" s="5" t="s">
        <v>393</v>
      </c>
      <c r="B2" s="6" t="s">
        <v>394</v>
      </c>
      <c r="C2" s="7" t="s">
        <v>22</v>
      </c>
      <c r="D2" s="8" t="s">
        <v>395</v>
      </c>
      <c r="E2" s="9" t="s">
        <v>250</v>
      </c>
      <c r="F2" s="9" t="s">
        <v>275</v>
      </c>
      <c r="G2" s="9" t="s">
        <v>396</v>
      </c>
      <c r="H2" s="9" t="s">
        <v>397</v>
      </c>
      <c r="I2" s="5"/>
      <c r="J2" s="5" t="s">
        <v>398</v>
      </c>
      <c r="K2" s="5">
        <v>1600000</v>
      </c>
      <c r="L2" s="5"/>
      <c r="M2" s="5"/>
      <c r="N2" s="5"/>
      <c r="O2" s="5">
        <v>1600000</v>
      </c>
      <c r="P2" s="9" t="s">
        <v>303</v>
      </c>
      <c r="Q2" s="5">
        <v>0</v>
      </c>
      <c r="R2" s="5" t="s">
        <v>399</v>
      </c>
      <c r="S2" s="5" t="s">
        <v>400</v>
      </c>
      <c r="T2" s="5" t="s">
        <v>400</v>
      </c>
      <c r="U2" s="5" t="s">
        <v>401</v>
      </c>
      <c r="V2" s="5">
        <v>0</v>
      </c>
      <c r="W2" s="5" t="s">
        <v>402</v>
      </c>
      <c r="X2" s="5" t="s">
        <v>402</v>
      </c>
      <c r="Y2" s="5" t="s">
        <v>402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402</v>
      </c>
      <c r="AN2" s="5" t="s">
        <v>402</v>
      </c>
      <c r="AO2" s="5" t="s">
        <v>402</v>
      </c>
      <c r="AP2" s="5" t="s">
        <v>403</v>
      </c>
      <c r="AQ2" s="5" t="s">
        <v>403</v>
      </c>
      <c r="AR2" s="21" t="s">
        <v>74</v>
      </c>
      <c r="AS2" s="8" t="s">
        <v>404</v>
      </c>
      <c r="AT2" s="14">
        <v>200</v>
      </c>
      <c r="AU2" s="15" t="s">
        <v>22</v>
      </c>
    </row>
    <row r="3" s="1" customFormat="1" ht="69" customHeight="1" spans="1:47">
      <c r="A3" s="5" t="s">
        <v>405</v>
      </c>
      <c r="B3" s="6" t="s">
        <v>394</v>
      </c>
      <c r="C3" s="7" t="s">
        <v>22</v>
      </c>
      <c r="D3" s="8" t="s">
        <v>395</v>
      </c>
      <c r="E3" s="9" t="s">
        <v>250</v>
      </c>
      <c r="F3" s="9" t="s">
        <v>275</v>
      </c>
      <c r="G3" s="9" t="s">
        <v>396</v>
      </c>
      <c r="H3" s="9" t="s">
        <v>397</v>
      </c>
      <c r="I3" s="5"/>
      <c r="J3" s="5" t="s">
        <v>398</v>
      </c>
      <c r="K3" s="5">
        <v>8800000</v>
      </c>
      <c r="L3" s="5"/>
      <c r="M3" s="5"/>
      <c r="N3" s="5"/>
      <c r="O3" s="5">
        <v>1600000</v>
      </c>
      <c r="P3" s="9" t="s">
        <v>303</v>
      </c>
      <c r="Q3" s="5">
        <v>0</v>
      </c>
      <c r="R3" s="5" t="s">
        <v>399</v>
      </c>
      <c r="S3" s="5" t="s">
        <v>400</v>
      </c>
      <c r="T3" s="5" t="s">
        <v>400</v>
      </c>
      <c r="U3" s="5" t="s">
        <v>401</v>
      </c>
      <c r="V3" s="5">
        <v>0</v>
      </c>
      <c r="W3" s="5" t="s">
        <v>402</v>
      </c>
      <c r="X3" s="5" t="s">
        <v>402</v>
      </c>
      <c r="Y3" s="5" t="s">
        <v>402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402</v>
      </c>
      <c r="AN3" s="5" t="s">
        <v>402</v>
      </c>
      <c r="AO3" s="5" t="s">
        <v>402</v>
      </c>
      <c r="AP3" s="5" t="s">
        <v>403</v>
      </c>
      <c r="AQ3" s="5" t="s">
        <v>403</v>
      </c>
      <c r="AR3" s="21" t="s">
        <v>74</v>
      </c>
      <c r="AS3" s="8" t="s">
        <v>404</v>
      </c>
      <c r="AT3" s="14">
        <v>200</v>
      </c>
      <c r="AU3" s="15" t="s">
        <v>22</v>
      </c>
    </row>
    <row r="4" s="1" customFormat="1" ht="69" customHeight="1" spans="1:47">
      <c r="A4" s="5" t="s">
        <v>406</v>
      </c>
      <c r="B4" s="6" t="s">
        <v>394</v>
      </c>
      <c r="C4" s="7" t="s">
        <v>22</v>
      </c>
      <c r="D4" s="8" t="s">
        <v>395</v>
      </c>
      <c r="E4" s="9" t="s">
        <v>251</v>
      </c>
      <c r="F4" s="9" t="s">
        <v>407</v>
      </c>
      <c r="G4" s="9" t="s">
        <v>408</v>
      </c>
      <c r="H4" s="9" t="s">
        <v>409</v>
      </c>
      <c r="I4" s="5"/>
      <c r="J4" s="5" t="s">
        <v>398</v>
      </c>
      <c r="K4" s="5">
        <v>1600000</v>
      </c>
      <c r="L4" s="5"/>
      <c r="M4" s="5"/>
      <c r="N4" s="5"/>
      <c r="O4" s="5">
        <v>1600000</v>
      </c>
      <c r="P4" s="9" t="s">
        <v>303</v>
      </c>
      <c r="Q4" s="5">
        <v>0</v>
      </c>
      <c r="R4" s="5" t="s">
        <v>399</v>
      </c>
      <c r="S4" s="5" t="s">
        <v>400</v>
      </c>
      <c r="T4" s="5" t="s">
        <v>400</v>
      </c>
      <c r="U4" s="5" t="s">
        <v>401</v>
      </c>
      <c r="V4" s="5">
        <v>0</v>
      </c>
      <c r="W4" s="5" t="s">
        <v>402</v>
      </c>
      <c r="X4" s="5" t="s">
        <v>402</v>
      </c>
      <c r="Y4" s="5" t="s">
        <v>402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402</v>
      </c>
      <c r="AN4" s="5" t="s">
        <v>402</v>
      </c>
      <c r="AO4" s="5" t="s">
        <v>402</v>
      </c>
      <c r="AP4" s="5" t="s">
        <v>403</v>
      </c>
      <c r="AQ4" s="5" t="s">
        <v>403</v>
      </c>
      <c r="AR4" s="21" t="s">
        <v>74</v>
      </c>
      <c r="AS4" s="8" t="s">
        <v>404</v>
      </c>
      <c r="AT4" s="14">
        <v>200</v>
      </c>
      <c r="AU4" s="15" t="s">
        <v>22</v>
      </c>
    </row>
    <row r="5" s="1" customFormat="1" ht="69" customHeight="1" spans="1:47">
      <c r="A5" s="5" t="s">
        <v>410</v>
      </c>
      <c r="B5" s="6" t="s">
        <v>394</v>
      </c>
      <c r="C5" s="7" t="s">
        <v>22</v>
      </c>
      <c r="D5" s="8" t="s">
        <v>395</v>
      </c>
      <c r="E5" s="9" t="s">
        <v>257</v>
      </c>
      <c r="F5" s="9" t="s">
        <v>411</v>
      </c>
      <c r="G5" s="9" t="s">
        <v>412</v>
      </c>
      <c r="H5" s="9" t="s">
        <v>413</v>
      </c>
      <c r="I5" s="5"/>
      <c r="J5" s="5" t="s">
        <v>398</v>
      </c>
      <c r="K5" s="5">
        <v>1600000</v>
      </c>
      <c r="L5" s="5"/>
      <c r="M5" s="5"/>
      <c r="N5" s="5"/>
      <c r="O5" s="5">
        <v>1600000</v>
      </c>
      <c r="P5" s="9" t="s">
        <v>303</v>
      </c>
      <c r="Q5" s="5">
        <v>0</v>
      </c>
      <c r="R5" s="5" t="s">
        <v>399</v>
      </c>
      <c r="S5" s="5" t="s">
        <v>400</v>
      </c>
      <c r="T5" s="5" t="s">
        <v>400</v>
      </c>
      <c r="U5" s="5" t="s">
        <v>401</v>
      </c>
      <c r="V5" s="5">
        <v>0</v>
      </c>
      <c r="W5" s="5" t="s">
        <v>402</v>
      </c>
      <c r="X5" s="5" t="s">
        <v>402</v>
      </c>
      <c r="Y5" s="5" t="s">
        <v>402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402</v>
      </c>
      <c r="AN5" s="5" t="s">
        <v>402</v>
      </c>
      <c r="AO5" s="5" t="s">
        <v>402</v>
      </c>
      <c r="AP5" s="5" t="s">
        <v>403</v>
      </c>
      <c r="AQ5" s="5" t="s">
        <v>403</v>
      </c>
      <c r="AR5" s="21" t="s">
        <v>74</v>
      </c>
      <c r="AS5" s="8" t="s">
        <v>404</v>
      </c>
      <c r="AT5" s="14">
        <v>200</v>
      </c>
      <c r="AU5" s="15" t="s">
        <v>22</v>
      </c>
    </row>
    <row r="6" s="1" customFormat="1" ht="69" customHeight="1" spans="1:47">
      <c r="A6" s="5" t="s">
        <v>414</v>
      </c>
      <c r="B6" s="6" t="s">
        <v>394</v>
      </c>
      <c r="C6" s="7" t="s">
        <v>22</v>
      </c>
      <c r="D6" s="8" t="s">
        <v>395</v>
      </c>
      <c r="E6" s="9" t="s">
        <v>261</v>
      </c>
      <c r="F6" s="9" t="s">
        <v>415</v>
      </c>
      <c r="G6" s="9" t="s">
        <v>416</v>
      </c>
      <c r="H6" s="9" t="s">
        <v>417</v>
      </c>
      <c r="I6" s="5"/>
      <c r="J6" s="5" t="s">
        <v>398</v>
      </c>
      <c r="K6" s="5">
        <v>1600000</v>
      </c>
      <c r="L6" s="5"/>
      <c r="M6" s="5"/>
      <c r="N6" s="5"/>
      <c r="O6" s="5">
        <v>1600000</v>
      </c>
      <c r="P6" s="9" t="s">
        <v>303</v>
      </c>
      <c r="Q6" s="5">
        <v>0</v>
      </c>
      <c r="R6" s="5" t="s">
        <v>399</v>
      </c>
      <c r="S6" s="5" t="s">
        <v>400</v>
      </c>
      <c r="T6" s="5" t="s">
        <v>400</v>
      </c>
      <c r="U6" s="5" t="s">
        <v>401</v>
      </c>
      <c r="V6" s="5">
        <v>0</v>
      </c>
      <c r="W6" s="5" t="s">
        <v>402</v>
      </c>
      <c r="X6" s="5" t="s">
        <v>402</v>
      </c>
      <c r="Y6" s="5" t="s">
        <v>402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402</v>
      </c>
      <c r="AN6" s="5" t="s">
        <v>402</v>
      </c>
      <c r="AO6" s="5" t="s">
        <v>402</v>
      </c>
      <c r="AP6" s="5" t="s">
        <v>403</v>
      </c>
      <c r="AQ6" s="5" t="s">
        <v>403</v>
      </c>
      <c r="AR6" s="21" t="s">
        <v>74</v>
      </c>
      <c r="AS6" s="8" t="s">
        <v>404</v>
      </c>
      <c r="AT6" s="14">
        <v>200</v>
      </c>
      <c r="AU6" s="15" t="s">
        <v>22</v>
      </c>
    </row>
    <row r="7" s="1" customFormat="1" ht="69" customHeight="1" spans="1:47">
      <c r="A7" s="5" t="s">
        <v>418</v>
      </c>
      <c r="B7" s="6" t="s">
        <v>419</v>
      </c>
      <c r="C7" s="7" t="s">
        <v>22</v>
      </c>
      <c r="D7" s="8" t="s">
        <v>420</v>
      </c>
      <c r="E7" s="9" t="s">
        <v>250</v>
      </c>
      <c r="F7" s="9" t="s">
        <v>275</v>
      </c>
      <c r="G7" s="9" t="s">
        <v>396</v>
      </c>
      <c r="H7" s="9" t="s">
        <v>397</v>
      </c>
      <c r="I7" s="5"/>
      <c r="J7" s="5" t="s">
        <v>398</v>
      </c>
      <c r="K7" s="5">
        <v>100000</v>
      </c>
      <c r="L7" s="5"/>
      <c r="M7" s="5"/>
      <c r="N7" s="5"/>
      <c r="O7" s="5">
        <v>100000</v>
      </c>
      <c r="P7" s="9" t="s">
        <v>303</v>
      </c>
      <c r="Q7" s="5">
        <v>0</v>
      </c>
      <c r="R7" s="5" t="s">
        <v>399</v>
      </c>
      <c r="S7" s="5" t="s">
        <v>400</v>
      </c>
      <c r="T7" s="5" t="s">
        <v>400</v>
      </c>
      <c r="U7" s="5" t="s">
        <v>401</v>
      </c>
      <c r="V7" s="5">
        <v>0</v>
      </c>
      <c r="W7" s="5" t="s">
        <v>402</v>
      </c>
      <c r="X7" s="5" t="s">
        <v>402</v>
      </c>
      <c r="Y7" s="5" t="s">
        <v>402</v>
      </c>
      <c r="Z7" s="5" t="s">
        <v>421</v>
      </c>
      <c r="AA7" s="5">
        <v>200000</v>
      </c>
      <c r="AB7" s="5"/>
      <c r="AC7" s="5" t="s">
        <v>422</v>
      </c>
      <c r="AD7" s="5"/>
      <c r="AE7" s="5">
        <v>200000</v>
      </c>
      <c r="AF7" s="9" t="s">
        <v>303</v>
      </c>
      <c r="AG7" s="5">
        <v>0</v>
      </c>
      <c r="AH7" s="5" t="s">
        <v>399</v>
      </c>
      <c r="AI7" s="5" t="s">
        <v>400</v>
      </c>
      <c r="AJ7" s="5" t="s">
        <v>400</v>
      </c>
      <c r="AK7" s="5" t="s">
        <v>401</v>
      </c>
      <c r="AL7" s="5">
        <v>0</v>
      </c>
      <c r="AM7" s="5" t="s">
        <v>402</v>
      </c>
      <c r="AN7" s="5" t="s">
        <v>402</v>
      </c>
      <c r="AO7" s="5" t="s">
        <v>402</v>
      </c>
      <c r="AP7" s="5" t="s">
        <v>403</v>
      </c>
      <c r="AQ7" s="5" t="s">
        <v>403</v>
      </c>
      <c r="AR7" s="21" t="s">
        <v>74</v>
      </c>
      <c r="AS7" s="8" t="s">
        <v>404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423</v>
      </c>
      <c r="F1" s="4" t="s">
        <v>264</v>
      </c>
      <c r="G1" s="4" t="s">
        <v>355</v>
      </c>
      <c r="H1" s="4" t="s">
        <v>262</v>
      </c>
      <c r="I1" s="4" t="s">
        <v>263</v>
      </c>
      <c r="J1" s="4" t="s">
        <v>424</v>
      </c>
      <c r="K1" s="10" t="s">
        <v>9</v>
      </c>
      <c r="L1" s="11" t="s">
        <v>10</v>
      </c>
      <c r="M1" s="12" t="s">
        <v>425</v>
      </c>
      <c r="N1" s="12" t="s">
        <v>426</v>
      </c>
      <c r="O1" s="12" t="s">
        <v>427</v>
      </c>
      <c r="P1" s="12" t="s">
        <v>428</v>
      </c>
      <c r="Q1" s="12" t="s">
        <v>429</v>
      </c>
      <c r="R1" s="12" t="s">
        <v>430</v>
      </c>
      <c r="S1" s="12" t="s">
        <v>431</v>
      </c>
    </row>
    <row r="2" s="1" customFormat="1" ht="69" customHeight="1" spans="1:19">
      <c r="A2" s="5" t="s">
        <v>432</v>
      </c>
      <c r="B2" s="6" t="s">
        <v>433</v>
      </c>
      <c r="C2" s="7" t="s">
        <v>22</v>
      </c>
      <c r="D2" s="8" t="s">
        <v>434</v>
      </c>
      <c r="E2" s="9" t="s">
        <v>25</v>
      </c>
      <c r="F2" s="9" t="s">
        <v>275</v>
      </c>
      <c r="G2" s="9" t="s">
        <v>435</v>
      </c>
      <c r="H2" s="5" t="s">
        <v>23</v>
      </c>
      <c r="I2" s="5" t="s">
        <v>24</v>
      </c>
      <c r="J2" s="17" t="s">
        <v>26</v>
      </c>
      <c r="K2" s="13" t="s">
        <v>436</v>
      </c>
      <c r="L2" s="14">
        <v>200</v>
      </c>
      <c r="M2" s="15" t="s">
        <v>437</v>
      </c>
      <c r="N2" s="15" t="s">
        <v>398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438</v>
      </c>
      <c r="B3" s="6" t="s">
        <v>439</v>
      </c>
      <c r="C3" s="7" t="s">
        <v>22</v>
      </c>
      <c r="D3" s="8" t="s">
        <v>434</v>
      </c>
      <c r="E3" s="9" t="s">
        <v>37</v>
      </c>
      <c r="F3" s="9" t="s">
        <v>407</v>
      </c>
      <c r="G3" s="9" t="s">
        <v>440</v>
      </c>
      <c r="H3" s="5" t="s">
        <v>23</v>
      </c>
      <c r="I3" s="5" t="s">
        <v>24</v>
      </c>
      <c r="J3" s="17" t="s">
        <v>26</v>
      </c>
      <c r="K3" s="13" t="s">
        <v>436</v>
      </c>
      <c r="L3" s="14">
        <v>200</v>
      </c>
      <c r="M3" s="15" t="s">
        <v>437</v>
      </c>
      <c r="N3" s="15" t="s">
        <v>398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441</v>
      </c>
      <c r="B4" s="6" t="s">
        <v>442</v>
      </c>
      <c r="C4" s="7" t="s">
        <v>22</v>
      </c>
      <c r="D4" s="8" t="s">
        <v>434</v>
      </c>
      <c r="E4" s="9" t="s">
        <v>38</v>
      </c>
      <c r="F4" s="9" t="s">
        <v>411</v>
      </c>
      <c r="G4" s="9" t="s">
        <v>443</v>
      </c>
      <c r="H4" s="5" t="s">
        <v>23</v>
      </c>
      <c r="I4" s="5" t="s">
        <v>24</v>
      </c>
      <c r="J4" s="17" t="s">
        <v>26</v>
      </c>
      <c r="K4" s="13" t="s">
        <v>436</v>
      </c>
      <c r="L4" s="14">
        <v>200</v>
      </c>
      <c r="M4" s="15" t="s">
        <v>437</v>
      </c>
      <c r="N4" s="15" t="s">
        <v>398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444</v>
      </c>
      <c r="B5" s="6" t="s">
        <v>445</v>
      </c>
      <c r="C5" s="7" t="s">
        <v>22</v>
      </c>
      <c r="D5" s="8" t="s">
        <v>434</v>
      </c>
      <c r="E5" s="9" t="s">
        <v>39</v>
      </c>
      <c r="F5" s="9" t="s">
        <v>415</v>
      </c>
      <c r="G5" s="9" t="s">
        <v>446</v>
      </c>
      <c r="H5" s="5" t="s">
        <v>23</v>
      </c>
      <c r="I5" s="5" t="s">
        <v>24</v>
      </c>
      <c r="J5" s="17" t="s">
        <v>26</v>
      </c>
      <c r="K5" s="13" t="s">
        <v>436</v>
      </c>
      <c r="L5" s="14">
        <v>200</v>
      </c>
      <c r="M5" s="15" t="s">
        <v>437</v>
      </c>
      <c r="N5" s="15" t="s">
        <v>398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447</v>
      </c>
      <c r="B6" s="6" t="s">
        <v>448</v>
      </c>
      <c r="C6" s="7" t="s">
        <v>22</v>
      </c>
      <c r="D6" s="8" t="s">
        <v>434</v>
      </c>
      <c r="E6" s="9" t="s">
        <v>25</v>
      </c>
      <c r="F6" s="9" t="s">
        <v>275</v>
      </c>
      <c r="G6" s="9" t="s">
        <v>435</v>
      </c>
      <c r="H6" s="5" t="s">
        <v>23</v>
      </c>
      <c r="I6" s="5" t="s">
        <v>24</v>
      </c>
      <c r="J6" s="17" t="s">
        <v>26</v>
      </c>
      <c r="K6" s="13" t="s">
        <v>449</v>
      </c>
      <c r="L6" s="14">
        <v>200</v>
      </c>
      <c r="M6" s="15" t="s">
        <v>450</v>
      </c>
      <c r="N6" s="15" t="s">
        <v>398</v>
      </c>
      <c r="O6" s="15"/>
      <c r="P6" s="5">
        <v>100000</v>
      </c>
      <c r="Q6" s="15" t="s">
        <v>421</v>
      </c>
      <c r="R6" s="15" t="s">
        <v>422</v>
      </c>
      <c r="S6" s="15" t="s">
        <v>451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239</v>
      </c>
      <c r="F1" s="4" t="s">
        <v>452</v>
      </c>
      <c r="G1" s="10" t="s">
        <v>9</v>
      </c>
      <c r="H1" s="11" t="s">
        <v>10</v>
      </c>
      <c r="I1" s="12" t="s">
        <v>453</v>
      </c>
      <c r="J1" s="12" t="s">
        <v>454</v>
      </c>
    </row>
    <row r="2" s="1" customFormat="1" ht="69" customHeight="1" spans="1:10">
      <c r="A2" s="5" t="s">
        <v>455</v>
      </c>
      <c r="B2" s="6" t="s">
        <v>456</v>
      </c>
      <c r="C2" s="7" t="s">
        <v>22</v>
      </c>
      <c r="D2" s="8" t="s">
        <v>457</v>
      </c>
      <c r="E2" s="9" t="s">
        <v>250</v>
      </c>
      <c r="F2" s="9" t="s">
        <v>25</v>
      </c>
      <c r="G2" s="8" t="s">
        <v>458</v>
      </c>
      <c r="H2" s="14">
        <v>200</v>
      </c>
      <c r="I2" s="15" t="s">
        <v>31</v>
      </c>
      <c r="J2" s="15" t="s">
        <v>459</v>
      </c>
    </row>
    <row r="3" s="1" customFormat="1" ht="69" customHeight="1" spans="1:10">
      <c r="A3" s="5" t="s">
        <v>460</v>
      </c>
      <c r="B3" s="6" t="s">
        <v>461</v>
      </c>
      <c r="C3" s="7" t="s">
        <v>22</v>
      </c>
      <c r="D3" s="8" t="s">
        <v>457</v>
      </c>
      <c r="E3" s="9" t="s">
        <v>251</v>
      </c>
      <c r="F3" s="9" t="s">
        <v>37</v>
      </c>
      <c r="G3" s="8" t="s">
        <v>458</v>
      </c>
      <c r="H3" s="14">
        <v>200</v>
      </c>
      <c r="I3" s="15" t="s">
        <v>31</v>
      </c>
      <c r="J3" s="15" t="s">
        <v>459</v>
      </c>
    </row>
    <row r="4" s="1" customFormat="1" ht="69" customHeight="1" spans="1:10">
      <c r="A4" s="5" t="s">
        <v>462</v>
      </c>
      <c r="B4" s="6" t="s">
        <v>463</v>
      </c>
      <c r="C4" s="7" t="s">
        <v>22</v>
      </c>
      <c r="D4" s="8" t="s">
        <v>457</v>
      </c>
      <c r="E4" s="9" t="s">
        <v>257</v>
      </c>
      <c r="F4" s="9" t="s">
        <v>38</v>
      </c>
      <c r="G4" s="8" t="s">
        <v>458</v>
      </c>
      <c r="H4" s="14">
        <v>200</v>
      </c>
      <c r="I4" s="15" t="s">
        <v>31</v>
      </c>
      <c r="J4" s="15" t="s">
        <v>459</v>
      </c>
    </row>
    <row r="5" s="1" customFormat="1" ht="69" customHeight="1" spans="1:10">
      <c r="A5" s="5" t="s">
        <v>464</v>
      </c>
      <c r="B5" s="6" t="s">
        <v>465</v>
      </c>
      <c r="C5" s="7" t="s">
        <v>22</v>
      </c>
      <c r="D5" s="8" t="s">
        <v>457</v>
      </c>
      <c r="E5" s="9" t="s">
        <v>261</v>
      </c>
      <c r="F5" s="9" t="s">
        <v>39</v>
      </c>
      <c r="G5" s="8" t="s">
        <v>458</v>
      </c>
      <c r="H5" s="14">
        <v>200</v>
      </c>
      <c r="I5" s="15" t="s">
        <v>31</v>
      </c>
      <c r="J5" s="15" t="s">
        <v>459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466</v>
      </c>
      <c r="F1" s="4" t="s">
        <v>467</v>
      </c>
      <c r="G1" s="4" t="s">
        <v>468</v>
      </c>
      <c r="H1" s="4" t="s">
        <v>469</v>
      </c>
      <c r="I1" s="10" t="s">
        <v>9</v>
      </c>
      <c r="J1" s="11" t="s">
        <v>10</v>
      </c>
      <c r="K1" s="12" t="s">
        <v>392</v>
      </c>
    </row>
    <row r="2" s="1" customFormat="1" ht="69" customHeight="1" spans="1:11">
      <c r="A2" s="5" t="s">
        <v>470</v>
      </c>
      <c r="B2" s="6" t="s">
        <v>471</v>
      </c>
      <c r="C2" s="7" t="s">
        <v>22</v>
      </c>
      <c r="D2" s="8" t="s">
        <v>472</v>
      </c>
      <c r="E2" s="9" t="s">
        <v>250</v>
      </c>
      <c r="F2" s="9" t="s">
        <v>251</v>
      </c>
      <c r="G2" s="9" t="s">
        <v>257</v>
      </c>
      <c r="H2" s="9" t="s">
        <v>261</v>
      </c>
      <c r="I2" s="13" t="s">
        <v>473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2025-08-06T18:31:00Z</dcterms:created>
  <dcterms:modified xsi:type="dcterms:W3CDTF">2025-12-17T09:47:54Z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