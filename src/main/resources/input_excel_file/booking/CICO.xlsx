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<sst xmlns="http://schemas.openxmlformats.org/spreadsheetml/2006/main" count="2163" uniqueCount="382">
  <si>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</si>
  <si>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</si>
  <si>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</si>
  <si>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</si>
  <si>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</si>
  <si>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</si>
  <si>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</si>
  <si>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</si>
  <si>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</si>
  <si>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</si>
  <si>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</si>
  <si>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</si>
  <si>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</si>
  <si>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</si>
  <si>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</si>
  <si>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</si>
  <si>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</si>
  <si>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</si>
  <si>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</si>
  <si>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</si>
  <si>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</si>
  <si>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</si>
  <si>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</si>
  <si>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</si>
  <si>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</si>
  <si>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</si>
  <si>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</si>
  <si>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</si>
  <si>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</si>
  <si>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</si>
  <si>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</si>
  <si>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</si>
  <si>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</si>
  <si>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</si>
  <si>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</si>
  <si>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</si>
  <si>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</si>
  <si>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</si>
  <si>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</si>
  <si>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</si>
  <si>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</si>
  <si>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</si>
  <si>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</si>
  <si>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</si>
  <si>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</si>
  <si>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</si>
  <si>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</si>
  <si>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</si>
  <si>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</si>
  <si>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</si>
  <si>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</si>
  <si>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</si>
  <si>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</si>
  <si>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</si>
  <si>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</si>
  <si>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</si>
  <si>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</si>
  <si>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</si>
  <si>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</si>
  <si>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</si>
  <si>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</si>
  <si>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</si>
  <si>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</si>
  <si>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</si>
  <si>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</si>
  <si>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</si>
  <si>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</si>
  <si>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</si>
  <si>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</si>
  <si>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</si>
  <si>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</si>
  <si>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</si>
  <si>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</si>
  <si>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</si>
  <si>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</si>
  <si>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</si>
  <si>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</si>
  <si>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</si>
  <si>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</si>
  <si>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</si>
  <si>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</si>
  <si>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</si>
  <si>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</si>
  <si>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</si>
  <si>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Apply voucher giảm giá thông thường: Giảm 200k green fee</t>
  </si>
  <si>
    <t>VST_VC_GREEN_001</t>
  </si>
  <si>
    <t>VST_Kiểm tra giá sau khi check in có add voucher</t>
  </si>
  <si>
    <t>VST_VC_GREEN_002</t>
  </si>
  <si>
    <t>VST_Kiểm tra giá sau khi ghép xe có add voucher</t>
  </si>
  <si>
    <t>VST_VC_GREEN_003</t>
  </si>
  <si>
    <t>VST_Kiểm tra giá sau khi ghép xe + add restaurant có add voucher</t>
  </si>
  <si>
    <t>Apply voucher giảm giá thông thường: Giảm 2tr1 cho green + caddie + 1/2 xe + package</t>
  </si>
  <si>
    <t>VST_VC_4FEE_001</t>
  </si>
  <si>
    <t>fee_of_bag_0_VND_mustpay_and_0_VND_golf_fee_expect.json</t>
  </si>
  <si>
    <t>{}</t>
  </si>
  <si>
    <t>VST_VC_4FEE_002</t>
  </si>
  <si>
    <t>fee_of_bag_0_VND_golf_fee_expect.json</t>
  </si>
  <si>
    <t>VST_VC_4FEE_003</t>
  </si>
  <si>
    <t>Apply voucher giảm giá thông thường: Giảm 10% green</t>
  </si>
  <si>
    <t>VST_VC_GREEN_10_001</t>
  </si>
  <si>
    <t>VST_VC_GREEN_10_002</t>
  </si>
  <si>
    <t>VST_VC_GREEN_10_003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</si>
  <si>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</si>
  <si>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</si>
  <si>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</si>
  <si>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</si>
  <si>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</si>
  <si>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</si>
  <si>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</si>
  <si>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</si>
  <si>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</si>
  <si>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</si>
  <si>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</si>
  <si>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</si>
  <si>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</si>
  <si>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</si>
  <si>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Apply voucher giảm giá cố định: Green + Caddie + 1/2 xe + Package</t>
  </si>
  <si>
    <t>VST_VC_CD4FEE_001</t>
  </si>
  <si>
    <t>VST_VC_CD4FEE_002</t>
  </si>
  <si>
    <t>VST_VC_CD4FEE_003</t>
  </si>
  <si>
    <t>Apply voucher trả trước: Green + Caddie + 1/2 xe + Package</t>
  </si>
  <si>
    <t>VST_VC_TT4FEE_001</t>
  </si>
  <si>
    <t>VST_VC_TT4FEE_002</t>
  </si>
  <si>
    <t>VST_VC_TT4FEE_003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</si>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</sst>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1" applyNumberFormat="0" applyAlignment="0" applyProtection="0">
      <alignment vertical="center"/>
    </xf>
    <xf numFmtId="0" fontId="14" fillId="9" borderId="12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10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0" fontId="1" fillId="3" borderId="5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0" fillId="3" borderId="1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50"/>
  <sheetViews>
    <sheetView tabSelected="1" zoomScale="85" zoomScaleNormal="85" workbookViewId="0">
      <pane ySplit="1" topLeftCell="A21" activePane="bottomLeft" state="frozen"/>
      <selection/>
      <selection pane="bottomLeft" activeCell="A28" sqref="A28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30" width="32.4285714285714" style="1" customWidth="1"/>
    <col min="31" max="31" width="31.2571428571429" style="1" customWidth="1"/>
    <col min="32" max="33" width="28.2380952380952" style="1" customWidth="1"/>
    <col min="34" max="34" width="32.0952380952381" style="1" customWidth="1"/>
    <col min="35" max="35" width="28.2380952380952" style="1" customWidth="1"/>
    <col min="36" max="38" width="27.047619047619" style="1" customWidth="1"/>
    <col min="39" max="39" width="23.352380952381" style="1" customWidth="1"/>
    <col min="40" max="16384" width="9.14285714285714" style="1"/>
  </cols>
  <sheetData>
    <row r="1" s="1" customFormat="1" ht="47" customHeight="1" spans="1:39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2" t="s">
        <v>54</v>
      </c>
      <c r="AB1" s="37" t="s">
        <v>55</v>
      </c>
      <c r="AC1" s="35" t="s">
        <v>19</v>
      </c>
      <c r="AD1" s="35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</row>
    <row r="2" s="1" customFormat="1" ht="52" customHeight="1" spans="1:39">
      <c r="A2" s="5" t="s">
        <v>66</v>
      </c>
      <c r="B2" s="6" t="s">
        <v>67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68</v>
      </c>
      <c r="K2" s="9">
        <v>200</v>
      </c>
      <c r="L2" s="14">
        <v>1700000</v>
      </c>
      <c r="M2" s="6">
        <v>0</v>
      </c>
      <c r="N2" s="6">
        <v>0</v>
      </c>
      <c r="O2" s="15" t="s">
        <v>69</v>
      </c>
      <c r="P2" s="6">
        <v>0</v>
      </c>
      <c r="Q2" s="14">
        <v>1700000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f t="shared" ref="Z2:Z9" si="0">X2+Y2</f>
        <v>1600000</v>
      </c>
      <c r="AA2" s="14"/>
      <c r="AB2" s="14">
        <v>0</v>
      </c>
      <c r="AC2" s="14">
        <v>1</v>
      </c>
      <c r="AD2" s="14">
        <v>100000</v>
      </c>
      <c r="AE2" s="14">
        <v>1600000</v>
      </c>
      <c r="AF2" s="14">
        <v>0</v>
      </c>
      <c r="AG2" s="14">
        <v>0</v>
      </c>
      <c r="AH2" s="14">
        <v>0</v>
      </c>
      <c r="AI2" s="14">
        <v>0</v>
      </c>
      <c r="AJ2" s="14">
        <v>100000</v>
      </c>
      <c r="AK2" s="14">
        <v>0</v>
      </c>
      <c r="AL2" s="14">
        <v>0</v>
      </c>
      <c r="AM2" s="51">
        <f t="shared" ref="AM2:AM9" si="1">SUM(AE2:AL2)</f>
        <v>1700000</v>
      </c>
    </row>
    <row r="3" s="1" customFormat="1" ht="52" customHeight="1" spans="1:39">
      <c r="A3" s="5" t="s">
        <v>70</v>
      </c>
      <c r="B3" s="6" t="s">
        <v>71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2300000</v>
      </c>
      <c r="M3" s="6">
        <v>0</v>
      </c>
      <c r="N3" s="6">
        <v>0</v>
      </c>
      <c r="O3" s="15" t="s">
        <v>69</v>
      </c>
      <c r="P3" s="6">
        <v>0</v>
      </c>
      <c r="Q3" s="14">
        <v>2300000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f t="shared" si="0"/>
        <v>1600000</v>
      </c>
      <c r="AA3" s="14"/>
      <c r="AB3" s="14">
        <v>0</v>
      </c>
      <c r="AC3" s="14">
        <v>3</v>
      </c>
      <c r="AD3" s="14">
        <v>700000</v>
      </c>
      <c r="AE3" s="14">
        <v>1600000</v>
      </c>
      <c r="AF3" s="14">
        <v>600000</v>
      </c>
      <c r="AG3" s="14">
        <v>0</v>
      </c>
      <c r="AH3" s="14">
        <v>0</v>
      </c>
      <c r="AI3" s="14">
        <v>0</v>
      </c>
      <c r="AJ3" s="14">
        <v>100000</v>
      </c>
      <c r="AK3" s="14">
        <v>0</v>
      </c>
      <c r="AL3" s="14">
        <v>0</v>
      </c>
      <c r="AM3" s="51">
        <f t="shared" si="1"/>
        <v>2300000</v>
      </c>
    </row>
    <row r="4" s="1" customFormat="1" ht="52" customHeight="1" spans="1:39">
      <c r="A4" s="5" t="s">
        <v>72</v>
      </c>
      <c r="B4" s="6" t="s">
        <v>73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2400000</v>
      </c>
      <c r="M4" s="6">
        <v>0</v>
      </c>
      <c r="N4" s="6">
        <v>0</v>
      </c>
      <c r="O4" s="15" t="s">
        <v>69</v>
      </c>
      <c r="P4" s="6">
        <v>0</v>
      </c>
      <c r="Q4" s="14">
        <v>2400000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f t="shared" si="0"/>
        <v>1600000</v>
      </c>
      <c r="AA4" s="14"/>
      <c r="AB4" s="14">
        <v>0</v>
      </c>
      <c r="AC4" s="14">
        <v>4</v>
      </c>
      <c r="AD4" s="14">
        <v>800000</v>
      </c>
      <c r="AE4" s="14">
        <v>1600000</v>
      </c>
      <c r="AF4" s="14">
        <v>600000</v>
      </c>
      <c r="AG4" s="14">
        <v>0</v>
      </c>
      <c r="AH4" s="14">
        <v>0</v>
      </c>
      <c r="AI4" s="14">
        <v>100000</v>
      </c>
      <c r="AJ4" s="14">
        <v>100000</v>
      </c>
      <c r="AK4" s="14">
        <v>0</v>
      </c>
      <c r="AL4" s="14">
        <v>0</v>
      </c>
      <c r="AM4" s="51">
        <f t="shared" si="1"/>
        <v>2400000</v>
      </c>
    </row>
    <row r="5" s="1" customFormat="1" ht="52" customHeight="1" spans="1:39">
      <c r="A5" s="5" t="s">
        <v>74</v>
      </c>
      <c r="B5" s="6" t="s">
        <v>75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68</v>
      </c>
      <c r="K5" s="9">
        <v>200</v>
      </c>
      <c r="L5" s="14">
        <v>2500000</v>
      </c>
      <c r="M5" s="6">
        <v>0</v>
      </c>
      <c r="N5" s="6">
        <v>0</v>
      </c>
      <c r="O5" s="15" t="s">
        <v>69</v>
      </c>
      <c r="P5" s="6">
        <v>0</v>
      </c>
      <c r="Q5" s="14">
        <v>2500000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f t="shared" si="0"/>
        <v>1600000</v>
      </c>
      <c r="AA5" s="14"/>
      <c r="AB5" s="14">
        <v>0</v>
      </c>
      <c r="AC5" s="14">
        <v>5</v>
      </c>
      <c r="AD5" s="14">
        <v>900000</v>
      </c>
      <c r="AE5" s="14">
        <v>1600000</v>
      </c>
      <c r="AF5" s="14">
        <v>600000</v>
      </c>
      <c r="AG5" s="14">
        <v>0</v>
      </c>
      <c r="AH5" s="14">
        <v>0</v>
      </c>
      <c r="AI5" s="14">
        <v>100000</v>
      </c>
      <c r="AJ5" s="14">
        <v>200000</v>
      </c>
      <c r="AK5" s="14">
        <v>0</v>
      </c>
      <c r="AL5" s="14">
        <v>0</v>
      </c>
      <c r="AM5" s="51">
        <f t="shared" si="1"/>
        <v>2500000</v>
      </c>
    </row>
    <row r="6" s="1" customFormat="1" ht="52" customHeight="1" spans="1:39">
      <c r="A6" s="5" t="s">
        <v>76</v>
      </c>
      <c r="B6" s="6" t="s">
        <v>77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68</v>
      </c>
      <c r="K6" s="9">
        <v>200</v>
      </c>
      <c r="L6" s="14">
        <v>2600000</v>
      </c>
      <c r="M6" s="6">
        <v>0</v>
      </c>
      <c r="N6" s="6">
        <v>0</v>
      </c>
      <c r="O6" s="15" t="s">
        <v>69</v>
      </c>
      <c r="P6" s="6">
        <v>0</v>
      </c>
      <c r="Q6" s="14">
        <v>2600000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f t="shared" si="0"/>
        <v>1600000</v>
      </c>
      <c r="AA6" s="14"/>
      <c r="AB6" s="14">
        <v>0</v>
      </c>
      <c r="AC6" s="14">
        <v>6</v>
      </c>
      <c r="AD6" s="50">
        <v>1000000</v>
      </c>
      <c r="AE6" s="14">
        <v>1600000</v>
      </c>
      <c r="AF6" s="14">
        <v>600000</v>
      </c>
      <c r="AG6" s="14">
        <v>0</v>
      </c>
      <c r="AH6" s="14">
        <v>0</v>
      </c>
      <c r="AI6" s="14">
        <v>100000</v>
      </c>
      <c r="AJ6" s="14">
        <v>200000</v>
      </c>
      <c r="AK6" s="14">
        <v>100000</v>
      </c>
      <c r="AL6" s="14">
        <v>0</v>
      </c>
      <c r="AM6" s="51">
        <f t="shared" si="1"/>
        <v>2600000</v>
      </c>
    </row>
    <row r="7" s="29" customFormat="1" ht="47" customHeight="1" spans="1:39">
      <c r="A7" s="5" t="s">
        <v>78</v>
      </c>
      <c r="B7" s="6" t="s">
        <v>79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68</v>
      </c>
      <c r="K7" s="9">
        <v>200</v>
      </c>
      <c r="L7" s="6">
        <v>2700000</v>
      </c>
      <c r="M7" s="6">
        <v>0</v>
      </c>
      <c r="N7" s="6">
        <v>0</v>
      </c>
      <c r="O7" s="15" t="s">
        <v>69</v>
      </c>
      <c r="P7" s="6">
        <v>0</v>
      </c>
      <c r="Q7" s="6">
        <v>2700000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>
        <v>1000000</v>
      </c>
      <c r="Y7" s="14">
        <v>600000</v>
      </c>
      <c r="Z7" s="14">
        <f t="shared" si="0"/>
        <v>1600000</v>
      </c>
      <c r="AA7" s="14"/>
      <c r="AB7" s="14">
        <v>0</v>
      </c>
      <c r="AC7" s="14">
        <v>7</v>
      </c>
      <c r="AD7" s="6">
        <v>1100000</v>
      </c>
      <c r="AE7" s="14">
        <v>1600000</v>
      </c>
      <c r="AF7" s="14">
        <v>600000</v>
      </c>
      <c r="AG7" s="14">
        <v>100000</v>
      </c>
      <c r="AH7" s="14">
        <v>0</v>
      </c>
      <c r="AI7" s="14">
        <v>100000</v>
      </c>
      <c r="AJ7" s="14">
        <v>200000</v>
      </c>
      <c r="AK7" s="14">
        <v>100000</v>
      </c>
      <c r="AL7" s="14">
        <v>0</v>
      </c>
      <c r="AM7" s="51">
        <f t="shared" si="1"/>
        <v>2700000</v>
      </c>
    </row>
    <row r="8" s="29" customFormat="1" ht="47" customHeight="1" spans="1:39">
      <c r="A8" s="5" t="s">
        <v>80</v>
      </c>
      <c r="B8" s="6" t="s">
        <v>81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68</v>
      </c>
      <c r="K8" s="9">
        <v>200</v>
      </c>
      <c r="L8" s="6">
        <v>2800000</v>
      </c>
      <c r="M8" s="6">
        <v>0</v>
      </c>
      <c r="N8" s="6">
        <v>0</v>
      </c>
      <c r="O8" s="15" t="s">
        <v>69</v>
      </c>
      <c r="P8" s="6">
        <v>0</v>
      </c>
      <c r="Q8" s="6">
        <v>2800000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>
        <v>1000000</v>
      </c>
      <c r="Y8" s="14">
        <v>600000</v>
      </c>
      <c r="Z8" s="14">
        <f t="shared" si="0"/>
        <v>1600000</v>
      </c>
      <c r="AA8" s="14"/>
      <c r="AB8" s="14">
        <v>0</v>
      </c>
      <c r="AC8" s="14">
        <v>8</v>
      </c>
      <c r="AD8" s="6">
        <v>1200000</v>
      </c>
      <c r="AE8" s="14">
        <v>1600000</v>
      </c>
      <c r="AF8" s="14">
        <v>700000</v>
      </c>
      <c r="AG8" s="14">
        <v>100000</v>
      </c>
      <c r="AH8" s="14">
        <v>0</v>
      </c>
      <c r="AI8" s="14">
        <v>100000</v>
      </c>
      <c r="AJ8" s="14">
        <v>200000</v>
      </c>
      <c r="AK8" s="14">
        <v>100000</v>
      </c>
      <c r="AL8" s="14">
        <v>0</v>
      </c>
      <c r="AM8" s="51">
        <f t="shared" si="1"/>
        <v>2800000</v>
      </c>
    </row>
    <row r="9" s="29" customFormat="1" ht="47" customHeight="1" spans="1:39">
      <c r="A9" s="5" t="s">
        <v>82</v>
      </c>
      <c r="B9" s="6" t="s">
        <v>83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68</v>
      </c>
      <c r="K9" s="9">
        <v>200</v>
      </c>
      <c r="L9" s="6">
        <v>2900000</v>
      </c>
      <c r="M9" s="6">
        <v>0</v>
      </c>
      <c r="N9" s="6">
        <v>0</v>
      </c>
      <c r="O9" s="15" t="s">
        <v>69</v>
      </c>
      <c r="P9" s="6">
        <v>0</v>
      </c>
      <c r="Q9" s="6">
        <v>2900000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>
        <v>1000000</v>
      </c>
      <c r="Y9" s="14">
        <v>600000</v>
      </c>
      <c r="Z9" s="14">
        <f t="shared" si="0"/>
        <v>1600000</v>
      </c>
      <c r="AA9" s="14"/>
      <c r="AB9" s="14">
        <v>0</v>
      </c>
      <c r="AC9" s="14">
        <v>9</v>
      </c>
      <c r="AD9" s="6">
        <v>1300000</v>
      </c>
      <c r="AE9" s="14">
        <v>1600000</v>
      </c>
      <c r="AF9" s="14">
        <v>700000</v>
      </c>
      <c r="AG9" s="14">
        <v>100000</v>
      </c>
      <c r="AH9" s="14">
        <v>100000</v>
      </c>
      <c r="AI9" s="14">
        <v>100000</v>
      </c>
      <c r="AJ9" s="14">
        <v>200000</v>
      </c>
      <c r="AK9" s="14">
        <v>100000</v>
      </c>
      <c r="AL9" s="14">
        <v>0</v>
      </c>
      <c r="AM9" s="51">
        <f t="shared" si="1"/>
        <v>2900000</v>
      </c>
    </row>
    <row r="10" s="29" customFormat="1" ht="47" customHeight="1" spans="1:39">
      <c r="A10" s="38"/>
      <c r="B10" s="39" t="s">
        <v>84</v>
      </c>
      <c r="C10" s="40"/>
      <c r="D10" s="40"/>
      <c r="E10" s="41"/>
      <c r="F10" s="41"/>
      <c r="G10" s="41"/>
      <c r="H10" s="41"/>
      <c r="I10" s="48"/>
      <c r="J10" s="49"/>
      <c r="K10" s="34"/>
      <c r="L10" s="34"/>
      <c r="M10" s="32"/>
      <c r="N10" s="32"/>
      <c r="O10" s="33"/>
      <c r="P10" s="32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2"/>
      <c r="AB10" s="32"/>
      <c r="AC10" s="34"/>
      <c r="AD10" s="6"/>
      <c r="AE10" s="34"/>
      <c r="AF10" s="34"/>
      <c r="AG10" s="34"/>
      <c r="AH10" s="34"/>
      <c r="AI10" s="34"/>
      <c r="AJ10" s="34"/>
      <c r="AK10" s="34"/>
      <c r="AL10" s="34"/>
      <c r="AM10" s="34"/>
    </row>
    <row r="11" s="1" customFormat="1" ht="52" customHeight="1" spans="1:39">
      <c r="A11" s="5" t="s">
        <v>85</v>
      </c>
      <c r="B11" s="6" t="s">
        <v>86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68</v>
      </c>
      <c r="K11" s="9">
        <v>200</v>
      </c>
      <c r="L11" s="14">
        <v>1500000</v>
      </c>
      <c r="M11" s="6">
        <v>0</v>
      </c>
      <c r="N11" s="6">
        <v>0</v>
      </c>
      <c r="O11" s="15" t="s">
        <v>69</v>
      </c>
      <c r="P11" s="6">
        <v>0</v>
      </c>
      <c r="Q11" s="14">
        <v>1500000</v>
      </c>
      <c r="R11" s="14"/>
      <c r="S11" s="14">
        <v>1</v>
      </c>
      <c r="T11" s="14">
        <v>800000</v>
      </c>
      <c r="U11" s="14">
        <v>600000</v>
      </c>
      <c r="V11" s="14">
        <v>200000</v>
      </c>
      <c r="W11" s="14">
        <v>0</v>
      </c>
      <c r="X11" s="14">
        <v>800000</v>
      </c>
      <c r="Y11" s="14">
        <v>600000</v>
      </c>
      <c r="Z11" s="14">
        <f>X11+Y11</f>
        <v>1400000</v>
      </c>
      <c r="AA11" s="14"/>
      <c r="AB11" s="14">
        <v>0</v>
      </c>
      <c r="AC11" s="14">
        <v>1</v>
      </c>
      <c r="AD11" s="50">
        <v>100000</v>
      </c>
      <c r="AE11" s="14">
        <v>1400000</v>
      </c>
      <c r="AF11" s="14">
        <v>0</v>
      </c>
      <c r="AG11" s="14">
        <v>0</v>
      </c>
      <c r="AH11" s="14">
        <v>0</v>
      </c>
      <c r="AI11" s="14">
        <v>0</v>
      </c>
      <c r="AJ11" s="14">
        <v>100000</v>
      </c>
      <c r="AK11" s="14">
        <v>0</v>
      </c>
      <c r="AL11" s="14">
        <v>0</v>
      </c>
      <c r="AM11" s="51">
        <f>SUM(AE11:AL11)</f>
        <v>1500000</v>
      </c>
    </row>
    <row r="12" s="1" customFormat="1" ht="52" customHeight="1" spans="1:39">
      <c r="A12" s="5" t="s">
        <v>87</v>
      </c>
      <c r="B12" s="6" t="s">
        <v>88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68</v>
      </c>
      <c r="K12" s="9">
        <v>200</v>
      </c>
      <c r="L12" s="14">
        <v>2100000</v>
      </c>
      <c r="M12" s="6">
        <v>0</v>
      </c>
      <c r="N12" s="6">
        <v>0</v>
      </c>
      <c r="O12" s="15" t="s">
        <v>69</v>
      </c>
      <c r="P12" s="6">
        <v>0</v>
      </c>
      <c r="Q12" s="14">
        <v>2100000</v>
      </c>
      <c r="R12" s="14"/>
      <c r="S12" s="14">
        <v>1</v>
      </c>
      <c r="T12" s="14">
        <v>800000</v>
      </c>
      <c r="U12" s="14">
        <v>600000</v>
      </c>
      <c r="V12" s="14">
        <v>200000</v>
      </c>
      <c r="W12" s="14">
        <v>0</v>
      </c>
      <c r="X12" s="14">
        <v>800000</v>
      </c>
      <c r="Y12" s="14">
        <v>600000</v>
      </c>
      <c r="Z12" s="14">
        <f>X12+Y12</f>
        <v>1400000</v>
      </c>
      <c r="AA12" s="14"/>
      <c r="AB12" s="14">
        <v>0</v>
      </c>
      <c r="AC12" s="14">
        <v>3</v>
      </c>
      <c r="AD12" s="14">
        <v>700000</v>
      </c>
      <c r="AE12" s="14">
        <v>1400000</v>
      </c>
      <c r="AF12" s="14">
        <v>600000</v>
      </c>
      <c r="AG12" s="14">
        <v>0</v>
      </c>
      <c r="AH12" s="14">
        <v>0</v>
      </c>
      <c r="AI12" s="14">
        <v>0</v>
      </c>
      <c r="AJ12" s="14">
        <v>100000</v>
      </c>
      <c r="AK12" s="14">
        <v>0</v>
      </c>
      <c r="AL12" s="14">
        <v>0</v>
      </c>
      <c r="AM12" s="51">
        <f t="shared" ref="AM12:AM17" si="2">SUM(AE12:AL12)</f>
        <v>2100000</v>
      </c>
    </row>
    <row r="13" s="1" customFormat="1" ht="52" customHeight="1" spans="1:39">
      <c r="A13" s="5" t="s">
        <v>89</v>
      </c>
      <c r="B13" s="6" t="s">
        <v>90</v>
      </c>
      <c r="C13" s="26" t="s">
        <v>22</v>
      </c>
      <c r="D13" s="6"/>
      <c r="E13" s="14" t="s">
        <v>23</v>
      </c>
      <c r="F13" s="14" t="s">
        <v>24</v>
      </c>
      <c r="G13" s="9" t="s">
        <v>25</v>
      </c>
      <c r="H13" s="9" t="s">
        <v>26</v>
      </c>
      <c r="I13" s="24" t="s">
        <v>27</v>
      </c>
      <c r="J13" s="6" t="s">
        <v>68</v>
      </c>
      <c r="K13" s="9">
        <v>200</v>
      </c>
      <c r="L13" s="14">
        <v>2200000</v>
      </c>
      <c r="M13" s="6">
        <v>0</v>
      </c>
      <c r="N13" s="6">
        <v>0</v>
      </c>
      <c r="O13" s="15" t="s">
        <v>69</v>
      </c>
      <c r="P13" s="6">
        <v>0</v>
      </c>
      <c r="Q13" s="14">
        <v>2200000</v>
      </c>
      <c r="R13" s="14"/>
      <c r="S13" s="14">
        <v>1</v>
      </c>
      <c r="T13" s="14">
        <v>800000</v>
      </c>
      <c r="U13" s="14">
        <v>600000</v>
      </c>
      <c r="V13" s="14">
        <v>200000</v>
      </c>
      <c r="W13" s="14">
        <v>0</v>
      </c>
      <c r="X13" s="14">
        <v>800000</v>
      </c>
      <c r="Y13" s="14">
        <v>600000</v>
      </c>
      <c r="Z13" s="14">
        <f>X13+Y13</f>
        <v>1400000</v>
      </c>
      <c r="AA13" s="14"/>
      <c r="AB13" s="14">
        <v>0</v>
      </c>
      <c r="AC13" s="14">
        <v>4</v>
      </c>
      <c r="AD13" s="14">
        <v>800000</v>
      </c>
      <c r="AE13" s="14">
        <v>1400000</v>
      </c>
      <c r="AF13" s="14">
        <v>600000</v>
      </c>
      <c r="AG13" s="14">
        <v>0</v>
      </c>
      <c r="AH13" s="14">
        <v>0</v>
      </c>
      <c r="AI13" s="14">
        <v>100000</v>
      </c>
      <c r="AJ13" s="14">
        <v>100000</v>
      </c>
      <c r="AK13" s="14">
        <v>0</v>
      </c>
      <c r="AL13" s="14">
        <v>0</v>
      </c>
      <c r="AM13" s="51">
        <f t="shared" si="2"/>
        <v>2200000</v>
      </c>
    </row>
    <row r="14" s="1" customFormat="1" ht="52" customHeight="1" spans="1:39">
      <c r="A14" s="5"/>
      <c r="B14" s="42" t="s">
        <v>91</v>
      </c>
      <c r="C14" s="43"/>
      <c r="D14" s="43"/>
      <c r="E14" s="43"/>
      <c r="F14" s="44"/>
      <c r="G14" s="9"/>
      <c r="H14" s="9"/>
      <c r="I14" s="24"/>
      <c r="J14" s="6"/>
      <c r="K14" s="9"/>
      <c r="L14" s="14"/>
      <c r="M14" s="6"/>
      <c r="N14" s="6"/>
      <c r="O14" s="15"/>
      <c r="P14" s="6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s="1" customFormat="1" ht="52" customHeight="1" spans="1:39">
      <c r="A15" s="5" t="s">
        <v>92</v>
      </c>
      <c r="B15" s="6" t="s">
        <v>86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93</v>
      </c>
      <c r="K15" s="9">
        <v>200</v>
      </c>
      <c r="L15" s="14">
        <v>0</v>
      </c>
      <c r="M15" s="6">
        <v>0</v>
      </c>
      <c r="N15" s="6">
        <v>0</v>
      </c>
      <c r="O15" s="15" t="s">
        <v>69</v>
      </c>
      <c r="P15" s="6">
        <v>0</v>
      </c>
      <c r="Q15" s="14">
        <v>0</v>
      </c>
      <c r="R15" s="14" t="s">
        <v>94</v>
      </c>
      <c r="S15" s="14">
        <v>1</v>
      </c>
      <c r="T15" s="14">
        <v>0</v>
      </c>
      <c r="U15" s="14">
        <v>0</v>
      </c>
      <c r="V15" s="14">
        <v>1000000</v>
      </c>
      <c r="W15" s="14">
        <v>600000</v>
      </c>
      <c r="X15" s="14"/>
      <c r="Y15" s="14"/>
      <c r="Z15" s="14"/>
      <c r="AA15" s="14" t="s">
        <v>94</v>
      </c>
      <c r="AB15" s="14">
        <v>0</v>
      </c>
      <c r="AC15" s="14">
        <v>1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51">
        <f t="shared" si="2"/>
        <v>0</v>
      </c>
    </row>
    <row r="16" s="1" customFormat="1" ht="52" customHeight="1" spans="1:39">
      <c r="A16" s="5" t="s">
        <v>95</v>
      </c>
      <c r="B16" s="6" t="s">
        <v>88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96</v>
      </c>
      <c r="K16" s="9">
        <v>200</v>
      </c>
      <c r="L16" s="14">
        <v>200000</v>
      </c>
      <c r="M16" s="6">
        <v>0</v>
      </c>
      <c r="N16" s="6">
        <v>0</v>
      </c>
      <c r="O16" s="15" t="s">
        <v>69</v>
      </c>
      <c r="P16" s="6">
        <v>0</v>
      </c>
      <c r="Q16" s="14">
        <v>200000</v>
      </c>
      <c r="R16" s="14"/>
      <c r="S16" s="14">
        <v>1</v>
      </c>
      <c r="T16" s="14">
        <v>0</v>
      </c>
      <c r="U16" s="14">
        <v>0</v>
      </c>
      <c r="V16" s="14">
        <v>1000000</v>
      </c>
      <c r="W16" s="14">
        <v>600000</v>
      </c>
      <c r="X16" s="14"/>
      <c r="Y16" s="14"/>
      <c r="Z16" s="14"/>
      <c r="AA16" s="14" t="s">
        <v>94</v>
      </c>
      <c r="AB16" s="14">
        <v>0</v>
      </c>
      <c r="AC16" s="14">
        <v>3</v>
      </c>
      <c r="AD16" s="14">
        <v>200000</v>
      </c>
      <c r="AE16" s="14">
        <v>0</v>
      </c>
      <c r="AF16" s="14">
        <v>200000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51">
        <f t="shared" si="2"/>
        <v>200000</v>
      </c>
    </row>
    <row r="17" s="1" customFormat="1" ht="52" customHeight="1" spans="1:39">
      <c r="A17" s="5" t="s">
        <v>97</v>
      </c>
      <c r="B17" s="6" t="s">
        <v>90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96</v>
      </c>
      <c r="K17" s="9">
        <v>200</v>
      </c>
      <c r="L17" s="14">
        <v>300000</v>
      </c>
      <c r="M17" s="6">
        <v>0</v>
      </c>
      <c r="N17" s="6">
        <v>0</v>
      </c>
      <c r="O17" s="15" t="s">
        <v>69</v>
      </c>
      <c r="P17" s="6">
        <v>0</v>
      </c>
      <c r="Q17" s="14">
        <v>300000</v>
      </c>
      <c r="R17" s="14"/>
      <c r="S17" s="14">
        <v>1</v>
      </c>
      <c r="T17" s="14">
        <v>0</v>
      </c>
      <c r="U17" s="14">
        <v>0</v>
      </c>
      <c r="V17" s="14">
        <v>1000000</v>
      </c>
      <c r="W17" s="14">
        <v>600000</v>
      </c>
      <c r="X17" s="14"/>
      <c r="Y17" s="14"/>
      <c r="Z17" s="14"/>
      <c r="AA17" s="14" t="s">
        <v>94</v>
      </c>
      <c r="AB17" s="14">
        <v>0</v>
      </c>
      <c r="AC17" s="14">
        <v>4</v>
      </c>
      <c r="AD17" s="14">
        <v>300000</v>
      </c>
      <c r="AE17" s="14">
        <v>0</v>
      </c>
      <c r="AF17" s="14">
        <v>200000</v>
      </c>
      <c r="AG17" s="14">
        <v>0</v>
      </c>
      <c r="AH17" s="14">
        <v>0</v>
      </c>
      <c r="AI17" s="14">
        <v>100000</v>
      </c>
      <c r="AJ17" s="14">
        <v>0</v>
      </c>
      <c r="AK17" s="14">
        <v>0</v>
      </c>
      <c r="AL17" s="14">
        <v>0</v>
      </c>
      <c r="AM17" s="51">
        <f t="shared" si="2"/>
        <v>300000</v>
      </c>
    </row>
    <row r="18" s="1" customFormat="1" ht="52" customHeight="1" spans="1:39">
      <c r="A18" s="5"/>
      <c r="B18" s="42" t="s">
        <v>98</v>
      </c>
      <c r="C18" s="43"/>
      <c r="D18" s="43"/>
      <c r="E18" s="43"/>
      <c r="F18" s="44"/>
      <c r="G18" s="9"/>
      <c r="H18" s="9"/>
      <c r="I18" s="24"/>
      <c r="J18" s="6"/>
      <c r="K18" s="9"/>
      <c r="L18" s="14"/>
      <c r="M18" s="6"/>
      <c r="N18" s="6"/>
      <c r="O18" s="15"/>
      <c r="P18" s="6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</row>
    <row r="19" s="1" customFormat="1" ht="52" customHeight="1" spans="1:39">
      <c r="A19" s="5" t="s">
        <v>99</v>
      </c>
      <c r="B19" s="6" t="s">
        <v>86</v>
      </c>
      <c r="C19" s="26" t="s">
        <v>22</v>
      </c>
      <c r="D19" s="6"/>
      <c r="E19" s="14" t="s">
        <v>23</v>
      </c>
      <c r="F19" s="14" t="s">
        <v>24</v>
      </c>
      <c r="G19" s="9" t="s">
        <v>25</v>
      </c>
      <c r="H19" s="9" t="s">
        <v>26</v>
      </c>
      <c r="I19" s="24" t="s">
        <v>27</v>
      </c>
      <c r="J19" s="6" t="s">
        <v>68</v>
      </c>
      <c r="K19" s="9">
        <v>200</v>
      </c>
      <c r="L19" s="14">
        <v>1600000</v>
      </c>
      <c r="M19" s="6">
        <v>0</v>
      </c>
      <c r="N19" s="6">
        <v>0</v>
      </c>
      <c r="O19" s="15" t="s">
        <v>69</v>
      </c>
      <c r="P19" s="6">
        <v>0</v>
      </c>
      <c r="Q19" s="14">
        <v>1600000</v>
      </c>
      <c r="R19" s="14"/>
      <c r="S19" s="14">
        <v>1</v>
      </c>
      <c r="T19" s="14">
        <v>900000</v>
      </c>
      <c r="U19" s="14">
        <v>600000</v>
      </c>
      <c r="V19" s="14">
        <v>100000</v>
      </c>
      <c r="W19" s="14">
        <v>0</v>
      </c>
      <c r="X19" s="14">
        <v>900000</v>
      </c>
      <c r="Y19" s="14">
        <v>600000</v>
      </c>
      <c r="Z19" s="14">
        <f t="shared" ref="Z19:Z21" si="3">X19+Y19</f>
        <v>1500000</v>
      </c>
      <c r="AA19" s="14"/>
      <c r="AB19" s="14">
        <v>0</v>
      </c>
      <c r="AC19" s="14">
        <v>1</v>
      </c>
      <c r="AD19" s="14">
        <v>100000</v>
      </c>
      <c r="AE19" s="14">
        <v>1500000</v>
      </c>
      <c r="AF19" s="14">
        <v>0</v>
      </c>
      <c r="AG19" s="14">
        <v>0</v>
      </c>
      <c r="AH19" s="14">
        <v>0</v>
      </c>
      <c r="AI19" s="14">
        <v>0</v>
      </c>
      <c r="AJ19" s="14">
        <v>100000</v>
      </c>
      <c r="AK19" s="14">
        <v>0</v>
      </c>
      <c r="AL19" s="14">
        <v>0</v>
      </c>
      <c r="AM19" s="51">
        <f t="shared" ref="AM19:AM21" si="4">SUM(AE19:AL19)</f>
        <v>1600000</v>
      </c>
    </row>
    <row r="20" s="1" customFormat="1" ht="52" customHeight="1" spans="1:39">
      <c r="A20" s="5" t="s">
        <v>100</v>
      </c>
      <c r="B20" s="6" t="s">
        <v>88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68</v>
      </c>
      <c r="K20" s="9">
        <v>200</v>
      </c>
      <c r="L20" s="14">
        <v>2200000</v>
      </c>
      <c r="M20" s="6">
        <v>0</v>
      </c>
      <c r="N20" s="6">
        <v>0</v>
      </c>
      <c r="O20" s="15" t="s">
        <v>69</v>
      </c>
      <c r="P20" s="6">
        <v>0</v>
      </c>
      <c r="Q20" s="14">
        <v>2200000</v>
      </c>
      <c r="R20" s="14"/>
      <c r="S20" s="14">
        <v>1</v>
      </c>
      <c r="T20" s="14">
        <v>900000</v>
      </c>
      <c r="U20" s="14">
        <v>600000</v>
      </c>
      <c r="V20" s="14">
        <v>100000</v>
      </c>
      <c r="W20" s="14">
        <v>0</v>
      </c>
      <c r="X20" s="14">
        <v>900000</v>
      </c>
      <c r="Y20" s="14">
        <v>600000</v>
      </c>
      <c r="Z20" s="14">
        <f t="shared" si="3"/>
        <v>1500000</v>
      </c>
      <c r="AA20" s="14"/>
      <c r="AB20" s="14">
        <v>0</v>
      </c>
      <c r="AC20" s="14">
        <v>3</v>
      </c>
      <c r="AD20" s="14">
        <v>700000</v>
      </c>
      <c r="AE20" s="14">
        <v>1500000</v>
      </c>
      <c r="AF20" s="14">
        <v>600000</v>
      </c>
      <c r="AG20" s="14">
        <v>0</v>
      </c>
      <c r="AH20" s="14">
        <v>0</v>
      </c>
      <c r="AI20" s="14">
        <v>0</v>
      </c>
      <c r="AJ20" s="14">
        <v>100000</v>
      </c>
      <c r="AK20" s="14">
        <v>0</v>
      </c>
      <c r="AL20" s="14">
        <v>0</v>
      </c>
      <c r="AM20" s="51">
        <f t="shared" si="4"/>
        <v>2200000</v>
      </c>
    </row>
    <row r="21" s="1" customFormat="1" ht="52" customHeight="1" spans="1:39">
      <c r="A21" s="5" t="s">
        <v>101</v>
      </c>
      <c r="B21" s="6" t="s">
        <v>90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68</v>
      </c>
      <c r="K21" s="9">
        <v>200</v>
      </c>
      <c r="L21" s="14">
        <v>2300000</v>
      </c>
      <c r="M21" s="6">
        <v>0</v>
      </c>
      <c r="N21" s="6">
        <v>0</v>
      </c>
      <c r="O21" s="15" t="s">
        <v>69</v>
      </c>
      <c r="P21" s="6">
        <v>0</v>
      </c>
      <c r="Q21" s="14">
        <v>2300000</v>
      </c>
      <c r="R21" s="14"/>
      <c r="S21" s="14">
        <v>1</v>
      </c>
      <c r="T21" s="14">
        <v>900000</v>
      </c>
      <c r="U21" s="14">
        <v>600000</v>
      </c>
      <c r="V21" s="14">
        <v>100000</v>
      </c>
      <c r="W21" s="14">
        <v>0</v>
      </c>
      <c r="X21" s="14">
        <v>900000</v>
      </c>
      <c r="Y21" s="14">
        <v>600000</v>
      </c>
      <c r="Z21" s="14">
        <f t="shared" si="3"/>
        <v>1500000</v>
      </c>
      <c r="AA21" s="14"/>
      <c r="AB21" s="14">
        <v>0</v>
      </c>
      <c r="AC21" s="14">
        <v>4</v>
      </c>
      <c r="AD21" s="14">
        <v>800000</v>
      </c>
      <c r="AE21" s="14">
        <v>1500000</v>
      </c>
      <c r="AF21" s="14">
        <v>600000</v>
      </c>
      <c r="AG21" s="14">
        <v>0</v>
      </c>
      <c r="AH21" s="14">
        <v>0</v>
      </c>
      <c r="AI21" s="14">
        <v>100000</v>
      </c>
      <c r="AJ21" s="14">
        <v>100000</v>
      </c>
      <c r="AK21" s="14">
        <v>0</v>
      </c>
      <c r="AL21" s="14">
        <v>0</v>
      </c>
      <c r="AM21" s="51">
        <f t="shared" si="4"/>
        <v>2300000</v>
      </c>
    </row>
    <row r="22" s="1" customFormat="1" ht="52" customHeight="1" spans="1:39">
      <c r="A22" s="5"/>
      <c r="B22" s="42" t="s">
        <v>102</v>
      </c>
      <c r="C22" s="43"/>
      <c r="D22" s="43"/>
      <c r="E22" s="43"/>
      <c r="F22" s="44"/>
      <c r="G22" s="9"/>
      <c r="H22" s="9"/>
      <c r="I22" s="24"/>
      <c r="J22" s="6"/>
      <c r="K22" s="9"/>
      <c r="L22" s="14"/>
      <c r="M22" s="6"/>
      <c r="N22" s="6"/>
      <c r="O22" s="15"/>
      <c r="P22" s="6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</row>
    <row r="23" s="1" customFormat="1" ht="52" customHeight="1" spans="1:39">
      <c r="A23" s="5" t="s">
        <v>103</v>
      </c>
      <c r="B23" s="6" t="s">
        <v>86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68</v>
      </c>
      <c r="K23" s="9">
        <v>200</v>
      </c>
      <c r="L23" s="14">
        <v>1530000</v>
      </c>
      <c r="M23" s="6">
        <v>0</v>
      </c>
      <c r="N23" s="6">
        <v>0</v>
      </c>
      <c r="O23" s="15" t="s">
        <v>69</v>
      </c>
      <c r="P23" s="6">
        <v>0</v>
      </c>
      <c r="Q23" s="14">
        <v>1530000</v>
      </c>
      <c r="R23" s="14"/>
      <c r="S23" s="14">
        <v>1</v>
      </c>
      <c r="T23" s="14">
        <v>900000</v>
      </c>
      <c r="U23" s="14">
        <v>540000</v>
      </c>
      <c r="V23" s="14">
        <v>100000</v>
      </c>
      <c r="W23" s="14">
        <v>60000</v>
      </c>
      <c r="X23" s="14">
        <v>900000</v>
      </c>
      <c r="Y23" s="14">
        <v>540000</v>
      </c>
      <c r="Z23" s="14">
        <f t="shared" ref="Z23:Z30" si="5">X23+Y23</f>
        <v>1440000</v>
      </c>
      <c r="AA23" s="14"/>
      <c r="AB23" s="14">
        <v>0</v>
      </c>
      <c r="AC23" s="14">
        <v>1</v>
      </c>
      <c r="AD23" s="14">
        <v>90000</v>
      </c>
      <c r="AE23" s="14">
        <v>1440000</v>
      </c>
      <c r="AF23" s="14">
        <v>0</v>
      </c>
      <c r="AG23" s="14">
        <v>0</v>
      </c>
      <c r="AH23" s="14">
        <v>0</v>
      </c>
      <c r="AI23" s="14">
        <v>0</v>
      </c>
      <c r="AJ23" s="14">
        <v>90000</v>
      </c>
      <c r="AK23" s="14">
        <v>0</v>
      </c>
      <c r="AL23" s="14">
        <v>0</v>
      </c>
      <c r="AM23" s="51">
        <f t="shared" ref="AM23:AM30" si="6">SUM(AE23:AL23)</f>
        <v>1530000</v>
      </c>
    </row>
    <row r="24" s="1" customFormat="1" ht="52" customHeight="1" spans="1:39">
      <c r="A24" s="5" t="s">
        <v>104</v>
      </c>
      <c r="B24" s="6" t="s">
        <v>88</v>
      </c>
      <c r="C24" s="26" t="s">
        <v>22</v>
      </c>
      <c r="D24" s="6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6" t="s">
        <v>68</v>
      </c>
      <c r="K24" s="9">
        <v>200</v>
      </c>
      <c r="L24" s="14">
        <v>2070000</v>
      </c>
      <c r="M24" s="6">
        <v>0</v>
      </c>
      <c r="N24" s="6">
        <v>0</v>
      </c>
      <c r="O24" s="15" t="s">
        <v>69</v>
      </c>
      <c r="P24" s="6">
        <v>0</v>
      </c>
      <c r="Q24" s="14">
        <v>2070000</v>
      </c>
      <c r="R24" s="14"/>
      <c r="S24" s="14">
        <v>1</v>
      </c>
      <c r="T24" s="14">
        <v>900000</v>
      </c>
      <c r="U24" s="14">
        <v>540000</v>
      </c>
      <c r="V24" s="14">
        <v>100000</v>
      </c>
      <c r="W24" s="14">
        <v>60000</v>
      </c>
      <c r="X24" s="14">
        <v>900000</v>
      </c>
      <c r="Y24" s="14">
        <v>540000</v>
      </c>
      <c r="Z24" s="14">
        <f t="shared" si="5"/>
        <v>1440000</v>
      </c>
      <c r="AA24" s="14"/>
      <c r="AB24" s="14">
        <v>0</v>
      </c>
      <c r="AC24" s="14">
        <v>3</v>
      </c>
      <c r="AD24" s="14">
        <v>630000</v>
      </c>
      <c r="AE24" s="14">
        <v>1440000</v>
      </c>
      <c r="AF24" s="14">
        <v>540000</v>
      </c>
      <c r="AG24" s="14">
        <v>0</v>
      </c>
      <c r="AH24" s="14">
        <v>0</v>
      </c>
      <c r="AI24" s="14">
        <v>0</v>
      </c>
      <c r="AJ24" s="14">
        <v>90000</v>
      </c>
      <c r="AK24" s="14">
        <v>0</v>
      </c>
      <c r="AL24" s="14">
        <v>0</v>
      </c>
      <c r="AM24" s="51">
        <f t="shared" si="6"/>
        <v>2070000</v>
      </c>
    </row>
    <row r="25" s="1" customFormat="1" ht="52" customHeight="1" spans="1:39">
      <c r="A25" s="5" t="s">
        <v>105</v>
      </c>
      <c r="B25" s="6" t="s">
        <v>90</v>
      </c>
      <c r="C25" s="26" t="s">
        <v>22</v>
      </c>
      <c r="D25" s="6"/>
      <c r="E25" s="14" t="s">
        <v>23</v>
      </c>
      <c r="F25" s="14" t="s">
        <v>24</v>
      </c>
      <c r="G25" s="9" t="s">
        <v>25</v>
      </c>
      <c r="H25" s="9" t="s">
        <v>26</v>
      </c>
      <c r="I25" s="24" t="s">
        <v>27</v>
      </c>
      <c r="J25" s="6" t="s">
        <v>68</v>
      </c>
      <c r="K25" s="9">
        <v>200</v>
      </c>
      <c r="L25" s="14">
        <v>2160000</v>
      </c>
      <c r="M25" s="6">
        <v>0</v>
      </c>
      <c r="N25" s="6">
        <v>0</v>
      </c>
      <c r="O25" s="15" t="s">
        <v>69</v>
      </c>
      <c r="P25" s="6">
        <v>0</v>
      </c>
      <c r="Q25" s="14">
        <v>2160000</v>
      </c>
      <c r="R25" s="14"/>
      <c r="S25" s="14">
        <v>1</v>
      </c>
      <c r="T25" s="14">
        <v>900000</v>
      </c>
      <c r="U25" s="14">
        <v>540000</v>
      </c>
      <c r="V25" s="14">
        <v>100000</v>
      </c>
      <c r="W25" s="14">
        <v>60000</v>
      </c>
      <c r="X25" s="14">
        <v>900000</v>
      </c>
      <c r="Y25" s="14">
        <v>540000</v>
      </c>
      <c r="Z25" s="14">
        <f t="shared" si="5"/>
        <v>1440000</v>
      </c>
      <c r="AA25" s="14"/>
      <c r="AB25" s="14">
        <v>0</v>
      </c>
      <c r="AC25" s="14">
        <v>4</v>
      </c>
      <c r="AD25" s="14">
        <v>720000</v>
      </c>
      <c r="AE25" s="14">
        <v>1440000</v>
      </c>
      <c r="AF25" s="14">
        <v>540000</v>
      </c>
      <c r="AG25" s="14">
        <v>0</v>
      </c>
      <c r="AH25" s="14">
        <v>0</v>
      </c>
      <c r="AI25" s="14">
        <v>90000</v>
      </c>
      <c r="AJ25" s="14">
        <v>90000</v>
      </c>
      <c r="AK25" s="14">
        <v>0</v>
      </c>
      <c r="AL25" s="14">
        <v>0</v>
      </c>
      <c r="AM25" s="51">
        <f t="shared" si="6"/>
        <v>2160000</v>
      </c>
    </row>
    <row r="26" s="1" customFormat="1" ht="52" customHeight="1" spans="1:39">
      <c r="A26" s="5" t="s">
        <v>106</v>
      </c>
      <c r="B26" s="6" t="s">
        <v>107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68</v>
      </c>
      <c r="K26" s="9">
        <v>200</v>
      </c>
      <c r="L26" s="14">
        <v>2250000</v>
      </c>
      <c r="M26" s="6">
        <v>0</v>
      </c>
      <c r="N26" s="6">
        <v>0</v>
      </c>
      <c r="O26" s="15" t="s">
        <v>69</v>
      </c>
      <c r="P26" s="6">
        <v>0</v>
      </c>
      <c r="Q26" s="14">
        <v>2250000</v>
      </c>
      <c r="R26" s="14"/>
      <c r="S26" s="14">
        <v>1</v>
      </c>
      <c r="T26" s="14">
        <v>900000</v>
      </c>
      <c r="U26" s="14">
        <v>540000</v>
      </c>
      <c r="V26" s="14">
        <v>100000</v>
      </c>
      <c r="W26" s="14">
        <v>60000</v>
      </c>
      <c r="X26" s="14">
        <v>900000</v>
      </c>
      <c r="Y26" s="14">
        <v>540000</v>
      </c>
      <c r="Z26" s="14">
        <f t="shared" si="5"/>
        <v>1440000</v>
      </c>
      <c r="AA26" s="14"/>
      <c r="AB26" s="14">
        <v>0</v>
      </c>
      <c r="AC26" s="14">
        <v>5</v>
      </c>
      <c r="AD26" s="14">
        <v>810000</v>
      </c>
      <c r="AE26" s="14">
        <v>1440000</v>
      </c>
      <c r="AF26" s="14">
        <v>540000</v>
      </c>
      <c r="AG26" s="14">
        <v>0</v>
      </c>
      <c r="AH26" s="14">
        <v>0</v>
      </c>
      <c r="AI26" s="14">
        <v>90000</v>
      </c>
      <c r="AJ26" s="14">
        <v>180000</v>
      </c>
      <c r="AK26" s="14">
        <v>0</v>
      </c>
      <c r="AL26" s="14">
        <v>0</v>
      </c>
      <c r="AM26" s="51">
        <f t="shared" si="6"/>
        <v>2250000</v>
      </c>
    </row>
    <row r="27" s="1" customFormat="1" ht="52" customHeight="1" spans="1:39">
      <c r="A27" s="5" t="s">
        <v>108</v>
      </c>
      <c r="B27" s="6" t="s">
        <v>109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68</v>
      </c>
      <c r="K27" s="9">
        <v>200</v>
      </c>
      <c r="L27" s="14">
        <v>2340000</v>
      </c>
      <c r="M27" s="6">
        <v>0</v>
      </c>
      <c r="N27" s="6">
        <v>0</v>
      </c>
      <c r="O27" s="15" t="s">
        <v>69</v>
      </c>
      <c r="P27" s="6">
        <v>0</v>
      </c>
      <c r="Q27" s="14">
        <v>2340000</v>
      </c>
      <c r="R27" s="14"/>
      <c r="S27" s="14">
        <v>1</v>
      </c>
      <c r="T27" s="14">
        <v>900000</v>
      </c>
      <c r="U27" s="14">
        <v>540000</v>
      </c>
      <c r="V27" s="14">
        <v>100000</v>
      </c>
      <c r="W27" s="14">
        <v>60000</v>
      </c>
      <c r="X27" s="14">
        <v>900000</v>
      </c>
      <c r="Y27" s="14">
        <v>540000</v>
      </c>
      <c r="Z27" s="14">
        <f t="shared" si="5"/>
        <v>1440000</v>
      </c>
      <c r="AA27" s="14"/>
      <c r="AB27" s="14">
        <v>0</v>
      </c>
      <c r="AC27" s="14">
        <v>6</v>
      </c>
      <c r="AD27" s="14">
        <v>900000</v>
      </c>
      <c r="AE27" s="14">
        <v>1440000</v>
      </c>
      <c r="AF27" s="14">
        <v>540000</v>
      </c>
      <c r="AG27" s="14">
        <v>0</v>
      </c>
      <c r="AH27" s="14">
        <v>0</v>
      </c>
      <c r="AI27" s="14">
        <v>90000</v>
      </c>
      <c r="AJ27" s="14">
        <v>180000</v>
      </c>
      <c r="AK27" s="14">
        <v>90000</v>
      </c>
      <c r="AL27" s="14">
        <v>0</v>
      </c>
      <c r="AM27" s="51">
        <f t="shared" si="6"/>
        <v>2340000</v>
      </c>
    </row>
    <row r="28" s="1" customFormat="1" ht="52" customHeight="1" spans="1:39">
      <c r="A28" s="5" t="s">
        <v>110</v>
      </c>
      <c r="B28" s="6" t="s">
        <v>111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68</v>
      </c>
      <c r="K28" s="9">
        <v>200</v>
      </c>
      <c r="L28" s="14">
        <v>2430000</v>
      </c>
      <c r="M28" s="6">
        <v>0</v>
      </c>
      <c r="N28" s="6">
        <v>0</v>
      </c>
      <c r="O28" s="15" t="s">
        <v>69</v>
      </c>
      <c r="P28" s="6">
        <v>0</v>
      </c>
      <c r="Q28" s="14">
        <v>2430000</v>
      </c>
      <c r="R28" s="14"/>
      <c r="S28" s="14">
        <v>1</v>
      </c>
      <c r="T28" s="14">
        <v>900000</v>
      </c>
      <c r="U28" s="14">
        <v>540000</v>
      </c>
      <c r="V28" s="14">
        <v>100000</v>
      </c>
      <c r="W28" s="14">
        <v>60000</v>
      </c>
      <c r="X28" s="14">
        <v>900000</v>
      </c>
      <c r="Y28" s="14">
        <v>540000</v>
      </c>
      <c r="Z28" s="14">
        <f t="shared" si="5"/>
        <v>1440000</v>
      </c>
      <c r="AA28" s="14"/>
      <c r="AB28" s="14">
        <v>0</v>
      </c>
      <c r="AC28" s="14">
        <v>7</v>
      </c>
      <c r="AD28" s="14">
        <v>990000</v>
      </c>
      <c r="AE28" s="14">
        <v>1440000</v>
      </c>
      <c r="AF28" s="14">
        <v>540000</v>
      </c>
      <c r="AG28" s="14">
        <v>90000</v>
      </c>
      <c r="AH28" s="14">
        <v>0</v>
      </c>
      <c r="AI28" s="14">
        <v>90000</v>
      </c>
      <c r="AJ28" s="14">
        <v>180000</v>
      </c>
      <c r="AK28" s="14">
        <v>90000</v>
      </c>
      <c r="AL28" s="14">
        <v>0</v>
      </c>
      <c r="AM28" s="51">
        <f t="shared" si="6"/>
        <v>2430000</v>
      </c>
    </row>
    <row r="29" s="1" customFormat="1" ht="52" customHeight="1" spans="1:39">
      <c r="A29" s="5" t="s">
        <v>112</v>
      </c>
      <c r="B29" s="6" t="s">
        <v>113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68</v>
      </c>
      <c r="K29" s="9">
        <v>200</v>
      </c>
      <c r="L29" s="14">
        <v>2520000</v>
      </c>
      <c r="M29" s="6">
        <v>0</v>
      </c>
      <c r="N29" s="6">
        <v>0</v>
      </c>
      <c r="O29" s="15" t="s">
        <v>69</v>
      </c>
      <c r="P29" s="6">
        <v>0</v>
      </c>
      <c r="Q29" s="14">
        <v>2520000</v>
      </c>
      <c r="R29" s="14"/>
      <c r="S29" s="14">
        <v>1</v>
      </c>
      <c r="T29" s="14">
        <v>900000</v>
      </c>
      <c r="U29" s="14">
        <v>540000</v>
      </c>
      <c r="V29" s="14">
        <v>100000</v>
      </c>
      <c r="W29" s="14">
        <v>60000</v>
      </c>
      <c r="X29" s="14">
        <v>900000</v>
      </c>
      <c r="Y29" s="14">
        <v>540000</v>
      </c>
      <c r="Z29" s="14">
        <f t="shared" si="5"/>
        <v>1440000</v>
      </c>
      <c r="AA29" s="14"/>
      <c r="AB29" s="14">
        <v>0</v>
      </c>
      <c r="AC29" s="14">
        <v>8</v>
      </c>
      <c r="AD29" s="14">
        <v>1080000</v>
      </c>
      <c r="AE29" s="14">
        <v>1440000</v>
      </c>
      <c r="AF29" s="14">
        <v>630000</v>
      </c>
      <c r="AG29" s="14">
        <v>90000</v>
      </c>
      <c r="AH29" s="14">
        <v>0</v>
      </c>
      <c r="AI29" s="14">
        <v>90000</v>
      </c>
      <c r="AJ29" s="14">
        <v>180000</v>
      </c>
      <c r="AK29" s="14">
        <v>90000</v>
      </c>
      <c r="AL29" s="14">
        <v>0</v>
      </c>
      <c r="AM29" s="51">
        <f t="shared" si="6"/>
        <v>2520000</v>
      </c>
    </row>
    <row r="30" s="1" customFormat="1" ht="73" customHeight="1" spans="1:39">
      <c r="A30" s="5" t="s">
        <v>114</v>
      </c>
      <c r="B30" s="6" t="s">
        <v>115</v>
      </c>
      <c r="C30" s="26" t="s">
        <v>22</v>
      </c>
      <c r="D30" s="6"/>
      <c r="E30" s="14" t="s">
        <v>23</v>
      </c>
      <c r="F30" s="14" t="s">
        <v>24</v>
      </c>
      <c r="G30" s="9" t="s">
        <v>25</v>
      </c>
      <c r="H30" s="9" t="s">
        <v>26</v>
      </c>
      <c r="I30" s="24" t="s">
        <v>27</v>
      </c>
      <c r="J30" s="6" t="s">
        <v>68</v>
      </c>
      <c r="K30" s="9">
        <v>200</v>
      </c>
      <c r="L30" s="14">
        <v>2610000</v>
      </c>
      <c r="M30" s="6">
        <v>0</v>
      </c>
      <c r="N30" s="6">
        <v>0</v>
      </c>
      <c r="O30" s="15" t="s">
        <v>69</v>
      </c>
      <c r="P30" s="6">
        <v>0</v>
      </c>
      <c r="Q30" s="14">
        <v>2610000</v>
      </c>
      <c r="R30" s="14"/>
      <c r="S30" s="14">
        <v>1</v>
      </c>
      <c r="T30" s="14">
        <v>900000</v>
      </c>
      <c r="U30" s="14">
        <v>540000</v>
      </c>
      <c r="V30" s="14">
        <v>100000</v>
      </c>
      <c r="W30" s="14">
        <v>60000</v>
      </c>
      <c r="X30" s="14">
        <v>900000</v>
      </c>
      <c r="Y30" s="14">
        <v>540000</v>
      </c>
      <c r="Z30" s="14">
        <f t="shared" si="5"/>
        <v>1440000</v>
      </c>
      <c r="AA30" s="14"/>
      <c r="AB30" s="14">
        <v>0</v>
      </c>
      <c r="AC30" s="14">
        <v>9</v>
      </c>
      <c r="AD30" s="14">
        <v>1170000</v>
      </c>
      <c r="AE30" s="14">
        <v>1440000</v>
      </c>
      <c r="AF30" s="14">
        <v>630000</v>
      </c>
      <c r="AG30" s="14">
        <v>90000</v>
      </c>
      <c r="AH30" s="14">
        <v>90000</v>
      </c>
      <c r="AI30" s="14">
        <v>90000</v>
      </c>
      <c r="AJ30" s="14">
        <v>180000</v>
      </c>
      <c r="AK30" s="14">
        <v>90000</v>
      </c>
      <c r="AL30" s="14">
        <v>0</v>
      </c>
      <c r="AM30" s="51">
        <f t="shared" si="6"/>
        <v>2610000</v>
      </c>
    </row>
    <row r="31" s="1" customFormat="1" ht="52" customHeight="1" spans="1:39">
      <c r="A31" s="5"/>
      <c r="B31" s="45"/>
      <c r="C31" s="46"/>
      <c r="D31" s="46"/>
      <c r="E31" s="46"/>
      <c r="F31" s="47"/>
      <c r="G31" s="9"/>
      <c r="H31" s="9"/>
      <c r="I31" s="24"/>
      <c r="J31" s="6"/>
      <c r="K31" s="9"/>
      <c r="L31" s="14"/>
      <c r="M31" s="6"/>
      <c r="N31" s="6"/>
      <c r="O31" s="15"/>
      <c r="P31" s="6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</row>
    <row r="32" s="1" customFormat="1" ht="52" customHeight="1" spans="1:39">
      <c r="A32" s="5"/>
      <c r="B32" s="42" t="s">
        <v>116</v>
      </c>
      <c r="C32" s="43"/>
      <c r="D32" s="43"/>
      <c r="E32" s="43"/>
      <c r="F32" s="44"/>
      <c r="G32" s="9"/>
      <c r="H32" s="9"/>
      <c r="I32" s="24"/>
      <c r="J32" s="6"/>
      <c r="K32" s="9"/>
      <c r="L32" s="14"/>
      <c r="M32" s="6"/>
      <c r="N32" s="6"/>
      <c r="O32" s="15"/>
      <c r="P32" s="6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</row>
    <row r="33" s="1" customFormat="1" ht="52" customHeight="1" spans="1:39">
      <c r="A33" s="5" t="s">
        <v>117</v>
      </c>
      <c r="B33" s="6" t="s">
        <v>86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68</v>
      </c>
      <c r="K33" s="9">
        <v>200</v>
      </c>
      <c r="L33" s="14">
        <v>250000</v>
      </c>
      <c r="M33" s="6">
        <v>0</v>
      </c>
      <c r="N33" s="6">
        <v>0</v>
      </c>
      <c r="O33" s="15" t="s">
        <v>69</v>
      </c>
      <c r="P33" s="6">
        <v>0</v>
      </c>
      <c r="Q33" s="14">
        <v>250000</v>
      </c>
      <c r="R33" s="14" t="s">
        <v>94</v>
      </c>
      <c r="S33" s="14">
        <v>1</v>
      </c>
      <c r="T33" s="14">
        <v>100000</v>
      </c>
      <c r="U33" s="14">
        <v>100000</v>
      </c>
      <c r="V33" s="14">
        <v>0</v>
      </c>
      <c r="W33" s="14">
        <v>0</v>
      </c>
      <c r="X33" s="14">
        <v>100000</v>
      </c>
      <c r="Y33" s="14">
        <v>100000</v>
      </c>
      <c r="Z33" s="14">
        <f t="shared" ref="Z33:Z35" si="7">X33+Y33</f>
        <v>200000</v>
      </c>
      <c r="AA33" s="14"/>
      <c r="AB33" s="14">
        <v>0</v>
      </c>
      <c r="AC33" s="14">
        <v>1</v>
      </c>
      <c r="AD33" s="14">
        <v>50000</v>
      </c>
      <c r="AE33" s="14">
        <v>200000</v>
      </c>
      <c r="AF33" s="14">
        <v>0</v>
      </c>
      <c r="AG33" s="14">
        <v>0</v>
      </c>
      <c r="AH33" s="14">
        <v>0</v>
      </c>
      <c r="AI33" s="14">
        <v>0</v>
      </c>
      <c r="AJ33" s="14">
        <v>50000</v>
      </c>
      <c r="AK33" s="14">
        <v>0</v>
      </c>
      <c r="AL33" s="14">
        <v>0</v>
      </c>
      <c r="AM33" s="51">
        <f t="shared" ref="AM33:AM35" si="8">SUM(AE33:AL33)</f>
        <v>250000</v>
      </c>
    </row>
    <row r="34" s="1" customFormat="1" ht="52" customHeight="1" spans="1:39">
      <c r="A34" s="5" t="s">
        <v>118</v>
      </c>
      <c r="B34" s="6" t="s">
        <v>88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68</v>
      </c>
      <c r="K34" s="9">
        <v>200</v>
      </c>
      <c r="L34" s="14">
        <v>550000</v>
      </c>
      <c r="M34" s="6">
        <v>0</v>
      </c>
      <c r="N34" s="6">
        <v>0</v>
      </c>
      <c r="O34" s="15" t="s">
        <v>69</v>
      </c>
      <c r="P34" s="6">
        <v>0</v>
      </c>
      <c r="Q34" s="14">
        <v>550000</v>
      </c>
      <c r="R34" s="14" t="s">
        <v>94</v>
      </c>
      <c r="S34" s="14">
        <v>1</v>
      </c>
      <c r="T34" s="14">
        <v>100000</v>
      </c>
      <c r="U34" s="14">
        <v>100000</v>
      </c>
      <c r="V34" s="14">
        <v>0</v>
      </c>
      <c r="W34" s="14">
        <v>0</v>
      </c>
      <c r="X34" s="14">
        <v>100000</v>
      </c>
      <c r="Y34" s="14">
        <v>100000</v>
      </c>
      <c r="Z34" s="14">
        <f t="shared" si="7"/>
        <v>200000</v>
      </c>
      <c r="AA34" s="14"/>
      <c r="AB34" s="14">
        <v>0</v>
      </c>
      <c r="AC34" s="14">
        <v>3</v>
      </c>
      <c r="AD34" s="14">
        <v>350000</v>
      </c>
      <c r="AE34" s="14">
        <v>200000</v>
      </c>
      <c r="AF34" s="14">
        <v>300000</v>
      </c>
      <c r="AG34" s="14">
        <v>0</v>
      </c>
      <c r="AH34" s="14">
        <v>0</v>
      </c>
      <c r="AI34" s="14">
        <v>0</v>
      </c>
      <c r="AJ34" s="14">
        <v>50000</v>
      </c>
      <c r="AK34" s="14">
        <v>0</v>
      </c>
      <c r="AL34" s="14">
        <v>0</v>
      </c>
      <c r="AM34" s="51">
        <f t="shared" si="8"/>
        <v>550000</v>
      </c>
    </row>
    <row r="35" s="1" customFormat="1" ht="52" customHeight="1" spans="1:39">
      <c r="A35" s="5" t="s">
        <v>119</v>
      </c>
      <c r="B35" s="6" t="s">
        <v>90</v>
      </c>
      <c r="C35" s="26" t="s">
        <v>22</v>
      </c>
      <c r="D35" s="6"/>
      <c r="E35" s="14" t="s">
        <v>23</v>
      </c>
      <c r="F35" s="14" t="s">
        <v>24</v>
      </c>
      <c r="G35" s="9" t="s">
        <v>25</v>
      </c>
      <c r="H35" s="9" t="s">
        <v>26</v>
      </c>
      <c r="I35" s="24" t="s">
        <v>27</v>
      </c>
      <c r="J35" s="6" t="s">
        <v>68</v>
      </c>
      <c r="K35" s="9">
        <v>200</v>
      </c>
      <c r="L35" s="14">
        <v>650000</v>
      </c>
      <c r="M35" s="6">
        <v>0</v>
      </c>
      <c r="N35" s="6">
        <v>0</v>
      </c>
      <c r="O35" s="15" t="s">
        <v>69</v>
      </c>
      <c r="P35" s="6">
        <v>0</v>
      </c>
      <c r="Q35" s="14">
        <v>650000</v>
      </c>
      <c r="R35" s="14" t="s">
        <v>94</v>
      </c>
      <c r="S35" s="14">
        <v>1</v>
      </c>
      <c r="T35" s="14">
        <v>100000</v>
      </c>
      <c r="U35" s="14">
        <v>100000</v>
      </c>
      <c r="V35" s="14">
        <v>0</v>
      </c>
      <c r="W35" s="14">
        <v>0</v>
      </c>
      <c r="X35" s="14">
        <v>100000</v>
      </c>
      <c r="Y35" s="14">
        <v>100000</v>
      </c>
      <c r="Z35" s="14">
        <f t="shared" si="7"/>
        <v>200000</v>
      </c>
      <c r="AA35" s="14"/>
      <c r="AB35" s="14">
        <v>0</v>
      </c>
      <c r="AC35" s="14">
        <v>4</v>
      </c>
      <c r="AD35" s="14">
        <v>450000</v>
      </c>
      <c r="AE35" s="14">
        <v>200000</v>
      </c>
      <c r="AF35" s="14">
        <v>300000</v>
      </c>
      <c r="AG35" s="14">
        <v>0</v>
      </c>
      <c r="AH35" s="14">
        <v>0</v>
      </c>
      <c r="AI35" s="14">
        <v>100000</v>
      </c>
      <c r="AJ35" s="14">
        <v>50000</v>
      </c>
      <c r="AK35" s="14">
        <v>0</v>
      </c>
      <c r="AL35" s="14">
        <v>0</v>
      </c>
      <c r="AM35" s="51">
        <f t="shared" si="8"/>
        <v>650000</v>
      </c>
    </row>
    <row r="36" s="1" customFormat="1" ht="52" customHeight="1" spans="1:39">
      <c r="A36" s="5"/>
      <c r="B36" s="42" t="s">
        <v>120</v>
      </c>
      <c r="C36" s="43"/>
      <c r="D36" s="43"/>
      <c r="E36" s="43"/>
      <c r="F36" s="44"/>
      <c r="G36" s="9"/>
      <c r="H36" s="9"/>
      <c r="I36" s="24"/>
      <c r="J36" s="6"/>
      <c r="K36" s="9"/>
      <c r="L36" s="14"/>
      <c r="M36" s="6"/>
      <c r="N36" s="6"/>
      <c r="O36" s="15"/>
      <c r="P36" s="6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</row>
    <row r="37" s="1" customFormat="1" ht="52" customHeight="1" spans="1:39">
      <c r="A37" s="5" t="s">
        <v>121</v>
      </c>
      <c r="B37" s="6" t="s">
        <v>86</v>
      </c>
      <c r="C37" s="26" t="s">
        <v>22</v>
      </c>
      <c r="D37" s="6"/>
      <c r="E37" s="14" t="s">
        <v>23</v>
      </c>
      <c r="F37" s="14" t="s">
        <v>24</v>
      </c>
      <c r="G37" s="9" t="s">
        <v>25</v>
      </c>
      <c r="H37" s="9" t="s">
        <v>26</v>
      </c>
      <c r="I37" s="24" t="s">
        <v>27</v>
      </c>
      <c r="J37" s="6" t="s">
        <v>68</v>
      </c>
      <c r="K37" s="9">
        <v>200</v>
      </c>
      <c r="L37" s="14">
        <v>250000</v>
      </c>
      <c r="M37" s="6">
        <v>0</v>
      </c>
      <c r="N37" s="6">
        <v>0</v>
      </c>
      <c r="O37" s="15" t="s">
        <v>69</v>
      </c>
      <c r="P37" s="6">
        <v>0</v>
      </c>
      <c r="Q37" s="14">
        <v>250000</v>
      </c>
      <c r="R37" s="14" t="s">
        <v>94</v>
      </c>
      <c r="S37" s="14">
        <v>1</v>
      </c>
      <c r="T37" s="14">
        <v>100000</v>
      </c>
      <c r="U37" s="14">
        <v>100000</v>
      </c>
      <c r="V37" s="14">
        <v>0</v>
      </c>
      <c r="W37" s="14">
        <v>0</v>
      </c>
      <c r="X37" s="14">
        <v>100000</v>
      </c>
      <c r="Y37" s="14">
        <v>100000</v>
      </c>
      <c r="Z37" s="14">
        <f t="shared" ref="Z37:Z39" si="9">X37+Y37</f>
        <v>200000</v>
      </c>
      <c r="AA37" s="14"/>
      <c r="AB37" s="14">
        <v>0</v>
      </c>
      <c r="AC37" s="14">
        <v>1</v>
      </c>
      <c r="AD37" s="14">
        <v>50000</v>
      </c>
      <c r="AE37" s="14">
        <v>200000</v>
      </c>
      <c r="AF37" s="14">
        <v>0</v>
      </c>
      <c r="AG37" s="14">
        <v>0</v>
      </c>
      <c r="AH37" s="14">
        <v>0</v>
      </c>
      <c r="AI37" s="14">
        <v>0</v>
      </c>
      <c r="AJ37" s="14">
        <v>50000</v>
      </c>
      <c r="AK37" s="14">
        <v>0</v>
      </c>
      <c r="AL37" s="14">
        <v>0</v>
      </c>
      <c r="AM37" s="51">
        <f t="shared" ref="AM37:AM39" si="10">SUM(AE37:AL37)</f>
        <v>250000</v>
      </c>
    </row>
    <row r="38" s="1" customFormat="1" ht="52" customHeight="1" spans="1:39">
      <c r="A38" s="5" t="s">
        <v>122</v>
      </c>
      <c r="B38" s="6" t="s">
        <v>88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68</v>
      </c>
      <c r="K38" s="9">
        <v>200</v>
      </c>
      <c r="L38" s="14">
        <v>550000</v>
      </c>
      <c r="M38" s="6">
        <v>0</v>
      </c>
      <c r="N38" s="6">
        <v>0</v>
      </c>
      <c r="O38" s="15" t="s">
        <v>69</v>
      </c>
      <c r="P38" s="6">
        <v>0</v>
      </c>
      <c r="Q38" s="14">
        <v>550000</v>
      </c>
      <c r="R38" s="14" t="s">
        <v>94</v>
      </c>
      <c r="S38" s="14">
        <v>1</v>
      </c>
      <c r="T38" s="14">
        <v>100000</v>
      </c>
      <c r="U38" s="14">
        <v>100000</v>
      </c>
      <c r="V38" s="14">
        <v>0</v>
      </c>
      <c r="W38" s="14">
        <v>0</v>
      </c>
      <c r="X38" s="14">
        <v>100000</v>
      </c>
      <c r="Y38" s="14">
        <v>100000</v>
      </c>
      <c r="Z38" s="14">
        <f t="shared" si="9"/>
        <v>200000</v>
      </c>
      <c r="AA38" s="14"/>
      <c r="AB38" s="14">
        <v>0</v>
      </c>
      <c r="AC38" s="14">
        <v>3</v>
      </c>
      <c r="AD38" s="14">
        <v>350000</v>
      </c>
      <c r="AE38" s="14">
        <v>200000</v>
      </c>
      <c r="AF38" s="14">
        <v>300000</v>
      </c>
      <c r="AG38" s="14">
        <v>0</v>
      </c>
      <c r="AH38" s="14">
        <v>0</v>
      </c>
      <c r="AI38" s="14">
        <v>0</v>
      </c>
      <c r="AJ38" s="14">
        <v>50000</v>
      </c>
      <c r="AK38" s="14">
        <v>0</v>
      </c>
      <c r="AL38" s="14">
        <v>0</v>
      </c>
      <c r="AM38" s="51">
        <f t="shared" si="10"/>
        <v>550000</v>
      </c>
    </row>
    <row r="39" s="1" customFormat="1" ht="52" customHeight="1" spans="1:39">
      <c r="A39" s="5" t="s">
        <v>123</v>
      </c>
      <c r="B39" s="6" t="s">
        <v>90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68</v>
      </c>
      <c r="K39" s="9">
        <v>200</v>
      </c>
      <c r="L39" s="14">
        <v>650000</v>
      </c>
      <c r="M39" s="6">
        <v>0</v>
      </c>
      <c r="N39" s="6">
        <v>0</v>
      </c>
      <c r="O39" s="15" t="s">
        <v>69</v>
      </c>
      <c r="P39" s="6">
        <v>0</v>
      </c>
      <c r="Q39" s="14">
        <v>650000</v>
      </c>
      <c r="R39" s="14" t="s">
        <v>94</v>
      </c>
      <c r="S39" s="14">
        <v>1</v>
      </c>
      <c r="T39" s="14">
        <v>100000</v>
      </c>
      <c r="U39" s="14">
        <v>100000</v>
      </c>
      <c r="V39" s="14">
        <v>0</v>
      </c>
      <c r="W39" s="14">
        <v>0</v>
      </c>
      <c r="X39" s="14">
        <v>100000</v>
      </c>
      <c r="Y39" s="14">
        <v>100000</v>
      </c>
      <c r="Z39" s="14">
        <f t="shared" si="9"/>
        <v>200000</v>
      </c>
      <c r="AA39" s="14"/>
      <c r="AB39" s="14">
        <v>0</v>
      </c>
      <c r="AC39" s="14">
        <v>4</v>
      </c>
      <c r="AD39" s="14">
        <v>450000</v>
      </c>
      <c r="AE39" s="14">
        <v>200000</v>
      </c>
      <c r="AF39" s="14">
        <v>300000</v>
      </c>
      <c r="AG39" s="14">
        <v>0</v>
      </c>
      <c r="AH39" s="14">
        <v>0</v>
      </c>
      <c r="AI39" s="14">
        <v>100000</v>
      </c>
      <c r="AJ39" s="14">
        <v>50000</v>
      </c>
      <c r="AK39" s="14">
        <v>0</v>
      </c>
      <c r="AL39" s="14">
        <v>0</v>
      </c>
      <c r="AM39" s="51">
        <f t="shared" si="10"/>
        <v>650000</v>
      </c>
    </row>
    <row r="40" s="1" customFormat="1" ht="52" customHeight="1" spans="1:39">
      <c r="A40" s="5"/>
      <c r="B40" s="6"/>
      <c r="C40" s="26"/>
      <c r="D40" s="6"/>
      <c r="E40" s="14"/>
      <c r="F40" s="14"/>
      <c r="G40" s="9"/>
      <c r="H40" s="9"/>
      <c r="I40" s="24"/>
      <c r="J40" s="6"/>
      <c r="K40" s="9"/>
      <c r="L40" s="14"/>
      <c r="M40" s="6"/>
      <c r="N40" s="6"/>
      <c r="O40" s="15"/>
      <c r="P40" s="6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</row>
    <row r="41" s="1" customFormat="1" ht="52" customHeight="1" spans="1:39">
      <c r="A41" s="5" t="s">
        <v>124</v>
      </c>
      <c r="B41" s="6" t="s">
        <v>125</v>
      </c>
      <c r="C41" s="26" t="s">
        <v>22</v>
      </c>
      <c r="D41" s="6"/>
      <c r="E41" s="14" t="s">
        <v>23</v>
      </c>
      <c r="F41" s="14" t="s">
        <v>24</v>
      </c>
      <c r="G41" s="9" t="s">
        <v>25</v>
      </c>
      <c r="H41" s="9" t="s">
        <v>26</v>
      </c>
      <c r="I41" s="24" t="s">
        <v>27</v>
      </c>
      <c r="J41" s="6" t="s">
        <v>68</v>
      </c>
      <c r="K41" s="9">
        <v>200</v>
      </c>
      <c r="L41" s="14">
        <v>2400000</v>
      </c>
      <c r="M41" s="6">
        <v>0</v>
      </c>
      <c r="N41" s="6">
        <v>0</v>
      </c>
      <c r="O41" s="15" t="s">
        <v>69</v>
      </c>
      <c r="P41" s="6">
        <v>0</v>
      </c>
      <c r="Q41" s="14">
        <v>2400000</v>
      </c>
      <c r="R41" s="14"/>
      <c r="S41" s="14">
        <v>1</v>
      </c>
      <c r="T41" s="14">
        <v>1000000</v>
      </c>
      <c r="U41" s="14">
        <v>600000</v>
      </c>
      <c r="V41" s="14">
        <v>0</v>
      </c>
      <c r="W41" s="14">
        <v>0</v>
      </c>
      <c r="X41" s="14">
        <v>1000000</v>
      </c>
      <c r="Y41" s="14">
        <v>600000</v>
      </c>
      <c r="Z41" s="14">
        <v>1600000</v>
      </c>
      <c r="AA41" s="14"/>
      <c r="AB41" s="14">
        <v>0</v>
      </c>
      <c r="AC41" s="14">
        <v>4</v>
      </c>
      <c r="AD41" s="14">
        <v>800000</v>
      </c>
      <c r="AE41" s="14">
        <v>1600000</v>
      </c>
      <c r="AF41" s="14">
        <v>600000</v>
      </c>
      <c r="AG41" s="14">
        <v>0</v>
      </c>
      <c r="AH41" s="14">
        <v>200000</v>
      </c>
      <c r="AI41" s="14">
        <v>0</v>
      </c>
      <c r="AJ41" s="14">
        <v>0</v>
      </c>
      <c r="AK41" s="14">
        <v>0</v>
      </c>
      <c r="AL41" s="14">
        <v>0</v>
      </c>
      <c r="AM41" s="14">
        <v>2400000</v>
      </c>
    </row>
    <row r="42" s="1" customFormat="1" ht="52" customHeight="1" spans="1:39">
      <c r="A42" s="5" t="s">
        <v>126</v>
      </c>
      <c r="B42" s="6" t="s">
        <v>127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68</v>
      </c>
      <c r="K42" s="9">
        <v>200</v>
      </c>
      <c r="L42" s="14">
        <v>2400000</v>
      </c>
      <c r="M42" s="6">
        <v>2000000</v>
      </c>
      <c r="N42" s="6">
        <v>2000000</v>
      </c>
      <c r="O42" s="15" t="s">
        <v>69</v>
      </c>
      <c r="P42" s="6">
        <v>0</v>
      </c>
      <c r="Q42" s="14">
        <v>400000</v>
      </c>
      <c r="R42" s="14"/>
      <c r="S42" s="14">
        <v>1</v>
      </c>
      <c r="T42" s="14">
        <v>1000000</v>
      </c>
      <c r="U42" s="14">
        <v>600000</v>
      </c>
      <c r="V42" s="14">
        <v>0</v>
      </c>
      <c r="W42" s="14">
        <v>0</v>
      </c>
      <c r="X42" s="14">
        <v>1000000</v>
      </c>
      <c r="Y42" s="14">
        <v>600000</v>
      </c>
      <c r="Z42" s="14">
        <v>1600000</v>
      </c>
      <c r="AA42" s="14"/>
      <c r="AB42" s="14">
        <v>0</v>
      </c>
      <c r="AC42" s="14">
        <v>4</v>
      </c>
      <c r="AD42" s="14">
        <v>800000</v>
      </c>
      <c r="AE42" s="14">
        <v>1600000</v>
      </c>
      <c r="AF42" s="14">
        <v>600000</v>
      </c>
      <c r="AG42" s="14">
        <v>0</v>
      </c>
      <c r="AH42" s="14">
        <v>200000</v>
      </c>
      <c r="AI42" s="14">
        <v>0</v>
      </c>
      <c r="AJ42" s="14">
        <v>0</v>
      </c>
      <c r="AK42" s="14">
        <v>0</v>
      </c>
      <c r="AL42" s="14">
        <v>0</v>
      </c>
      <c r="AM42" s="14">
        <v>2400000</v>
      </c>
    </row>
    <row r="43" s="1" customFormat="1" ht="52" customHeight="1" spans="1:39">
      <c r="A43" s="5" t="s">
        <v>128</v>
      </c>
      <c r="B43" s="6" t="s">
        <v>129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68</v>
      </c>
      <c r="K43" s="9">
        <v>200</v>
      </c>
      <c r="L43" s="14">
        <v>2100000</v>
      </c>
      <c r="M43" s="6">
        <v>0</v>
      </c>
      <c r="N43" s="6">
        <v>0</v>
      </c>
      <c r="O43" s="15" t="s">
        <v>69</v>
      </c>
      <c r="P43" s="6">
        <v>0</v>
      </c>
      <c r="Q43" s="14">
        <v>2100000</v>
      </c>
      <c r="R43" s="14"/>
      <c r="S43" s="14">
        <v>1</v>
      </c>
      <c r="T43" s="14">
        <v>1000000</v>
      </c>
      <c r="U43" s="14">
        <v>600000</v>
      </c>
      <c r="V43" s="14">
        <v>0</v>
      </c>
      <c r="W43" s="14">
        <v>0</v>
      </c>
      <c r="X43" s="14">
        <v>1000000</v>
      </c>
      <c r="Y43" s="14">
        <v>600000</v>
      </c>
      <c r="Z43" s="14">
        <v>1600000</v>
      </c>
      <c r="AA43" s="14"/>
      <c r="AB43" s="14">
        <v>0</v>
      </c>
      <c r="AC43" s="14">
        <v>2</v>
      </c>
      <c r="AD43" s="14">
        <v>500000</v>
      </c>
      <c r="AE43" s="14">
        <v>1600000</v>
      </c>
      <c r="AF43" s="14">
        <v>400000</v>
      </c>
      <c r="AG43" s="14">
        <v>0</v>
      </c>
      <c r="AH43" s="14">
        <v>100000</v>
      </c>
      <c r="AI43" s="14">
        <v>0</v>
      </c>
      <c r="AJ43" s="14">
        <v>0</v>
      </c>
      <c r="AK43" s="14">
        <v>0</v>
      </c>
      <c r="AL43" s="14">
        <v>0</v>
      </c>
      <c r="AM43" s="14">
        <v>2100000</v>
      </c>
    </row>
    <row r="44" s="1" customFormat="1" ht="52" customHeight="1" spans="1:39">
      <c r="A44" s="5" t="s">
        <v>130</v>
      </c>
      <c r="B44" s="6" t="s">
        <v>131</v>
      </c>
      <c r="C44" s="26" t="s">
        <v>22</v>
      </c>
      <c r="D44" s="6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6" t="s">
        <v>68</v>
      </c>
      <c r="K44" s="9">
        <v>200</v>
      </c>
      <c r="L44" s="14">
        <v>4200000</v>
      </c>
      <c r="M44" s="6">
        <v>0</v>
      </c>
      <c r="N44" s="6">
        <v>0</v>
      </c>
      <c r="O44" s="15" t="s">
        <v>69</v>
      </c>
      <c r="P44" s="6">
        <v>0</v>
      </c>
      <c r="Q44" s="14">
        <v>4200000</v>
      </c>
      <c r="R44" s="14"/>
      <c r="S44" s="14">
        <v>1</v>
      </c>
      <c r="T44" s="14">
        <v>1000000</v>
      </c>
      <c r="U44" s="14">
        <v>600000</v>
      </c>
      <c r="V44" s="14">
        <v>0</v>
      </c>
      <c r="W44" s="14">
        <v>0</v>
      </c>
      <c r="X44" s="14">
        <v>2000000</v>
      </c>
      <c r="Y44" s="14">
        <v>1200000</v>
      </c>
      <c r="Z44" s="14">
        <v>3200000</v>
      </c>
      <c r="AA44" s="14"/>
      <c r="AB44" s="14">
        <v>1</v>
      </c>
      <c r="AC44" s="14">
        <v>4</v>
      </c>
      <c r="AD44" s="14">
        <v>1000000</v>
      </c>
      <c r="AE44" s="14">
        <v>1600000</v>
      </c>
      <c r="AF44" s="14">
        <v>400000</v>
      </c>
      <c r="AG44" s="14">
        <v>0</v>
      </c>
      <c r="AH44" s="14">
        <v>100000</v>
      </c>
      <c r="AI44" s="14">
        <v>0</v>
      </c>
      <c r="AJ44" s="14">
        <v>0</v>
      </c>
      <c r="AK44" s="14">
        <v>0</v>
      </c>
      <c r="AL44" s="14">
        <v>0</v>
      </c>
      <c r="AM44" s="14">
        <v>2100000</v>
      </c>
    </row>
    <row r="45" s="1" customFormat="1" ht="52" customHeight="1" spans="1:39">
      <c r="A45" s="5" t="s">
        <v>132</v>
      </c>
      <c r="B45" s="6" t="s">
        <v>133</v>
      </c>
      <c r="C45" s="26" t="s">
        <v>22</v>
      </c>
      <c r="D45" s="6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6" t="s">
        <v>134</v>
      </c>
      <c r="K45" s="9">
        <v>200</v>
      </c>
      <c r="L45" s="6">
        <v>2000000</v>
      </c>
      <c r="M45" s="6">
        <v>2000000</v>
      </c>
      <c r="N45" s="6">
        <v>2000000</v>
      </c>
      <c r="O45" s="15" t="s">
        <v>69</v>
      </c>
      <c r="P45" s="6">
        <v>0</v>
      </c>
      <c r="Q45" s="14"/>
      <c r="R45" s="14" t="s">
        <v>94</v>
      </c>
      <c r="S45" s="14">
        <v>1</v>
      </c>
      <c r="T45" s="14">
        <v>1000000</v>
      </c>
      <c r="U45" s="14">
        <v>600000</v>
      </c>
      <c r="V45" s="14">
        <v>0</v>
      </c>
      <c r="W45" s="14">
        <v>0</v>
      </c>
      <c r="X45" s="14">
        <v>1000000</v>
      </c>
      <c r="Y45" s="14">
        <v>600000</v>
      </c>
      <c r="Z45" s="14">
        <v>1600000</v>
      </c>
      <c r="AA45" s="14"/>
      <c r="AB45" s="14">
        <v>0</v>
      </c>
      <c r="AC45" s="14">
        <v>1</v>
      </c>
      <c r="AD45" s="14">
        <v>400000</v>
      </c>
      <c r="AE45" s="14">
        <v>1600000</v>
      </c>
      <c r="AF45" s="14">
        <v>400000</v>
      </c>
      <c r="AG45" s="14">
        <v>0</v>
      </c>
      <c r="AH45" s="14">
        <v>0</v>
      </c>
      <c r="AI45" s="14">
        <v>0</v>
      </c>
      <c r="AJ45" s="14">
        <v>0</v>
      </c>
      <c r="AK45" s="14">
        <v>0</v>
      </c>
      <c r="AL45" s="14">
        <v>0</v>
      </c>
      <c r="AM45" s="14">
        <v>2000000</v>
      </c>
    </row>
    <row r="46" s="1" customFormat="1" ht="52" customHeight="1" spans="1:39">
      <c r="A46" s="5" t="s">
        <v>135</v>
      </c>
      <c r="B46" s="6" t="s">
        <v>136</v>
      </c>
      <c r="C46" s="26" t="s">
        <v>22</v>
      </c>
      <c r="D46" s="6"/>
      <c r="E46" s="14" t="s">
        <v>23</v>
      </c>
      <c r="F46" s="14" t="s">
        <v>24</v>
      </c>
      <c r="G46" s="9" t="s">
        <v>25</v>
      </c>
      <c r="H46" s="9" t="s">
        <v>26</v>
      </c>
      <c r="I46" s="24" t="s">
        <v>27</v>
      </c>
      <c r="J46" s="6" t="s">
        <v>68</v>
      </c>
      <c r="K46" s="9">
        <v>200</v>
      </c>
      <c r="L46" s="14">
        <v>1600000</v>
      </c>
      <c r="M46" s="6">
        <v>0</v>
      </c>
      <c r="N46" s="6">
        <v>0</v>
      </c>
      <c r="O46" s="15" t="s">
        <v>69</v>
      </c>
      <c r="P46" s="6">
        <v>0</v>
      </c>
      <c r="Q46" s="14">
        <v>1600000</v>
      </c>
      <c r="R46" s="14"/>
      <c r="S46" s="14">
        <v>1</v>
      </c>
      <c r="T46" s="14">
        <v>800000</v>
      </c>
      <c r="U46" s="14">
        <v>400000</v>
      </c>
      <c r="V46" s="14">
        <v>200000</v>
      </c>
      <c r="W46" s="14">
        <v>200000</v>
      </c>
      <c r="X46" s="14">
        <v>800000</v>
      </c>
      <c r="Y46" s="14">
        <v>400000</v>
      </c>
      <c r="Z46" s="14">
        <v>1200000</v>
      </c>
      <c r="AA46" s="14"/>
      <c r="AB46" s="14">
        <v>0</v>
      </c>
      <c r="AC46" s="14">
        <v>2</v>
      </c>
      <c r="AD46" s="14">
        <v>400000</v>
      </c>
      <c r="AE46" s="14">
        <v>1200000</v>
      </c>
      <c r="AF46" s="14">
        <v>400000</v>
      </c>
      <c r="AG46" s="14">
        <v>0</v>
      </c>
      <c r="AH46" s="14">
        <v>0</v>
      </c>
      <c r="AI46" s="14">
        <v>0</v>
      </c>
      <c r="AJ46" s="14">
        <v>0</v>
      </c>
      <c r="AK46" s="14">
        <v>0</v>
      </c>
      <c r="AL46" s="14">
        <v>0</v>
      </c>
      <c r="AM46" s="14">
        <v>1600000</v>
      </c>
    </row>
    <row r="47" s="1" customFormat="1" ht="52" customHeight="1" spans="1:39">
      <c r="A47" s="5" t="s">
        <v>137</v>
      </c>
      <c r="B47" s="6" t="s">
        <v>136</v>
      </c>
      <c r="C47" s="26" t="s">
        <v>22</v>
      </c>
      <c r="D47" s="6"/>
      <c r="E47" s="14" t="s">
        <v>23</v>
      </c>
      <c r="F47" s="14" t="s">
        <v>24</v>
      </c>
      <c r="G47" s="9" t="s">
        <v>25</v>
      </c>
      <c r="H47" s="9" t="s">
        <v>26</v>
      </c>
      <c r="I47" s="24" t="s">
        <v>27</v>
      </c>
      <c r="J47" s="6" t="s">
        <v>68</v>
      </c>
      <c r="K47" s="9">
        <v>200</v>
      </c>
      <c r="L47" s="14">
        <v>1200000</v>
      </c>
      <c r="M47" s="6">
        <v>0</v>
      </c>
      <c r="N47" s="6">
        <v>0</v>
      </c>
      <c r="O47" s="15" t="s">
        <v>69</v>
      </c>
      <c r="P47" s="6">
        <v>0</v>
      </c>
      <c r="Q47" s="14">
        <v>1200000</v>
      </c>
      <c r="R47" s="14"/>
      <c r="S47" s="14">
        <v>1</v>
      </c>
      <c r="T47" s="14">
        <v>800000</v>
      </c>
      <c r="U47" s="14">
        <v>400000</v>
      </c>
      <c r="V47" s="14">
        <v>200000</v>
      </c>
      <c r="W47" s="14">
        <v>200000</v>
      </c>
      <c r="X47" s="14">
        <v>800000</v>
      </c>
      <c r="Y47" s="14">
        <v>400000</v>
      </c>
      <c r="Z47" s="14">
        <v>1200000</v>
      </c>
      <c r="AA47" s="14"/>
      <c r="AB47" s="14">
        <v>0</v>
      </c>
      <c r="AC47" s="14">
        <v>2</v>
      </c>
      <c r="AD47" s="14">
        <v>800000</v>
      </c>
      <c r="AE47" s="14">
        <v>1200000</v>
      </c>
      <c r="AF47" s="14">
        <v>0</v>
      </c>
      <c r="AG47" s="14">
        <v>0</v>
      </c>
      <c r="AH47" s="14">
        <v>0</v>
      </c>
      <c r="AI47" s="14">
        <v>0</v>
      </c>
      <c r="AJ47" s="14">
        <v>0</v>
      </c>
      <c r="AK47" s="14">
        <v>0</v>
      </c>
      <c r="AL47" s="14">
        <v>0</v>
      </c>
      <c r="AM47" s="14">
        <v>1200000</v>
      </c>
    </row>
    <row r="50" customHeight="1" spans="12:12">
      <c r="L50" s="36"/>
    </row>
  </sheetData>
  <mergeCells count="6">
    <mergeCell ref="B10:D10"/>
    <mergeCell ref="B14:F14"/>
    <mergeCell ref="B18:F18"/>
    <mergeCell ref="B22:F22"/>
    <mergeCell ref="B32:F32"/>
    <mergeCell ref="B36:F3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124</v>
      </c>
      <c r="B2" s="6" t="s">
        <v>125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126</v>
      </c>
      <c r="B3" s="6" t="s">
        <v>127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128</v>
      </c>
      <c r="B4" s="6" t="s">
        <v>129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138</v>
      </c>
      <c r="B5" s="6" t="s">
        <v>129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134</v>
      </c>
      <c r="K5" s="9">
        <v>200</v>
      </c>
      <c r="L5" s="14">
        <v>0</v>
      </c>
      <c r="M5" s="6">
        <v>0</v>
      </c>
      <c r="N5" s="6">
        <v>0</v>
      </c>
      <c r="O5" s="15" t="s">
        <v>69</v>
      </c>
      <c r="P5" s="6">
        <v>0</v>
      </c>
      <c r="Q5" s="14">
        <v>0</v>
      </c>
      <c r="R5" s="14" t="s">
        <v>94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132</v>
      </c>
      <c r="B6" s="6" t="s">
        <v>133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134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69</v>
      </c>
      <c r="P6" s="6">
        <v>0</v>
      </c>
      <c r="Q6" s="14">
        <v>0</v>
      </c>
      <c r="R6" s="14" t="s">
        <v>94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124</v>
      </c>
      <c r="B2" s="6" t="s">
        <v>125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126</v>
      </c>
      <c r="B3" s="6" t="s">
        <v>127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128</v>
      </c>
      <c r="B4" s="6" t="s">
        <v>129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132</v>
      </c>
      <c r="B5" s="6" t="s">
        <v>133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134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94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124</v>
      </c>
      <c r="B2" s="6" t="s">
        <v>125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126</v>
      </c>
      <c r="B3" s="6" t="s">
        <v>127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128</v>
      </c>
      <c r="B4" s="6" t="s">
        <v>129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132</v>
      </c>
      <c r="B5" s="6" t="s">
        <v>133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134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94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55</v>
      </c>
      <c r="W1" s="34" t="s">
        <v>19</v>
      </c>
    </row>
    <row r="2" s="1" customFormat="1" customHeight="1" spans="1:23">
      <c r="A2" s="5" t="s">
        <v>140</v>
      </c>
      <c r="B2" s="6" t="s">
        <v>125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69</v>
      </c>
      <c r="J2" s="6" t="s">
        <v>141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142</v>
      </c>
      <c r="B3" s="6" t="s">
        <v>127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69</v>
      </c>
      <c r="J3" s="6" t="s">
        <v>141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143</v>
      </c>
      <c r="B4" s="6" t="s">
        <v>129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69</v>
      </c>
      <c r="J4" s="6" t="s">
        <v>141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130</v>
      </c>
      <c r="B5" s="6" t="s">
        <v>131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69</v>
      </c>
      <c r="J5" s="6" t="s">
        <v>141</v>
      </c>
      <c r="K5" s="9">
        <v>200</v>
      </c>
      <c r="L5" s="6">
        <v>0</v>
      </c>
      <c r="M5" s="15" t="s">
        <v>69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144</v>
      </c>
      <c r="B6" s="6" t="s">
        <v>133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69</v>
      </c>
      <c r="J6" s="6" t="s">
        <v>145</v>
      </c>
      <c r="K6" s="9">
        <v>200</v>
      </c>
      <c r="L6" s="6">
        <v>2000000</v>
      </c>
      <c r="M6" s="15" t="s">
        <v>69</v>
      </c>
      <c r="N6" s="6">
        <v>0</v>
      </c>
      <c r="O6" s="14"/>
      <c r="P6" s="14" t="s">
        <v>94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140</v>
      </c>
      <c r="B2" s="6" t="s">
        <v>125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69</v>
      </c>
      <c r="J2" s="6" t="s">
        <v>141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142</v>
      </c>
      <c r="B3" s="6" t="s">
        <v>127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69</v>
      </c>
      <c r="J3" s="6" t="s">
        <v>141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143</v>
      </c>
      <c r="B4" s="6" t="s">
        <v>129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69</v>
      </c>
      <c r="J4" s="6" t="s">
        <v>141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138</v>
      </c>
      <c r="B5" s="6" t="s">
        <v>129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69</v>
      </c>
      <c r="J5" s="6" t="s">
        <v>145</v>
      </c>
      <c r="K5" s="9">
        <v>200</v>
      </c>
      <c r="L5" s="6">
        <v>0</v>
      </c>
      <c r="M5" s="15" t="s">
        <v>69</v>
      </c>
      <c r="N5" s="6">
        <v>0</v>
      </c>
      <c r="O5" s="14">
        <v>0</v>
      </c>
      <c r="P5" s="14" t="s">
        <v>94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144</v>
      </c>
      <c r="B6" s="6" t="s">
        <v>133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69</v>
      </c>
      <c r="J6" s="6" t="s">
        <v>145</v>
      </c>
      <c r="K6" s="9">
        <v>200</v>
      </c>
      <c r="L6" s="6">
        <v>2000000</v>
      </c>
      <c r="M6" s="15" t="s">
        <v>69</v>
      </c>
      <c r="N6" s="6">
        <v>0</v>
      </c>
      <c r="O6" s="14">
        <v>0</v>
      </c>
      <c r="P6" s="14" t="s">
        <v>94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140</v>
      </c>
      <c r="B2" s="6" t="s">
        <v>125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69</v>
      </c>
      <c r="J2" s="6" t="s">
        <v>141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142</v>
      </c>
      <c r="B3" s="6" t="s">
        <v>127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69</v>
      </c>
      <c r="J3" s="6" t="s">
        <v>141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143</v>
      </c>
      <c r="B4" s="6" t="s">
        <v>129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69</v>
      </c>
      <c r="J4" s="6" t="s">
        <v>141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144</v>
      </c>
      <c r="B5" s="6" t="s">
        <v>133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69</v>
      </c>
      <c r="J5" s="6" t="s">
        <v>145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94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140</v>
      </c>
      <c r="B2" s="6" t="s">
        <v>125</v>
      </c>
      <c r="C2" s="26" t="s">
        <v>22</v>
      </c>
      <c r="D2" s="6"/>
      <c r="E2" s="14" t="s">
        <v>23</v>
      </c>
      <c r="F2" s="14" t="s">
        <v>24</v>
      </c>
      <c r="G2" s="9" t="s">
        <v>146</v>
      </c>
      <c r="H2" s="9" t="s">
        <v>26</v>
      </c>
      <c r="I2" s="24" t="s">
        <v>69</v>
      </c>
      <c r="J2" s="6" t="s">
        <v>141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142</v>
      </c>
      <c r="B3" s="6" t="s">
        <v>127</v>
      </c>
      <c r="C3" s="26" t="s">
        <v>22</v>
      </c>
      <c r="D3" s="6"/>
      <c r="E3" s="14" t="s">
        <v>23</v>
      </c>
      <c r="F3" s="14" t="s">
        <v>24</v>
      </c>
      <c r="G3" s="9" t="s">
        <v>146</v>
      </c>
      <c r="H3" s="9" t="s">
        <v>26</v>
      </c>
      <c r="I3" s="24" t="s">
        <v>69</v>
      </c>
      <c r="J3" s="6" t="s">
        <v>141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143</v>
      </c>
      <c r="B4" s="6" t="s">
        <v>129</v>
      </c>
      <c r="C4" s="26" t="s">
        <v>22</v>
      </c>
      <c r="D4" s="6"/>
      <c r="E4" s="14" t="s">
        <v>23</v>
      </c>
      <c r="F4" s="14" t="s">
        <v>24</v>
      </c>
      <c r="G4" s="9" t="s">
        <v>146</v>
      </c>
      <c r="H4" s="9" t="s">
        <v>26</v>
      </c>
      <c r="I4" s="24" t="s">
        <v>69</v>
      </c>
      <c r="J4" s="6" t="s">
        <v>141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144</v>
      </c>
      <c r="B5" s="6" t="s">
        <v>133</v>
      </c>
      <c r="C5" s="26" t="s">
        <v>22</v>
      </c>
      <c r="D5" s="6"/>
      <c r="E5" s="14" t="s">
        <v>23</v>
      </c>
      <c r="F5" s="14" t="s">
        <v>24</v>
      </c>
      <c r="G5" s="9" t="s">
        <v>146</v>
      </c>
      <c r="H5" s="9" t="s">
        <v>26</v>
      </c>
      <c r="I5" s="24" t="s">
        <v>69</v>
      </c>
      <c r="J5" s="6" t="s">
        <v>145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94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147</v>
      </c>
      <c r="F1" s="4" t="s">
        <v>148</v>
      </c>
      <c r="G1" s="4" t="s">
        <v>149</v>
      </c>
      <c r="H1" s="4" t="s">
        <v>150</v>
      </c>
      <c r="I1" s="4" t="s">
        <v>151</v>
      </c>
      <c r="J1" s="4" t="s">
        <v>152</v>
      </c>
      <c r="K1" s="4" t="s">
        <v>153</v>
      </c>
      <c r="L1" s="27" t="s">
        <v>9</v>
      </c>
      <c r="M1" s="11" t="s">
        <v>10</v>
      </c>
      <c r="N1" s="11" t="s">
        <v>154</v>
      </c>
    </row>
    <row r="2" s="29" customFormat="1" ht="166" customHeight="1" spans="1:14">
      <c r="A2" s="6" t="s">
        <v>155</v>
      </c>
      <c r="B2" s="6" t="s">
        <v>156</v>
      </c>
      <c r="C2" s="30" t="s">
        <v>22</v>
      </c>
      <c r="D2" s="6" t="s">
        <v>157</v>
      </c>
      <c r="E2" s="14" t="s">
        <v>158</v>
      </c>
      <c r="F2" s="14" t="s">
        <v>159</v>
      </c>
      <c r="G2" s="14" t="s">
        <v>160</v>
      </c>
      <c r="H2" s="14"/>
      <c r="I2" s="14"/>
      <c r="J2" s="14"/>
      <c r="K2" s="14"/>
      <c r="L2" s="6" t="s">
        <v>161</v>
      </c>
      <c r="M2" s="14">
        <v>200</v>
      </c>
      <c r="N2" s="14">
        <v>1</v>
      </c>
    </row>
    <row r="3" s="29" customFormat="1" ht="166" customHeight="1" spans="1:14">
      <c r="A3" s="6" t="s">
        <v>162</v>
      </c>
      <c r="B3" s="6" t="s">
        <v>163</v>
      </c>
      <c r="C3" s="30" t="s">
        <v>22</v>
      </c>
      <c r="D3" s="6" t="s">
        <v>164</v>
      </c>
      <c r="E3" s="14" t="s">
        <v>158</v>
      </c>
      <c r="F3" s="14" t="s">
        <v>159</v>
      </c>
      <c r="G3" s="14" t="s">
        <v>160</v>
      </c>
      <c r="H3" s="14" t="s">
        <v>165</v>
      </c>
      <c r="I3" s="14" t="s">
        <v>160</v>
      </c>
      <c r="J3" s="14"/>
      <c r="K3" s="14"/>
      <c r="L3" s="6" t="s">
        <v>161</v>
      </c>
      <c r="M3" s="14">
        <v>200</v>
      </c>
      <c r="N3" s="14">
        <v>2</v>
      </c>
    </row>
    <row r="4" s="29" customFormat="1" ht="166" customHeight="1" spans="1:14">
      <c r="A4" s="6" t="s">
        <v>166</v>
      </c>
      <c r="B4" s="6" t="s">
        <v>167</v>
      </c>
      <c r="C4" s="30" t="s">
        <v>22</v>
      </c>
      <c r="D4" s="6" t="s">
        <v>168</v>
      </c>
      <c r="E4" s="14" t="s">
        <v>158</v>
      </c>
      <c r="F4" s="14" t="s">
        <v>159</v>
      </c>
      <c r="G4" s="14" t="s">
        <v>160</v>
      </c>
      <c r="H4" s="14" t="s">
        <v>165</v>
      </c>
      <c r="I4" s="14" t="s">
        <v>160</v>
      </c>
      <c r="J4" s="14" t="s">
        <v>169</v>
      </c>
      <c r="K4" s="14" t="s">
        <v>160</v>
      </c>
      <c r="L4" s="6" t="s">
        <v>161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170</v>
      </c>
      <c r="F1" s="4" t="s">
        <v>171</v>
      </c>
      <c r="G1" s="4" t="s">
        <v>172</v>
      </c>
      <c r="H1" s="4" t="s">
        <v>173</v>
      </c>
      <c r="I1" s="4" t="s">
        <v>174</v>
      </c>
      <c r="J1" s="4" t="s">
        <v>175</v>
      </c>
      <c r="K1" s="4" t="s">
        <v>176</v>
      </c>
      <c r="L1" s="4" t="s">
        <v>147</v>
      </c>
      <c r="M1" s="4" t="s">
        <v>177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178</v>
      </c>
      <c r="S1" s="11" t="s">
        <v>179</v>
      </c>
    </row>
    <row r="2" s="1" customFormat="1" customHeight="1" spans="1:19">
      <c r="A2" s="5" t="s">
        <v>180</v>
      </c>
      <c r="B2" s="6" t="s">
        <v>181</v>
      </c>
      <c r="C2" s="26" t="s">
        <v>22</v>
      </c>
      <c r="D2" s="6" t="s">
        <v>182</v>
      </c>
      <c r="E2" s="14" t="s">
        <v>23</v>
      </c>
      <c r="F2" s="14" t="s">
        <v>24</v>
      </c>
      <c r="G2" s="9" t="s">
        <v>183</v>
      </c>
      <c r="H2" s="17" t="s">
        <v>26</v>
      </c>
      <c r="I2" s="9" t="s">
        <v>184</v>
      </c>
      <c r="J2" s="9" t="s">
        <v>185</v>
      </c>
      <c r="K2" s="9" t="s">
        <v>186</v>
      </c>
      <c r="L2" s="14" t="s">
        <v>158</v>
      </c>
      <c r="M2" s="28" t="s">
        <v>187</v>
      </c>
      <c r="N2" s="6" t="s">
        <v>188</v>
      </c>
      <c r="O2" s="9">
        <v>200</v>
      </c>
      <c r="P2" s="24" t="s">
        <v>69</v>
      </c>
      <c r="Q2" s="24" t="s">
        <v>69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189</v>
      </c>
      <c r="F1" s="22" t="s">
        <v>170</v>
      </c>
      <c r="G1" s="22" t="s">
        <v>171</v>
      </c>
      <c r="H1" s="22" t="s">
        <v>190</v>
      </c>
      <c r="I1" s="22" t="s">
        <v>191</v>
      </c>
      <c r="J1" s="22" t="s">
        <v>175</v>
      </c>
      <c r="K1" s="22" t="s">
        <v>174</v>
      </c>
      <c r="L1" s="22" t="s">
        <v>176</v>
      </c>
      <c r="M1" s="22" t="s">
        <v>192</v>
      </c>
      <c r="N1" s="22" t="s">
        <v>193</v>
      </c>
      <c r="O1" s="22" t="s">
        <v>194</v>
      </c>
      <c r="P1" s="23" t="s">
        <v>195</v>
      </c>
      <c r="Q1" s="22" t="s">
        <v>196</v>
      </c>
      <c r="R1" s="23" t="s">
        <v>197</v>
      </c>
      <c r="S1" s="19" t="s">
        <v>198</v>
      </c>
      <c r="T1" s="19" t="s">
        <v>199</v>
      </c>
      <c r="U1" s="19" t="s">
        <v>200</v>
      </c>
      <c r="V1" s="19" t="s">
        <v>201</v>
      </c>
      <c r="W1" s="19" t="s">
        <v>202</v>
      </c>
      <c r="X1" s="25" t="s">
        <v>203</v>
      </c>
      <c r="Y1" s="19" t="s">
        <v>204</v>
      </c>
      <c r="Z1" s="19" t="s">
        <v>205</v>
      </c>
      <c r="AA1" s="25" t="s">
        <v>206</v>
      </c>
      <c r="AB1" s="23" t="s">
        <v>207</v>
      </c>
      <c r="AC1" s="10" t="s">
        <v>9</v>
      </c>
      <c r="AD1" s="11" t="s">
        <v>10</v>
      </c>
      <c r="AE1" s="12" t="s">
        <v>41</v>
      </c>
      <c r="AF1" s="11" t="s">
        <v>178</v>
      </c>
    </row>
    <row r="2" s="1" customFormat="1" ht="69" customHeight="1" spans="1:32">
      <c r="A2" s="5" t="s">
        <v>208</v>
      </c>
      <c r="B2" s="6" t="s">
        <v>209</v>
      </c>
      <c r="C2" s="7" t="s">
        <v>22</v>
      </c>
      <c r="D2" s="8" t="s">
        <v>210</v>
      </c>
      <c r="E2" s="9" t="s">
        <v>211</v>
      </c>
      <c r="F2" s="5" t="s">
        <v>23</v>
      </c>
      <c r="G2" s="5" t="s">
        <v>24</v>
      </c>
      <c r="H2" s="9" t="s">
        <v>158</v>
      </c>
      <c r="I2" s="5" t="s">
        <v>212</v>
      </c>
      <c r="J2" s="5" t="s">
        <v>185</v>
      </c>
      <c r="K2" s="5" t="s">
        <v>184</v>
      </c>
      <c r="L2" s="5" t="s">
        <v>186</v>
      </c>
      <c r="M2" s="5" t="s">
        <v>213</v>
      </c>
      <c r="N2" s="5" t="s">
        <v>214</v>
      </c>
      <c r="O2" s="5" t="s">
        <v>215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216</v>
      </c>
      <c r="Y2" s="9">
        <v>0</v>
      </c>
      <c r="Z2" s="9">
        <v>0</v>
      </c>
      <c r="AA2" s="24" t="s">
        <v>69</v>
      </c>
      <c r="AB2" s="24" t="s">
        <v>69</v>
      </c>
      <c r="AC2" s="8" t="s">
        <v>217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218</v>
      </c>
      <c r="B3" s="6" t="s">
        <v>219</v>
      </c>
      <c r="C3" s="7" t="s">
        <v>22</v>
      </c>
      <c r="D3" s="8" t="s">
        <v>210</v>
      </c>
      <c r="E3" s="9" t="s">
        <v>211</v>
      </c>
      <c r="F3" s="5" t="s">
        <v>23</v>
      </c>
      <c r="G3" s="5" t="s">
        <v>24</v>
      </c>
      <c r="H3" s="9" t="s">
        <v>158</v>
      </c>
      <c r="I3" s="5" t="s">
        <v>212</v>
      </c>
      <c r="J3" s="5" t="s">
        <v>185</v>
      </c>
      <c r="K3" s="5" t="s">
        <v>184</v>
      </c>
      <c r="L3" s="5" t="s">
        <v>186</v>
      </c>
      <c r="M3" s="5" t="s">
        <v>213</v>
      </c>
      <c r="N3" s="5" t="s">
        <v>214</v>
      </c>
      <c r="O3" s="5" t="s">
        <v>215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216</v>
      </c>
      <c r="Y3" s="9">
        <v>0</v>
      </c>
      <c r="Z3" s="9">
        <v>0</v>
      </c>
      <c r="AA3" s="24" t="s">
        <v>69</v>
      </c>
      <c r="AB3" s="24" t="s">
        <v>69</v>
      </c>
      <c r="AC3" s="8" t="s">
        <v>217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220</v>
      </c>
      <c r="B4" s="6" t="s">
        <v>221</v>
      </c>
      <c r="C4" s="7" t="s">
        <v>22</v>
      </c>
      <c r="D4" s="8" t="s">
        <v>210</v>
      </c>
      <c r="E4" s="9" t="s">
        <v>211</v>
      </c>
      <c r="F4" s="5" t="s">
        <v>23</v>
      </c>
      <c r="G4" s="5" t="s">
        <v>24</v>
      </c>
      <c r="H4" s="9" t="s">
        <v>158</v>
      </c>
      <c r="I4" s="5" t="s">
        <v>212</v>
      </c>
      <c r="J4" s="5" t="s">
        <v>185</v>
      </c>
      <c r="K4" s="5" t="s">
        <v>184</v>
      </c>
      <c r="L4" s="5" t="s">
        <v>186</v>
      </c>
      <c r="M4" s="5" t="s">
        <v>213</v>
      </c>
      <c r="N4" s="5" t="s">
        <v>214</v>
      </c>
      <c r="O4" s="5" t="s">
        <v>215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216</v>
      </c>
      <c r="Y4" s="9">
        <v>0</v>
      </c>
      <c r="Z4" s="9">
        <v>0</v>
      </c>
      <c r="AA4" s="24" t="s">
        <v>69</v>
      </c>
      <c r="AB4" s="24" t="s">
        <v>69</v>
      </c>
      <c r="AC4" s="8" t="s">
        <v>217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222</v>
      </c>
      <c r="B5" s="6" t="s">
        <v>223</v>
      </c>
      <c r="C5" s="7" t="s">
        <v>22</v>
      </c>
      <c r="D5" s="8" t="s">
        <v>210</v>
      </c>
      <c r="E5" s="9" t="s">
        <v>211</v>
      </c>
      <c r="F5" s="5" t="s">
        <v>23</v>
      </c>
      <c r="G5" s="5" t="s">
        <v>24</v>
      </c>
      <c r="H5" s="9" t="s">
        <v>158</v>
      </c>
      <c r="I5" s="5" t="s">
        <v>212</v>
      </c>
      <c r="J5" s="5" t="s">
        <v>185</v>
      </c>
      <c r="K5" s="5" t="s">
        <v>184</v>
      </c>
      <c r="L5" s="5" t="s">
        <v>186</v>
      </c>
      <c r="M5" s="5" t="s">
        <v>213</v>
      </c>
      <c r="N5" s="5" t="s">
        <v>214</v>
      </c>
      <c r="O5" s="5" t="s">
        <v>215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216</v>
      </c>
      <c r="Y5" s="9">
        <v>0</v>
      </c>
      <c r="Z5" s="9">
        <v>0</v>
      </c>
      <c r="AA5" s="24" t="s">
        <v>69</v>
      </c>
      <c r="AB5" s="24" t="s">
        <v>69</v>
      </c>
      <c r="AC5" s="8" t="s">
        <v>217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224</v>
      </c>
      <c r="B6" s="6" t="s">
        <v>225</v>
      </c>
      <c r="C6" s="7" t="s">
        <v>22</v>
      </c>
      <c r="D6" s="8" t="s">
        <v>210</v>
      </c>
      <c r="E6" s="9" t="s">
        <v>211</v>
      </c>
      <c r="F6" s="5" t="s">
        <v>23</v>
      </c>
      <c r="G6" s="5" t="s">
        <v>24</v>
      </c>
      <c r="H6" s="9" t="s">
        <v>158</v>
      </c>
      <c r="I6" s="5" t="s">
        <v>212</v>
      </c>
      <c r="J6" s="5" t="s">
        <v>185</v>
      </c>
      <c r="K6" s="5" t="s">
        <v>184</v>
      </c>
      <c r="L6" s="5" t="s">
        <v>186</v>
      </c>
      <c r="M6" s="5" t="s">
        <v>213</v>
      </c>
      <c r="N6" s="5" t="s">
        <v>214</v>
      </c>
      <c r="O6" s="5" t="s">
        <v>215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216</v>
      </c>
      <c r="Y6" s="9">
        <v>0</v>
      </c>
      <c r="Z6" s="9">
        <v>0</v>
      </c>
      <c r="AA6" s="24" t="s">
        <v>69</v>
      </c>
      <c r="AB6" s="24" t="s">
        <v>69</v>
      </c>
      <c r="AC6" s="8" t="s">
        <v>217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189</v>
      </c>
      <c r="F1" s="22" t="s">
        <v>170</v>
      </c>
      <c r="G1" s="22" t="s">
        <v>171</v>
      </c>
      <c r="H1" s="22" t="s">
        <v>190</v>
      </c>
      <c r="I1" s="22" t="s">
        <v>191</v>
      </c>
      <c r="J1" s="22" t="s">
        <v>175</v>
      </c>
      <c r="K1" s="22" t="s">
        <v>174</v>
      </c>
      <c r="L1" s="22" t="s">
        <v>176</v>
      </c>
      <c r="M1" s="22" t="s">
        <v>192</v>
      </c>
      <c r="N1" s="22" t="s">
        <v>193</v>
      </c>
      <c r="O1" s="22" t="s">
        <v>194</v>
      </c>
      <c r="P1" s="23" t="s">
        <v>195</v>
      </c>
      <c r="Q1" s="22" t="s">
        <v>196</v>
      </c>
      <c r="R1" s="23" t="s">
        <v>197</v>
      </c>
      <c r="S1" s="19" t="s">
        <v>198</v>
      </c>
      <c r="T1" s="19" t="s">
        <v>199</v>
      </c>
      <c r="U1" s="19" t="s">
        <v>200</v>
      </c>
      <c r="V1" s="19" t="s">
        <v>201</v>
      </c>
      <c r="W1" s="19" t="s">
        <v>202</v>
      </c>
      <c r="X1" s="25" t="s">
        <v>203</v>
      </c>
      <c r="Y1" s="19" t="s">
        <v>204</v>
      </c>
      <c r="Z1" s="19" t="s">
        <v>205</v>
      </c>
      <c r="AA1" s="25" t="s">
        <v>206</v>
      </c>
      <c r="AB1" s="23" t="s">
        <v>207</v>
      </c>
      <c r="AC1" s="10" t="s">
        <v>9</v>
      </c>
      <c r="AD1" s="11" t="s">
        <v>10</v>
      </c>
      <c r="AE1" s="12" t="s">
        <v>41</v>
      </c>
      <c r="AF1" s="11" t="s">
        <v>178</v>
      </c>
    </row>
    <row r="2" s="1" customFormat="1" ht="69" customHeight="1" spans="1:32">
      <c r="A2" s="5" t="s">
        <v>226</v>
      </c>
      <c r="B2" s="6" t="s">
        <v>209</v>
      </c>
      <c r="C2" s="7" t="s">
        <v>22</v>
      </c>
      <c r="D2" s="8" t="s">
        <v>210</v>
      </c>
      <c r="E2" s="9" t="s">
        <v>211</v>
      </c>
      <c r="F2" s="5" t="s">
        <v>23</v>
      </c>
      <c r="G2" s="5" t="s">
        <v>24</v>
      </c>
      <c r="H2" s="9" t="s">
        <v>159</v>
      </c>
      <c r="I2" s="5" t="s">
        <v>227</v>
      </c>
      <c r="J2" s="5" t="s">
        <v>228</v>
      </c>
      <c r="K2" s="5" t="s">
        <v>229</v>
      </c>
      <c r="L2" s="5" t="s">
        <v>230</v>
      </c>
      <c r="M2" s="5" t="s">
        <v>231</v>
      </c>
      <c r="N2" s="5" t="s">
        <v>232</v>
      </c>
      <c r="O2" s="5" t="s">
        <v>233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216</v>
      </c>
      <c r="Y2" s="9">
        <v>0</v>
      </c>
      <c r="Z2" s="9">
        <v>0</v>
      </c>
      <c r="AA2" s="24" t="s">
        <v>69</v>
      </c>
      <c r="AB2" s="24" t="s">
        <v>69</v>
      </c>
      <c r="AC2" s="8" t="s">
        <v>217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234</v>
      </c>
      <c r="B3" s="6" t="s">
        <v>219</v>
      </c>
      <c r="C3" s="7" t="s">
        <v>22</v>
      </c>
      <c r="D3" s="8" t="s">
        <v>210</v>
      </c>
      <c r="E3" s="9" t="s">
        <v>211</v>
      </c>
      <c r="F3" s="5" t="s">
        <v>23</v>
      </c>
      <c r="G3" s="5" t="s">
        <v>24</v>
      </c>
      <c r="H3" s="9" t="s">
        <v>159</v>
      </c>
      <c r="I3" s="5" t="s">
        <v>227</v>
      </c>
      <c r="J3" s="5" t="s">
        <v>228</v>
      </c>
      <c r="K3" s="5" t="s">
        <v>229</v>
      </c>
      <c r="L3" s="5" t="s">
        <v>230</v>
      </c>
      <c r="M3" s="5" t="s">
        <v>231</v>
      </c>
      <c r="N3" s="5" t="s">
        <v>232</v>
      </c>
      <c r="O3" s="5" t="s">
        <v>233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216</v>
      </c>
      <c r="Y3" s="9">
        <v>0</v>
      </c>
      <c r="Z3" s="9">
        <v>0</v>
      </c>
      <c r="AA3" s="24" t="s">
        <v>69</v>
      </c>
      <c r="AB3" s="24" t="s">
        <v>69</v>
      </c>
      <c r="AC3" s="8" t="s">
        <v>217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235</v>
      </c>
      <c r="B4" s="6" t="s">
        <v>221</v>
      </c>
      <c r="C4" s="7" t="s">
        <v>22</v>
      </c>
      <c r="D4" s="8" t="s">
        <v>210</v>
      </c>
      <c r="E4" s="9" t="s">
        <v>211</v>
      </c>
      <c r="F4" s="5" t="s">
        <v>23</v>
      </c>
      <c r="G4" s="5" t="s">
        <v>24</v>
      </c>
      <c r="H4" s="9" t="s">
        <v>159</v>
      </c>
      <c r="I4" s="5" t="s">
        <v>227</v>
      </c>
      <c r="J4" s="5" t="s">
        <v>228</v>
      </c>
      <c r="K4" s="5" t="s">
        <v>229</v>
      </c>
      <c r="L4" s="5" t="s">
        <v>230</v>
      </c>
      <c r="M4" s="5" t="s">
        <v>231</v>
      </c>
      <c r="N4" s="5" t="s">
        <v>232</v>
      </c>
      <c r="O4" s="5" t="s">
        <v>233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216</v>
      </c>
      <c r="Y4" s="9">
        <v>0</v>
      </c>
      <c r="Z4" s="9">
        <v>0</v>
      </c>
      <c r="AA4" s="24" t="s">
        <v>69</v>
      </c>
      <c r="AB4" s="24" t="s">
        <v>69</v>
      </c>
      <c r="AC4" s="8" t="s">
        <v>217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236</v>
      </c>
      <c r="B5" s="6" t="s">
        <v>223</v>
      </c>
      <c r="C5" s="7" t="s">
        <v>22</v>
      </c>
      <c r="D5" s="8" t="s">
        <v>210</v>
      </c>
      <c r="E5" s="9" t="s">
        <v>211</v>
      </c>
      <c r="F5" s="5" t="s">
        <v>23</v>
      </c>
      <c r="G5" s="5" t="s">
        <v>24</v>
      </c>
      <c r="H5" s="9" t="s">
        <v>159</v>
      </c>
      <c r="I5" s="5" t="s">
        <v>227</v>
      </c>
      <c r="J5" s="5" t="s">
        <v>228</v>
      </c>
      <c r="K5" s="5" t="s">
        <v>229</v>
      </c>
      <c r="L5" s="5" t="s">
        <v>230</v>
      </c>
      <c r="M5" s="5" t="s">
        <v>231</v>
      </c>
      <c r="N5" s="5" t="s">
        <v>232</v>
      </c>
      <c r="O5" s="5" t="s">
        <v>233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216</v>
      </c>
      <c r="Y5" s="9">
        <v>0</v>
      </c>
      <c r="Z5" s="9">
        <v>0</v>
      </c>
      <c r="AA5" s="24" t="s">
        <v>69</v>
      </c>
      <c r="AB5" s="24" t="s">
        <v>69</v>
      </c>
      <c r="AC5" s="8" t="s">
        <v>217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237</v>
      </c>
      <c r="B6" s="6" t="s">
        <v>225</v>
      </c>
      <c r="C6" s="7" t="s">
        <v>22</v>
      </c>
      <c r="D6" s="8" t="s">
        <v>210</v>
      </c>
      <c r="E6" s="9" t="s">
        <v>211</v>
      </c>
      <c r="F6" s="5" t="s">
        <v>23</v>
      </c>
      <c r="G6" s="5" t="s">
        <v>24</v>
      </c>
      <c r="H6" s="9" t="s">
        <v>159</v>
      </c>
      <c r="I6" s="5" t="s">
        <v>227</v>
      </c>
      <c r="J6" s="5" t="s">
        <v>228</v>
      </c>
      <c r="K6" s="5" t="s">
        <v>229</v>
      </c>
      <c r="L6" s="5" t="s">
        <v>230</v>
      </c>
      <c r="M6" s="5" t="s">
        <v>231</v>
      </c>
      <c r="N6" s="5" t="s">
        <v>232</v>
      </c>
      <c r="O6" s="5" t="s">
        <v>233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216</v>
      </c>
      <c r="Y6" s="9">
        <v>0</v>
      </c>
      <c r="Z6" s="9">
        <v>0</v>
      </c>
      <c r="AA6" s="24" t="s">
        <v>69</v>
      </c>
      <c r="AB6" s="24" t="s">
        <v>69</v>
      </c>
      <c r="AC6" s="8" t="s">
        <v>217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189</v>
      </c>
      <c r="F1" s="22" t="s">
        <v>170</v>
      </c>
      <c r="G1" s="22" t="s">
        <v>171</v>
      </c>
      <c r="H1" s="22" t="s">
        <v>190</v>
      </c>
      <c r="I1" s="22" t="s">
        <v>191</v>
      </c>
      <c r="J1" s="22" t="s">
        <v>175</v>
      </c>
      <c r="K1" s="22" t="s">
        <v>174</v>
      </c>
      <c r="L1" s="22" t="s">
        <v>176</v>
      </c>
      <c r="M1" s="22" t="s">
        <v>192</v>
      </c>
      <c r="N1" s="22" t="s">
        <v>193</v>
      </c>
      <c r="O1" s="22" t="s">
        <v>194</v>
      </c>
      <c r="P1" s="23" t="s">
        <v>195</v>
      </c>
      <c r="Q1" s="22" t="s">
        <v>196</v>
      </c>
      <c r="R1" s="23" t="s">
        <v>197</v>
      </c>
      <c r="S1" s="19" t="s">
        <v>198</v>
      </c>
      <c r="T1" s="19" t="s">
        <v>199</v>
      </c>
      <c r="U1" s="19" t="s">
        <v>200</v>
      </c>
      <c r="V1" s="19" t="s">
        <v>201</v>
      </c>
      <c r="W1" s="19" t="s">
        <v>202</v>
      </c>
      <c r="X1" s="25" t="s">
        <v>203</v>
      </c>
      <c r="Y1" s="19" t="s">
        <v>204</v>
      </c>
      <c r="Z1" s="19" t="s">
        <v>205</v>
      </c>
      <c r="AA1" s="25" t="s">
        <v>206</v>
      </c>
      <c r="AB1" s="23" t="s">
        <v>207</v>
      </c>
      <c r="AC1" s="10" t="s">
        <v>9</v>
      </c>
      <c r="AD1" s="11" t="s">
        <v>10</v>
      </c>
      <c r="AE1" s="12" t="s">
        <v>41</v>
      </c>
      <c r="AF1" s="11" t="s">
        <v>178</v>
      </c>
    </row>
    <row r="2" s="1" customFormat="1" ht="69" customHeight="1" spans="1:32">
      <c r="A2" s="5" t="s">
        <v>238</v>
      </c>
      <c r="B2" s="6" t="s">
        <v>209</v>
      </c>
      <c r="C2" s="7" t="s">
        <v>22</v>
      </c>
      <c r="D2" s="8" t="s">
        <v>210</v>
      </c>
      <c r="E2" s="9" t="s">
        <v>211</v>
      </c>
      <c r="F2" s="5" t="s">
        <v>23</v>
      </c>
      <c r="G2" s="5" t="s">
        <v>24</v>
      </c>
      <c r="H2" s="9" t="s">
        <v>165</v>
      </c>
      <c r="I2" s="5" t="s">
        <v>239</v>
      </c>
      <c r="J2" s="5" t="s">
        <v>240</v>
      </c>
      <c r="K2" s="5" t="s">
        <v>241</v>
      </c>
      <c r="L2" s="5" t="s">
        <v>242</v>
      </c>
      <c r="M2" s="5" t="s">
        <v>243</v>
      </c>
      <c r="N2" s="5" t="s">
        <v>244</v>
      </c>
      <c r="O2" s="5" t="s">
        <v>245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216</v>
      </c>
      <c r="Y2" s="9">
        <v>0</v>
      </c>
      <c r="Z2" s="9">
        <v>0</v>
      </c>
      <c r="AA2" s="24" t="s">
        <v>69</v>
      </c>
      <c r="AB2" s="24" t="s">
        <v>69</v>
      </c>
      <c r="AC2" s="8" t="s">
        <v>217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246</v>
      </c>
      <c r="B3" s="6" t="s">
        <v>219</v>
      </c>
      <c r="C3" s="7" t="s">
        <v>22</v>
      </c>
      <c r="D3" s="8" t="s">
        <v>210</v>
      </c>
      <c r="E3" s="9" t="s">
        <v>211</v>
      </c>
      <c r="F3" s="5" t="s">
        <v>23</v>
      </c>
      <c r="G3" s="5" t="s">
        <v>24</v>
      </c>
      <c r="H3" s="9" t="s">
        <v>165</v>
      </c>
      <c r="I3" s="5" t="s">
        <v>239</v>
      </c>
      <c r="J3" s="5" t="s">
        <v>240</v>
      </c>
      <c r="K3" s="5" t="s">
        <v>241</v>
      </c>
      <c r="L3" s="5" t="s">
        <v>242</v>
      </c>
      <c r="M3" s="5" t="s">
        <v>243</v>
      </c>
      <c r="N3" s="5" t="s">
        <v>244</v>
      </c>
      <c r="O3" s="5" t="s">
        <v>245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216</v>
      </c>
      <c r="Y3" s="9">
        <v>0</v>
      </c>
      <c r="Z3" s="9">
        <v>0</v>
      </c>
      <c r="AA3" s="24" t="s">
        <v>69</v>
      </c>
      <c r="AB3" s="24" t="s">
        <v>69</v>
      </c>
      <c r="AC3" s="8" t="s">
        <v>217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247</v>
      </c>
      <c r="B4" s="6" t="s">
        <v>221</v>
      </c>
      <c r="C4" s="7" t="s">
        <v>22</v>
      </c>
      <c r="D4" s="8" t="s">
        <v>210</v>
      </c>
      <c r="E4" s="9" t="s">
        <v>211</v>
      </c>
      <c r="F4" s="5" t="s">
        <v>23</v>
      </c>
      <c r="G4" s="5" t="s">
        <v>24</v>
      </c>
      <c r="H4" s="9" t="s">
        <v>165</v>
      </c>
      <c r="I4" s="5" t="s">
        <v>239</v>
      </c>
      <c r="J4" s="5" t="s">
        <v>240</v>
      </c>
      <c r="K4" s="5" t="s">
        <v>241</v>
      </c>
      <c r="L4" s="5" t="s">
        <v>242</v>
      </c>
      <c r="M4" s="5" t="s">
        <v>243</v>
      </c>
      <c r="N4" s="5" t="s">
        <v>244</v>
      </c>
      <c r="O4" s="5" t="s">
        <v>245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216</v>
      </c>
      <c r="Y4" s="9">
        <v>0</v>
      </c>
      <c r="Z4" s="9">
        <v>0</v>
      </c>
      <c r="AA4" s="24" t="s">
        <v>69</v>
      </c>
      <c r="AB4" s="24" t="s">
        <v>69</v>
      </c>
      <c r="AC4" s="8" t="s">
        <v>217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248</v>
      </c>
      <c r="B5" s="6" t="s">
        <v>223</v>
      </c>
      <c r="C5" s="7" t="s">
        <v>22</v>
      </c>
      <c r="D5" s="8" t="s">
        <v>210</v>
      </c>
      <c r="E5" s="9" t="s">
        <v>211</v>
      </c>
      <c r="F5" s="5" t="s">
        <v>23</v>
      </c>
      <c r="G5" s="5" t="s">
        <v>24</v>
      </c>
      <c r="H5" s="9" t="s">
        <v>165</v>
      </c>
      <c r="I5" s="5" t="s">
        <v>239</v>
      </c>
      <c r="J5" s="5" t="s">
        <v>240</v>
      </c>
      <c r="K5" s="5" t="s">
        <v>241</v>
      </c>
      <c r="L5" s="5" t="s">
        <v>242</v>
      </c>
      <c r="M5" s="5" t="s">
        <v>243</v>
      </c>
      <c r="N5" s="5" t="s">
        <v>244</v>
      </c>
      <c r="O5" s="5" t="s">
        <v>245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216</v>
      </c>
      <c r="Y5" s="9">
        <v>0</v>
      </c>
      <c r="Z5" s="9">
        <v>0</v>
      </c>
      <c r="AA5" s="24" t="s">
        <v>69</v>
      </c>
      <c r="AB5" s="24" t="s">
        <v>69</v>
      </c>
      <c r="AC5" s="8" t="s">
        <v>217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249</v>
      </c>
      <c r="B6" s="6" t="s">
        <v>225</v>
      </c>
      <c r="C6" s="7" t="s">
        <v>22</v>
      </c>
      <c r="D6" s="8" t="s">
        <v>210</v>
      </c>
      <c r="E6" s="9" t="s">
        <v>211</v>
      </c>
      <c r="F6" s="5" t="s">
        <v>23</v>
      </c>
      <c r="G6" s="5" t="s">
        <v>24</v>
      </c>
      <c r="H6" s="9" t="s">
        <v>165</v>
      </c>
      <c r="I6" s="5" t="s">
        <v>239</v>
      </c>
      <c r="J6" s="5" t="s">
        <v>240</v>
      </c>
      <c r="K6" s="5" t="s">
        <v>241</v>
      </c>
      <c r="L6" s="5" t="s">
        <v>242</v>
      </c>
      <c r="M6" s="5" t="s">
        <v>243</v>
      </c>
      <c r="N6" s="5" t="s">
        <v>244</v>
      </c>
      <c r="O6" s="5" t="s">
        <v>245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216</v>
      </c>
      <c r="Y6" s="9">
        <v>0</v>
      </c>
      <c r="Z6" s="9">
        <v>0</v>
      </c>
      <c r="AA6" s="24" t="s">
        <v>69</v>
      </c>
      <c r="AB6" s="24" t="s">
        <v>69</v>
      </c>
      <c r="AC6" s="8" t="s">
        <v>217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189</v>
      </c>
      <c r="F1" s="22" t="s">
        <v>170</v>
      </c>
      <c r="G1" s="22" t="s">
        <v>171</v>
      </c>
      <c r="H1" s="22" t="s">
        <v>190</v>
      </c>
      <c r="I1" s="22" t="s">
        <v>191</v>
      </c>
      <c r="J1" s="22" t="s">
        <v>175</v>
      </c>
      <c r="K1" s="22" t="s">
        <v>174</v>
      </c>
      <c r="L1" s="22" t="s">
        <v>176</v>
      </c>
      <c r="M1" s="22" t="s">
        <v>192</v>
      </c>
      <c r="N1" s="22" t="s">
        <v>193</v>
      </c>
      <c r="O1" s="22" t="s">
        <v>194</v>
      </c>
      <c r="P1" s="23" t="s">
        <v>195</v>
      </c>
      <c r="Q1" s="22" t="s">
        <v>196</v>
      </c>
      <c r="R1" s="23" t="s">
        <v>197</v>
      </c>
      <c r="S1" s="19" t="s">
        <v>198</v>
      </c>
      <c r="T1" s="19" t="s">
        <v>199</v>
      </c>
      <c r="U1" s="19" t="s">
        <v>200</v>
      </c>
      <c r="V1" s="19" t="s">
        <v>201</v>
      </c>
      <c r="W1" s="19" t="s">
        <v>202</v>
      </c>
      <c r="X1" s="25" t="s">
        <v>203</v>
      </c>
      <c r="Y1" s="19" t="s">
        <v>204</v>
      </c>
      <c r="Z1" s="19" t="s">
        <v>205</v>
      </c>
      <c r="AA1" s="25" t="s">
        <v>206</v>
      </c>
      <c r="AB1" s="23" t="s">
        <v>207</v>
      </c>
      <c r="AC1" s="10" t="s">
        <v>9</v>
      </c>
      <c r="AD1" s="11" t="s">
        <v>10</v>
      </c>
      <c r="AE1" s="12" t="s">
        <v>41</v>
      </c>
      <c r="AF1" s="11" t="s">
        <v>178</v>
      </c>
    </row>
    <row r="2" s="1" customFormat="1" ht="69" customHeight="1" spans="1:32">
      <c r="A2" s="5" t="s">
        <v>250</v>
      </c>
      <c r="B2" s="6" t="s">
        <v>209</v>
      </c>
      <c r="C2" s="7" t="s">
        <v>22</v>
      </c>
      <c r="D2" s="8" t="s">
        <v>210</v>
      </c>
      <c r="E2" s="9" t="s">
        <v>211</v>
      </c>
      <c r="F2" s="5" t="s">
        <v>23</v>
      </c>
      <c r="G2" s="5" t="s">
        <v>24</v>
      </c>
      <c r="H2" s="9" t="s">
        <v>169</v>
      </c>
      <c r="I2" s="5" t="s">
        <v>251</v>
      </c>
      <c r="J2" s="5" t="s">
        <v>252</v>
      </c>
      <c r="K2" s="5" t="s">
        <v>253</v>
      </c>
      <c r="L2" s="5" t="s">
        <v>254</v>
      </c>
      <c r="M2" s="5" t="s">
        <v>255</v>
      </c>
      <c r="N2" s="5" t="s">
        <v>256</v>
      </c>
      <c r="O2" s="5" t="s">
        <v>257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216</v>
      </c>
      <c r="Y2" s="9">
        <v>0</v>
      </c>
      <c r="Z2" s="9">
        <v>0</v>
      </c>
      <c r="AA2" s="24" t="s">
        <v>69</v>
      </c>
      <c r="AB2" s="24" t="s">
        <v>69</v>
      </c>
      <c r="AC2" s="8" t="s">
        <v>217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258</v>
      </c>
      <c r="B3" s="6" t="s">
        <v>219</v>
      </c>
      <c r="C3" s="7" t="s">
        <v>22</v>
      </c>
      <c r="D3" s="8" t="s">
        <v>210</v>
      </c>
      <c r="E3" s="9" t="s">
        <v>211</v>
      </c>
      <c r="F3" s="5" t="s">
        <v>23</v>
      </c>
      <c r="G3" s="5" t="s">
        <v>24</v>
      </c>
      <c r="H3" s="9" t="s">
        <v>169</v>
      </c>
      <c r="I3" s="5" t="s">
        <v>251</v>
      </c>
      <c r="J3" s="5" t="s">
        <v>252</v>
      </c>
      <c r="K3" s="5" t="s">
        <v>253</v>
      </c>
      <c r="L3" s="5" t="s">
        <v>254</v>
      </c>
      <c r="M3" s="5" t="s">
        <v>255</v>
      </c>
      <c r="N3" s="5" t="s">
        <v>256</v>
      </c>
      <c r="O3" s="5" t="s">
        <v>257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216</v>
      </c>
      <c r="Y3" s="9">
        <v>0</v>
      </c>
      <c r="Z3" s="9">
        <v>0</v>
      </c>
      <c r="AA3" s="24" t="s">
        <v>69</v>
      </c>
      <c r="AB3" s="24" t="s">
        <v>69</v>
      </c>
      <c r="AC3" s="8" t="s">
        <v>217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259</v>
      </c>
      <c r="B4" s="6" t="s">
        <v>221</v>
      </c>
      <c r="C4" s="7" t="s">
        <v>22</v>
      </c>
      <c r="D4" s="8" t="s">
        <v>210</v>
      </c>
      <c r="E4" s="9" t="s">
        <v>211</v>
      </c>
      <c r="F4" s="5" t="s">
        <v>23</v>
      </c>
      <c r="G4" s="5" t="s">
        <v>24</v>
      </c>
      <c r="H4" s="9" t="s">
        <v>169</v>
      </c>
      <c r="I4" s="5" t="s">
        <v>251</v>
      </c>
      <c r="J4" s="5" t="s">
        <v>252</v>
      </c>
      <c r="K4" s="5" t="s">
        <v>253</v>
      </c>
      <c r="L4" s="5" t="s">
        <v>254</v>
      </c>
      <c r="M4" s="5" t="s">
        <v>255</v>
      </c>
      <c r="N4" s="5" t="s">
        <v>256</v>
      </c>
      <c r="O4" s="5" t="s">
        <v>257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216</v>
      </c>
      <c r="Y4" s="9">
        <v>0</v>
      </c>
      <c r="Z4" s="9">
        <v>0</v>
      </c>
      <c r="AA4" s="24" t="s">
        <v>69</v>
      </c>
      <c r="AB4" s="24" t="s">
        <v>69</v>
      </c>
      <c r="AC4" s="8" t="s">
        <v>217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260</v>
      </c>
      <c r="B5" s="6" t="s">
        <v>223</v>
      </c>
      <c r="C5" s="7" t="s">
        <v>22</v>
      </c>
      <c r="D5" s="8" t="s">
        <v>210</v>
      </c>
      <c r="E5" s="9" t="s">
        <v>211</v>
      </c>
      <c r="F5" s="5" t="s">
        <v>23</v>
      </c>
      <c r="G5" s="5" t="s">
        <v>24</v>
      </c>
      <c r="H5" s="9" t="s">
        <v>169</v>
      </c>
      <c r="I5" s="5" t="s">
        <v>251</v>
      </c>
      <c r="J5" s="5" t="s">
        <v>252</v>
      </c>
      <c r="K5" s="5" t="s">
        <v>253</v>
      </c>
      <c r="L5" s="5" t="s">
        <v>254</v>
      </c>
      <c r="M5" s="5" t="s">
        <v>255</v>
      </c>
      <c r="N5" s="5" t="s">
        <v>256</v>
      </c>
      <c r="O5" s="5" t="s">
        <v>257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216</v>
      </c>
      <c r="Y5" s="9">
        <v>0</v>
      </c>
      <c r="Z5" s="9">
        <v>0</v>
      </c>
      <c r="AA5" s="24" t="s">
        <v>69</v>
      </c>
      <c r="AB5" s="24" t="s">
        <v>69</v>
      </c>
      <c r="AC5" s="8" t="s">
        <v>217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261</v>
      </c>
      <c r="B6" s="6" t="s">
        <v>225</v>
      </c>
      <c r="C6" s="7" t="s">
        <v>22</v>
      </c>
      <c r="D6" s="8" t="s">
        <v>210</v>
      </c>
      <c r="E6" s="9" t="s">
        <v>211</v>
      </c>
      <c r="F6" s="5" t="s">
        <v>23</v>
      </c>
      <c r="G6" s="5" t="s">
        <v>24</v>
      </c>
      <c r="H6" s="9" t="s">
        <v>169</v>
      </c>
      <c r="I6" s="5" t="s">
        <v>251</v>
      </c>
      <c r="J6" s="5" t="s">
        <v>252</v>
      </c>
      <c r="K6" s="5" t="s">
        <v>253</v>
      </c>
      <c r="L6" s="5" t="s">
        <v>254</v>
      </c>
      <c r="M6" s="5" t="s">
        <v>255</v>
      </c>
      <c r="N6" s="5" t="s">
        <v>256</v>
      </c>
      <c r="O6" s="5" t="s">
        <v>257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216</v>
      </c>
      <c r="Y6" s="9">
        <v>0</v>
      </c>
      <c r="Z6" s="9">
        <v>0</v>
      </c>
      <c r="AA6" s="24" t="s">
        <v>69</v>
      </c>
      <c r="AB6" s="24" t="s">
        <v>69</v>
      </c>
      <c r="AC6" s="8" t="s">
        <v>217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147</v>
      </c>
      <c r="F1" s="18" t="s">
        <v>172</v>
      </c>
      <c r="G1" s="18" t="s">
        <v>262</v>
      </c>
      <c r="H1" s="18" t="s">
        <v>263</v>
      </c>
      <c r="I1" s="18" t="s">
        <v>264</v>
      </c>
      <c r="J1" s="18" t="s">
        <v>265</v>
      </c>
      <c r="K1" s="18" t="s">
        <v>266</v>
      </c>
      <c r="L1" s="18" t="s">
        <v>267</v>
      </c>
      <c r="M1" s="18" t="s">
        <v>268</v>
      </c>
      <c r="N1" s="18" t="s">
        <v>269</v>
      </c>
      <c r="O1" s="18" t="s">
        <v>270</v>
      </c>
      <c r="P1" s="18" t="s">
        <v>271</v>
      </c>
      <c r="Q1" s="18" t="s">
        <v>272</v>
      </c>
      <c r="R1" s="18" t="s">
        <v>273</v>
      </c>
      <c r="S1" s="18" t="s">
        <v>274</v>
      </c>
      <c r="T1" s="18" t="s">
        <v>275</v>
      </c>
      <c r="U1" s="18" t="s">
        <v>276</v>
      </c>
      <c r="V1" s="18" t="s">
        <v>277</v>
      </c>
      <c r="W1" s="18" t="s">
        <v>278</v>
      </c>
      <c r="X1" s="18" t="s">
        <v>279</v>
      </c>
      <c r="Y1" s="18" t="s">
        <v>280</v>
      </c>
      <c r="Z1" s="19" t="s">
        <v>281</v>
      </c>
      <c r="AA1" s="19" t="s">
        <v>282</v>
      </c>
      <c r="AB1" s="19" t="s">
        <v>283</v>
      </c>
      <c r="AC1" s="19" t="s">
        <v>284</v>
      </c>
      <c r="AD1" s="19" t="s">
        <v>285</v>
      </c>
      <c r="AE1" s="19" t="s">
        <v>286</v>
      </c>
      <c r="AF1" s="19" t="s">
        <v>287</v>
      </c>
      <c r="AG1" s="19" t="s">
        <v>288</v>
      </c>
      <c r="AH1" s="19" t="s">
        <v>289</v>
      </c>
      <c r="AI1" s="19" t="s">
        <v>290</v>
      </c>
      <c r="AJ1" s="19" t="s">
        <v>291</v>
      </c>
      <c r="AK1" s="19" t="s">
        <v>292</v>
      </c>
      <c r="AL1" s="19" t="s">
        <v>293</v>
      </c>
      <c r="AM1" s="19" t="s">
        <v>294</v>
      </c>
      <c r="AN1" s="19" t="s">
        <v>295</v>
      </c>
      <c r="AO1" s="19" t="s">
        <v>296</v>
      </c>
      <c r="AP1" s="18" t="s">
        <v>297</v>
      </c>
      <c r="AQ1" s="18" t="s">
        <v>298</v>
      </c>
      <c r="AR1" s="20" t="s">
        <v>299</v>
      </c>
      <c r="AS1" s="10" t="s">
        <v>9</v>
      </c>
      <c r="AT1" s="11" t="s">
        <v>10</v>
      </c>
      <c r="AU1" s="12" t="s">
        <v>300</v>
      </c>
    </row>
    <row r="2" s="1" customFormat="1" ht="69" customHeight="1" spans="1:47">
      <c r="A2" s="5" t="s">
        <v>301</v>
      </c>
      <c r="B2" s="6" t="s">
        <v>302</v>
      </c>
      <c r="C2" s="7" t="s">
        <v>22</v>
      </c>
      <c r="D2" s="8" t="s">
        <v>303</v>
      </c>
      <c r="E2" s="9" t="s">
        <v>158</v>
      </c>
      <c r="F2" s="9" t="s">
        <v>183</v>
      </c>
      <c r="G2" s="9" t="s">
        <v>304</v>
      </c>
      <c r="H2" s="9" t="s">
        <v>305</v>
      </c>
      <c r="I2" s="5"/>
      <c r="J2" s="5" t="s">
        <v>306</v>
      </c>
      <c r="K2" s="5">
        <v>1600000</v>
      </c>
      <c r="L2" s="5"/>
      <c r="M2" s="5"/>
      <c r="N2" s="5"/>
      <c r="O2" s="5">
        <v>1600000</v>
      </c>
      <c r="P2" s="9" t="s">
        <v>211</v>
      </c>
      <c r="Q2" s="5">
        <v>0</v>
      </c>
      <c r="R2" s="5" t="s">
        <v>307</v>
      </c>
      <c r="S2" s="5" t="s">
        <v>308</v>
      </c>
      <c r="T2" s="5" t="s">
        <v>308</v>
      </c>
      <c r="U2" s="5" t="s">
        <v>309</v>
      </c>
      <c r="V2" s="5">
        <v>0</v>
      </c>
      <c r="W2" s="5" t="s">
        <v>310</v>
      </c>
      <c r="X2" s="5" t="s">
        <v>310</v>
      </c>
      <c r="Y2" s="5" t="s">
        <v>310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310</v>
      </c>
      <c r="AN2" s="5" t="s">
        <v>310</v>
      </c>
      <c r="AO2" s="5" t="s">
        <v>310</v>
      </c>
      <c r="AP2" s="5" t="s">
        <v>311</v>
      </c>
      <c r="AQ2" s="5" t="s">
        <v>311</v>
      </c>
      <c r="AR2" s="21" t="s">
        <v>69</v>
      </c>
      <c r="AS2" s="8" t="s">
        <v>312</v>
      </c>
      <c r="AT2" s="14">
        <v>200</v>
      </c>
      <c r="AU2" s="15" t="s">
        <v>22</v>
      </c>
    </row>
    <row r="3" s="1" customFormat="1" ht="69" customHeight="1" spans="1:47">
      <c r="A3" s="5" t="s">
        <v>313</v>
      </c>
      <c r="B3" s="6" t="s">
        <v>302</v>
      </c>
      <c r="C3" s="7" t="s">
        <v>22</v>
      </c>
      <c r="D3" s="8" t="s">
        <v>303</v>
      </c>
      <c r="E3" s="9" t="s">
        <v>158</v>
      </c>
      <c r="F3" s="9" t="s">
        <v>183</v>
      </c>
      <c r="G3" s="9" t="s">
        <v>304</v>
      </c>
      <c r="H3" s="9" t="s">
        <v>305</v>
      </c>
      <c r="I3" s="5"/>
      <c r="J3" s="5" t="s">
        <v>306</v>
      </c>
      <c r="K3" s="5">
        <v>8800000</v>
      </c>
      <c r="L3" s="5"/>
      <c r="M3" s="5"/>
      <c r="N3" s="5"/>
      <c r="O3" s="5">
        <v>1600000</v>
      </c>
      <c r="P3" s="9" t="s">
        <v>211</v>
      </c>
      <c r="Q3" s="5">
        <v>0</v>
      </c>
      <c r="R3" s="5" t="s">
        <v>307</v>
      </c>
      <c r="S3" s="5" t="s">
        <v>308</v>
      </c>
      <c r="T3" s="5" t="s">
        <v>308</v>
      </c>
      <c r="U3" s="5" t="s">
        <v>309</v>
      </c>
      <c r="V3" s="5">
        <v>0</v>
      </c>
      <c r="W3" s="5" t="s">
        <v>310</v>
      </c>
      <c r="X3" s="5" t="s">
        <v>310</v>
      </c>
      <c r="Y3" s="5" t="s">
        <v>310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310</v>
      </c>
      <c r="AN3" s="5" t="s">
        <v>310</v>
      </c>
      <c r="AO3" s="5" t="s">
        <v>310</v>
      </c>
      <c r="AP3" s="5" t="s">
        <v>311</v>
      </c>
      <c r="AQ3" s="5" t="s">
        <v>311</v>
      </c>
      <c r="AR3" s="21" t="s">
        <v>69</v>
      </c>
      <c r="AS3" s="8" t="s">
        <v>312</v>
      </c>
      <c r="AT3" s="14">
        <v>200</v>
      </c>
      <c r="AU3" s="15" t="s">
        <v>22</v>
      </c>
    </row>
    <row r="4" s="1" customFormat="1" ht="69" customHeight="1" spans="1:47">
      <c r="A4" s="5" t="s">
        <v>314</v>
      </c>
      <c r="B4" s="6" t="s">
        <v>302</v>
      </c>
      <c r="C4" s="7" t="s">
        <v>22</v>
      </c>
      <c r="D4" s="8" t="s">
        <v>303</v>
      </c>
      <c r="E4" s="9" t="s">
        <v>159</v>
      </c>
      <c r="F4" s="9" t="s">
        <v>315</v>
      </c>
      <c r="G4" s="9" t="s">
        <v>316</v>
      </c>
      <c r="H4" s="9" t="s">
        <v>317</v>
      </c>
      <c r="I4" s="5"/>
      <c r="J4" s="5" t="s">
        <v>306</v>
      </c>
      <c r="K4" s="5">
        <v>1600000</v>
      </c>
      <c r="L4" s="5"/>
      <c r="M4" s="5"/>
      <c r="N4" s="5"/>
      <c r="O4" s="5">
        <v>1600000</v>
      </c>
      <c r="P4" s="9" t="s">
        <v>211</v>
      </c>
      <c r="Q4" s="5">
        <v>0</v>
      </c>
      <c r="R4" s="5" t="s">
        <v>307</v>
      </c>
      <c r="S4" s="5" t="s">
        <v>308</v>
      </c>
      <c r="T4" s="5" t="s">
        <v>308</v>
      </c>
      <c r="U4" s="5" t="s">
        <v>309</v>
      </c>
      <c r="V4" s="5">
        <v>0</v>
      </c>
      <c r="W4" s="5" t="s">
        <v>310</v>
      </c>
      <c r="X4" s="5" t="s">
        <v>310</v>
      </c>
      <c r="Y4" s="5" t="s">
        <v>310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310</v>
      </c>
      <c r="AN4" s="5" t="s">
        <v>310</v>
      </c>
      <c r="AO4" s="5" t="s">
        <v>310</v>
      </c>
      <c r="AP4" s="5" t="s">
        <v>311</v>
      </c>
      <c r="AQ4" s="5" t="s">
        <v>311</v>
      </c>
      <c r="AR4" s="21" t="s">
        <v>69</v>
      </c>
      <c r="AS4" s="8" t="s">
        <v>312</v>
      </c>
      <c r="AT4" s="14">
        <v>200</v>
      </c>
      <c r="AU4" s="15" t="s">
        <v>22</v>
      </c>
    </row>
    <row r="5" s="1" customFormat="1" ht="69" customHeight="1" spans="1:47">
      <c r="A5" s="5" t="s">
        <v>318</v>
      </c>
      <c r="B5" s="6" t="s">
        <v>302</v>
      </c>
      <c r="C5" s="7" t="s">
        <v>22</v>
      </c>
      <c r="D5" s="8" t="s">
        <v>303</v>
      </c>
      <c r="E5" s="9" t="s">
        <v>165</v>
      </c>
      <c r="F5" s="9" t="s">
        <v>319</v>
      </c>
      <c r="G5" s="9" t="s">
        <v>320</v>
      </c>
      <c r="H5" s="9" t="s">
        <v>321</v>
      </c>
      <c r="I5" s="5"/>
      <c r="J5" s="5" t="s">
        <v>306</v>
      </c>
      <c r="K5" s="5">
        <v>1600000</v>
      </c>
      <c r="L5" s="5"/>
      <c r="M5" s="5"/>
      <c r="N5" s="5"/>
      <c r="O5" s="5">
        <v>1600000</v>
      </c>
      <c r="P5" s="9" t="s">
        <v>211</v>
      </c>
      <c r="Q5" s="5">
        <v>0</v>
      </c>
      <c r="R5" s="5" t="s">
        <v>307</v>
      </c>
      <c r="S5" s="5" t="s">
        <v>308</v>
      </c>
      <c r="T5" s="5" t="s">
        <v>308</v>
      </c>
      <c r="U5" s="5" t="s">
        <v>309</v>
      </c>
      <c r="V5" s="5">
        <v>0</v>
      </c>
      <c r="W5" s="5" t="s">
        <v>310</v>
      </c>
      <c r="X5" s="5" t="s">
        <v>310</v>
      </c>
      <c r="Y5" s="5" t="s">
        <v>310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310</v>
      </c>
      <c r="AN5" s="5" t="s">
        <v>310</v>
      </c>
      <c r="AO5" s="5" t="s">
        <v>310</v>
      </c>
      <c r="AP5" s="5" t="s">
        <v>311</v>
      </c>
      <c r="AQ5" s="5" t="s">
        <v>311</v>
      </c>
      <c r="AR5" s="21" t="s">
        <v>69</v>
      </c>
      <c r="AS5" s="8" t="s">
        <v>312</v>
      </c>
      <c r="AT5" s="14">
        <v>200</v>
      </c>
      <c r="AU5" s="15" t="s">
        <v>22</v>
      </c>
    </row>
    <row r="6" s="1" customFormat="1" ht="69" customHeight="1" spans="1:47">
      <c r="A6" s="5" t="s">
        <v>322</v>
      </c>
      <c r="B6" s="6" t="s">
        <v>302</v>
      </c>
      <c r="C6" s="7" t="s">
        <v>22</v>
      </c>
      <c r="D6" s="8" t="s">
        <v>303</v>
      </c>
      <c r="E6" s="9" t="s">
        <v>169</v>
      </c>
      <c r="F6" s="9" t="s">
        <v>323</v>
      </c>
      <c r="G6" s="9" t="s">
        <v>324</v>
      </c>
      <c r="H6" s="9" t="s">
        <v>325</v>
      </c>
      <c r="I6" s="5"/>
      <c r="J6" s="5" t="s">
        <v>306</v>
      </c>
      <c r="K6" s="5">
        <v>1600000</v>
      </c>
      <c r="L6" s="5"/>
      <c r="M6" s="5"/>
      <c r="N6" s="5"/>
      <c r="O6" s="5">
        <v>1600000</v>
      </c>
      <c r="P6" s="9" t="s">
        <v>211</v>
      </c>
      <c r="Q6" s="5">
        <v>0</v>
      </c>
      <c r="R6" s="5" t="s">
        <v>307</v>
      </c>
      <c r="S6" s="5" t="s">
        <v>308</v>
      </c>
      <c r="T6" s="5" t="s">
        <v>308</v>
      </c>
      <c r="U6" s="5" t="s">
        <v>309</v>
      </c>
      <c r="V6" s="5">
        <v>0</v>
      </c>
      <c r="W6" s="5" t="s">
        <v>310</v>
      </c>
      <c r="X6" s="5" t="s">
        <v>310</v>
      </c>
      <c r="Y6" s="5" t="s">
        <v>310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310</v>
      </c>
      <c r="AN6" s="5" t="s">
        <v>310</v>
      </c>
      <c r="AO6" s="5" t="s">
        <v>310</v>
      </c>
      <c r="AP6" s="5" t="s">
        <v>311</v>
      </c>
      <c r="AQ6" s="5" t="s">
        <v>311</v>
      </c>
      <c r="AR6" s="21" t="s">
        <v>69</v>
      </c>
      <c r="AS6" s="8" t="s">
        <v>312</v>
      </c>
      <c r="AT6" s="14">
        <v>200</v>
      </c>
      <c r="AU6" s="15" t="s">
        <v>22</v>
      </c>
    </row>
    <row r="7" s="1" customFormat="1" ht="69" customHeight="1" spans="1:47">
      <c r="A7" s="5" t="s">
        <v>326</v>
      </c>
      <c r="B7" s="6" t="s">
        <v>327</v>
      </c>
      <c r="C7" s="7" t="s">
        <v>22</v>
      </c>
      <c r="D7" s="8" t="s">
        <v>328</v>
      </c>
      <c r="E7" s="9" t="s">
        <v>158</v>
      </c>
      <c r="F7" s="9" t="s">
        <v>183</v>
      </c>
      <c r="G7" s="9" t="s">
        <v>304</v>
      </c>
      <c r="H7" s="9" t="s">
        <v>305</v>
      </c>
      <c r="I7" s="5"/>
      <c r="J7" s="5" t="s">
        <v>306</v>
      </c>
      <c r="K7" s="5">
        <v>100000</v>
      </c>
      <c r="L7" s="5"/>
      <c r="M7" s="5"/>
      <c r="N7" s="5"/>
      <c r="O7" s="5">
        <v>100000</v>
      </c>
      <c r="P7" s="9" t="s">
        <v>211</v>
      </c>
      <c r="Q7" s="5">
        <v>0</v>
      </c>
      <c r="R7" s="5" t="s">
        <v>307</v>
      </c>
      <c r="S7" s="5" t="s">
        <v>308</v>
      </c>
      <c r="T7" s="5" t="s">
        <v>308</v>
      </c>
      <c r="U7" s="5" t="s">
        <v>309</v>
      </c>
      <c r="V7" s="5">
        <v>0</v>
      </c>
      <c r="W7" s="5" t="s">
        <v>310</v>
      </c>
      <c r="X7" s="5" t="s">
        <v>310</v>
      </c>
      <c r="Y7" s="5" t="s">
        <v>310</v>
      </c>
      <c r="Z7" s="5" t="s">
        <v>329</v>
      </c>
      <c r="AA7" s="5">
        <v>200000</v>
      </c>
      <c r="AB7" s="5"/>
      <c r="AC7" s="5" t="s">
        <v>330</v>
      </c>
      <c r="AD7" s="5"/>
      <c r="AE7" s="5">
        <v>200000</v>
      </c>
      <c r="AF7" s="9" t="s">
        <v>211</v>
      </c>
      <c r="AG7" s="5">
        <v>0</v>
      </c>
      <c r="AH7" s="5" t="s">
        <v>307</v>
      </c>
      <c r="AI7" s="5" t="s">
        <v>308</v>
      </c>
      <c r="AJ7" s="5" t="s">
        <v>308</v>
      </c>
      <c r="AK7" s="5" t="s">
        <v>309</v>
      </c>
      <c r="AL7" s="5">
        <v>0</v>
      </c>
      <c r="AM7" s="5" t="s">
        <v>310</v>
      </c>
      <c r="AN7" s="5" t="s">
        <v>310</v>
      </c>
      <c r="AO7" s="5" t="s">
        <v>310</v>
      </c>
      <c r="AP7" s="5" t="s">
        <v>311</v>
      </c>
      <c r="AQ7" s="5" t="s">
        <v>311</v>
      </c>
      <c r="AR7" s="21" t="s">
        <v>69</v>
      </c>
      <c r="AS7" s="8" t="s">
        <v>312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331</v>
      </c>
      <c r="F1" s="4" t="s">
        <v>172</v>
      </c>
      <c r="G1" s="4" t="s">
        <v>263</v>
      </c>
      <c r="H1" s="4" t="s">
        <v>170</v>
      </c>
      <c r="I1" s="4" t="s">
        <v>171</v>
      </c>
      <c r="J1" s="4" t="s">
        <v>332</v>
      </c>
      <c r="K1" s="10" t="s">
        <v>9</v>
      </c>
      <c r="L1" s="11" t="s">
        <v>10</v>
      </c>
      <c r="M1" s="12" t="s">
        <v>333</v>
      </c>
      <c r="N1" s="12" t="s">
        <v>334</v>
      </c>
      <c r="O1" s="12" t="s">
        <v>335</v>
      </c>
      <c r="P1" s="12" t="s">
        <v>336</v>
      </c>
      <c r="Q1" s="12" t="s">
        <v>337</v>
      </c>
      <c r="R1" s="12" t="s">
        <v>338</v>
      </c>
      <c r="S1" s="12" t="s">
        <v>339</v>
      </c>
    </row>
    <row r="2" s="1" customFormat="1" ht="69" customHeight="1" spans="1:19">
      <c r="A2" s="5" t="s">
        <v>340</v>
      </c>
      <c r="B2" s="6" t="s">
        <v>341</v>
      </c>
      <c r="C2" s="7" t="s">
        <v>22</v>
      </c>
      <c r="D2" s="8" t="s">
        <v>342</v>
      </c>
      <c r="E2" s="9" t="s">
        <v>25</v>
      </c>
      <c r="F2" s="9" t="s">
        <v>183</v>
      </c>
      <c r="G2" s="9" t="s">
        <v>343</v>
      </c>
      <c r="H2" s="5" t="s">
        <v>23</v>
      </c>
      <c r="I2" s="5" t="s">
        <v>24</v>
      </c>
      <c r="J2" s="17" t="s">
        <v>26</v>
      </c>
      <c r="K2" s="13" t="s">
        <v>344</v>
      </c>
      <c r="L2" s="14">
        <v>200</v>
      </c>
      <c r="M2" s="15" t="s">
        <v>345</v>
      </c>
      <c r="N2" s="15" t="s">
        <v>306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346</v>
      </c>
      <c r="B3" s="6" t="s">
        <v>347</v>
      </c>
      <c r="C3" s="7" t="s">
        <v>22</v>
      </c>
      <c r="D3" s="8" t="s">
        <v>342</v>
      </c>
      <c r="E3" s="9" t="s">
        <v>37</v>
      </c>
      <c r="F3" s="9" t="s">
        <v>315</v>
      </c>
      <c r="G3" s="9" t="s">
        <v>348</v>
      </c>
      <c r="H3" s="5" t="s">
        <v>23</v>
      </c>
      <c r="I3" s="5" t="s">
        <v>24</v>
      </c>
      <c r="J3" s="17" t="s">
        <v>26</v>
      </c>
      <c r="K3" s="13" t="s">
        <v>344</v>
      </c>
      <c r="L3" s="14">
        <v>200</v>
      </c>
      <c r="M3" s="15" t="s">
        <v>345</v>
      </c>
      <c r="N3" s="15" t="s">
        <v>306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349</v>
      </c>
      <c r="B4" s="6" t="s">
        <v>350</v>
      </c>
      <c r="C4" s="7" t="s">
        <v>22</v>
      </c>
      <c r="D4" s="8" t="s">
        <v>342</v>
      </c>
      <c r="E4" s="9" t="s">
        <v>38</v>
      </c>
      <c r="F4" s="9" t="s">
        <v>319</v>
      </c>
      <c r="G4" s="9" t="s">
        <v>351</v>
      </c>
      <c r="H4" s="5" t="s">
        <v>23</v>
      </c>
      <c r="I4" s="5" t="s">
        <v>24</v>
      </c>
      <c r="J4" s="17" t="s">
        <v>26</v>
      </c>
      <c r="K4" s="13" t="s">
        <v>344</v>
      </c>
      <c r="L4" s="14">
        <v>200</v>
      </c>
      <c r="M4" s="15" t="s">
        <v>345</v>
      </c>
      <c r="N4" s="15" t="s">
        <v>306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352</v>
      </c>
      <c r="B5" s="6" t="s">
        <v>353</v>
      </c>
      <c r="C5" s="7" t="s">
        <v>22</v>
      </c>
      <c r="D5" s="8" t="s">
        <v>342</v>
      </c>
      <c r="E5" s="9" t="s">
        <v>39</v>
      </c>
      <c r="F5" s="9" t="s">
        <v>323</v>
      </c>
      <c r="G5" s="9" t="s">
        <v>354</v>
      </c>
      <c r="H5" s="5" t="s">
        <v>23</v>
      </c>
      <c r="I5" s="5" t="s">
        <v>24</v>
      </c>
      <c r="J5" s="17" t="s">
        <v>26</v>
      </c>
      <c r="K5" s="13" t="s">
        <v>344</v>
      </c>
      <c r="L5" s="14">
        <v>200</v>
      </c>
      <c r="M5" s="15" t="s">
        <v>345</v>
      </c>
      <c r="N5" s="15" t="s">
        <v>306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355</v>
      </c>
      <c r="B6" s="6" t="s">
        <v>356</v>
      </c>
      <c r="C6" s="7" t="s">
        <v>22</v>
      </c>
      <c r="D6" s="8" t="s">
        <v>342</v>
      </c>
      <c r="E6" s="9" t="s">
        <v>25</v>
      </c>
      <c r="F6" s="9" t="s">
        <v>183</v>
      </c>
      <c r="G6" s="9" t="s">
        <v>343</v>
      </c>
      <c r="H6" s="5" t="s">
        <v>23</v>
      </c>
      <c r="I6" s="5" t="s">
        <v>24</v>
      </c>
      <c r="J6" s="17" t="s">
        <v>26</v>
      </c>
      <c r="K6" s="13" t="s">
        <v>357</v>
      </c>
      <c r="L6" s="14">
        <v>200</v>
      </c>
      <c r="M6" s="15" t="s">
        <v>358</v>
      </c>
      <c r="N6" s="15" t="s">
        <v>306</v>
      </c>
      <c r="O6" s="15"/>
      <c r="P6" s="5">
        <v>100000</v>
      </c>
      <c r="Q6" s="15" t="s">
        <v>329</v>
      </c>
      <c r="R6" s="15" t="s">
        <v>330</v>
      </c>
      <c r="S6" s="15" t="s">
        <v>359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147</v>
      </c>
      <c r="F1" s="4" t="s">
        <v>360</v>
      </c>
      <c r="G1" s="10" t="s">
        <v>9</v>
      </c>
      <c r="H1" s="11" t="s">
        <v>10</v>
      </c>
      <c r="I1" s="12" t="s">
        <v>361</v>
      </c>
      <c r="J1" s="12" t="s">
        <v>362</v>
      </c>
    </row>
    <row r="2" s="1" customFormat="1" ht="69" customHeight="1" spans="1:10">
      <c r="A2" s="5" t="s">
        <v>363</v>
      </c>
      <c r="B2" s="6" t="s">
        <v>364</v>
      </c>
      <c r="C2" s="7" t="s">
        <v>22</v>
      </c>
      <c r="D2" s="8" t="s">
        <v>365</v>
      </c>
      <c r="E2" s="9" t="s">
        <v>158</v>
      </c>
      <c r="F2" s="9" t="s">
        <v>25</v>
      </c>
      <c r="G2" s="8" t="s">
        <v>366</v>
      </c>
      <c r="H2" s="14">
        <v>200</v>
      </c>
      <c r="I2" s="15" t="s">
        <v>31</v>
      </c>
      <c r="J2" s="15" t="s">
        <v>367</v>
      </c>
    </row>
    <row r="3" s="1" customFormat="1" ht="69" customHeight="1" spans="1:10">
      <c r="A3" s="5" t="s">
        <v>368</v>
      </c>
      <c r="B3" s="6" t="s">
        <v>369</v>
      </c>
      <c r="C3" s="7" t="s">
        <v>22</v>
      </c>
      <c r="D3" s="8" t="s">
        <v>365</v>
      </c>
      <c r="E3" s="9" t="s">
        <v>159</v>
      </c>
      <c r="F3" s="9" t="s">
        <v>37</v>
      </c>
      <c r="G3" s="8" t="s">
        <v>366</v>
      </c>
      <c r="H3" s="14">
        <v>200</v>
      </c>
      <c r="I3" s="15" t="s">
        <v>31</v>
      </c>
      <c r="J3" s="15" t="s">
        <v>367</v>
      </c>
    </row>
    <row r="4" s="1" customFormat="1" ht="69" customHeight="1" spans="1:10">
      <c r="A4" s="5" t="s">
        <v>370</v>
      </c>
      <c r="B4" s="6" t="s">
        <v>371</v>
      </c>
      <c r="C4" s="7" t="s">
        <v>22</v>
      </c>
      <c r="D4" s="8" t="s">
        <v>365</v>
      </c>
      <c r="E4" s="9" t="s">
        <v>165</v>
      </c>
      <c r="F4" s="9" t="s">
        <v>38</v>
      </c>
      <c r="G4" s="8" t="s">
        <v>366</v>
      </c>
      <c r="H4" s="14">
        <v>200</v>
      </c>
      <c r="I4" s="15" t="s">
        <v>31</v>
      </c>
      <c r="J4" s="15" t="s">
        <v>367</v>
      </c>
    </row>
    <row r="5" s="1" customFormat="1" ht="69" customHeight="1" spans="1:10">
      <c r="A5" s="5" t="s">
        <v>372</v>
      </c>
      <c r="B5" s="6" t="s">
        <v>373</v>
      </c>
      <c r="C5" s="7" t="s">
        <v>22</v>
      </c>
      <c r="D5" s="8" t="s">
        <v>365</v>
      </c>
      <c r="E5" s="9" t="s">
        <v>169</v>
      </c>
      <c r="F5" s="9" t="s">
        <v>39</v>
      </c>
      <c r="G5" s="8" t="s">
        <v>366</v>
      </c>
      <c r="H5" s="14">
        <v>200</v>
      </c>
      <c r="I5" s="15" t="s">
        <v>31</v>
      </c>
      <c r="J5" s="15" t="s">
        <v>367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374</v>
      </c>
      <c r="F1" s="4" t="s">
        <v>375</v>
      </c>
      <c r="G1" s="4" t="s">
        <v>376</v>
      </c>
      <c r="H1" s="4" t="s">
        <v>377</v>
      </c>
      <c r="I1" s="10" t="s">
        <v>9</v>
      </c>
      <c r="J1" s="11" t="s">
        <v>10</v>
      </c>
      <c r="K1" s="12" t="s">
        <v>300</v>
      </c>
    </row>
    <row r="2" s="1" customFormat="1" ht="69" customHeight="1" spans="1:11">
      <c r="A2" s="5" t="s">
        <v>378</v>
      </c>
      <c r="B2" s="6" t="s">
        <v>379</v>
      </c>
      <c r="C2" s="7" t="s">
        <v>22</v>
      </c>
      <c r="D2" s="8" t="s">
        <v>380</v>
      </c>
      <c r="E2" s="9" t="s">
        <v>158</v>
      </c>
      <c r="F2" s="9" t="s">
        <v>159</v>
      </c>
      <c r="G2" s="9" t="s">
        <v>165</v>
      </c>
      <c r="H2" s="9" t="s">
        <v>169</v>
      </c>
      <c r="I2" s="13" t="s">
        <v>381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2025-12-10T10:05:08Z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