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180" firstSheet="4" activeTab="4"/>
  </bookViews>
  <sheets>
    <sheet name="Booking_By_Bag_Player1" sheetId="1" r:id="rId1"/>
    <sheet name="Booking_By_Bag_Player2" sheetId="8" r:id="rId2"/>
    <sheet name="Booking_By_Bag_Player3" sheetId="9" r:id="rId3"/>
    <sheet name="Booking_By_Bag_Player4" sheetId="10" r:id="rId4"/>
    <sheet name="Fee_Of_Bag_Player1" sheetId="4" r:id="rId5"/>
    <sheet name="Fee_Of_Bag_Player2" sheetId="11" r:id="rId6"/>
    <sheet name="Fee_Of_Bag_Player3" sheetId="12" r:id="rId7"/>
    <sheet name="Fee_Of_Bag_Player4" sheetId="13" r:id="rId8"/>
    <sheet name="Fee_Of_Bag_Bill_Player1" sheetId="5" r:id="rId9"/>
    <sheet name="Fee_Of_Bag_Bill_Player2" sheetId="14" r:id="rId10"/>
    <sheet name="Fee_Of_Bag_Bill_Player3" sheetId="15" r:id="rId11"/>
    <sheet name="Fee_Of_Bag_Bill_Player4" sheetId="16" r:id="rId12"/>
    <sheet name="Add_Sub_Bag" sheetId="6" r:id="rId13"/>
    <sheet name="Detail_Agency_Pay" sheetId="3" r:id="rId14"/>
    <sheet name="Update_Agency_Pay_Player1" sheetId="17" r:id="rId15"/>
    <sheet name="Update_Agency_Pay_Player2" sheetId="24" r:id="rId16"/>
    <sheet name="Update_Agency_Pay_Player3" sheetId="25" r:id="rId17"/>
    <sheet name="Update_Agency_Pay_Player4" sheetId="26" r:id="rId18"/>
    <sheet name="Input_Single_Payment" sheetId="19" r:id="rId19"/>
    <sheet name="Single_Payment_List" sheetId="21" r:id="rId20"/>
    <sheet name="Check_Out_Bag" sheetId="22" r:id="rId21"/>
    <sheet name="Check_Out_Group" sheetId="23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tranp</author>
  </authors>
  <commentList>
    <comment ref="Q1" authorId="0">
      <text>
        <r>
          <rPr>
            <b/>
            <sz val="9"/>
            <rFont val="Times New Roman"/>
            <charset val="0"/>
          </rPr>
          <t>tranp:</t>
        </r>
        <r>
          <rPr>
            <sz val="9"/>
            <rFont val="Times New Roman"/>
            <charset val="0"/>
          </rPr>
          <t xml:space="preserve">
FE fake: Để xác định xoá thằng nào tạo mới nhưng chưa lưu vào db</t>
        </r>
      </text>
    </comment>
  </commentList>
</comments>
</file>

<file path=xl/sharedStrings.xml><?xml version="1.0" encoding="utf-8"?>
<sst xmlns="http://schemas.openxmlformats.org/spreadsheetml/2006/main" count="1990" uniqueCount="353">
  <si>
    <t>tc_id</t>
  </si>
  <si>
    <t>tc_description</t>
  </si>
  <si>
    <t>expected_result</t>
  </si>
  <si>
    <t>input_placeholders</t>
  </si>
  <si>
    <t>q_partner_uid</t>
  </si>
  <si>
    <t>q_course_uid</t>
  </si>
  <si>
    <t>q_bag</t>
  </si>
  <si>
    <t>q_booking_date</t>
  </si>
  <si>
    <t>q_version</t>
  </si>
  <si>
    <t>expected_validation_data</t>
  </si>
  <si>
    <t>status_code</t>
  </si>
  <si>
    <t>assert_customer_type</t>
  </si>
  <si>
    <t>assert_guest_style</t>
  </si>
  <si>
    <t>assert_agency_id</t>
  </si>
  <si>
    <t>assert_check_in_time</t>
  </si>
  <si>
    <t>assert_flight_id</t>
  </si>
  <si>
    <t>assert_buggy_id</t>
  </si>
  <si>
    <t>assert_init_type</t>
  </si>
  <si>
    <t>assert_size_rounds</t>
  </si>
  <si>
    <t>assert_size_list_service_items</t>
  </si>
  <si>
    <t>VST_BY_BAG_001</t>
  </si>
  <si>
    <t>VST_Kiểm tra thông tin booking của bag</t>
  </si>
  <si>
    <t>success</t>
  </si>
  <si>
    <t>{{CTX:PARTNER_UID}}</t>
  </si>
  <si>
    <t>{{CTX:COURSE_UID}}</t>
  </si>
  <si>
    <t>{{CTX:BAG_0}}</t>
  </si>
  <si>
    <t>{{TODAY}}</t>
  </si>
  <si>
    <t>2.0</t>
  </si>
  <si>
    <t>booking_by_bag_expect.json</t>
  </si>
  <si>
    <t>VISITOR</t>
  </si>
  <si>
    <t>4D</t>
  </si>
  <si>
    <t>NOT_NULL</t>
  </si>
  <si>
    <t>BOOKING</t>
  </si>
  <si>
    <t>AG_BY_BAG_001</t>
  </si>
  <si>
    <t>AG_Kiểm tra thông tin booking của bag</t>
  </si>
  <si>
    <t>TRADITIONAL</t>
  </si>
  <si>
    <t>5D</t>
  </si>
  <si>
    <t>{{CTX:BAG_1}}</t>
  </si>
  <si>
    <t>{{CTX:BAG_2}}</t>
  </si>
  <si>
    <t>{{CTX:BAG_3}}</t>
  </si>
  <si>
    <t>assert_total_bill.total</t>
  </si>
  <si>
    <t>assert_agency_paid_all</t>
  </si>
  <si>
    <t>assert_total_bill.agency_pay</t>
  </si>
  <si>
    <t>assert_agency_player_pay</t>
  </si>
  <si>
    <t>assert_agency_paid_discount</t>
  </si>
  <si>
    <t>assert_mush_pay_info.mush_pay</t>
  </si>
  <si>
    <t>assert_mush_pay_info_0_VND</t>
  </si>
  <si>
    <t>assert_rounds[0].green_fee</t>
  </si>
  <si>
    <t>assert_rounds[0].caddie_fee</t>
  </si>
  <si>
    <t>assert_rounds[0].voucher_green_fee_amount</t>
  </si>
  <si>
    <t>assert_rounds[0].voucher_caddie_fee_amount</t>
  </si>
  <si>
    <t>assert_total_golf_fee.green_fee</t>
  </si>
  <si>
    <t>assert_total_golf_fee.caddie_fee</t>
  </si>
  <si>
    <t>assert_total_golf_fee.total</t>
  </si>
  <si>
    <t>assert_total_golf_fee_0_VND</t>
  </si>
  <si>
    <t>assert_size_list_round_of_sub_bag</t>
  </si>
  <si>
    <t>assert_total_item_fee</t>
  </si>
  <si>
    <t>assert_total_service_fee.golf_fee</t>
  </si>
  <si>
    <t>assert_total_service_fee.rental</t>
  </si>
  <si>
    <t>assert_total_service_fee.tee_driving</t>
  </si>
  <si>
    <t>assert_total_service_fee.pro_shop</t>
  </si>
  <si>
    <t>assert_total_service_fee.restaurant</t>
  </si>
  <si>
    <t>assert_total_service_fee.kiosk</t>
  </si>
  <si>
    <t>assert_total_service_fee.mini_bar</t>
  </si>
  <si>
    <t>assert_total_service_fee.other_fee</t>
  </si>
  <si>
    <t>assert_total_service_fee.total</t>
  </si>
  <si>
    <t>VST_001</t>
  </si>
  <si>
    <t>VST_Kiểm tra giá sau khi check in</t>
  </si>
  <si>
    <t>fee_of_bag_expect.json</t>
  </si>
  <si>
    <t>false</t>
  </si>
  <si>
    <t>VST_002</t>
  </si>
  <si>
    <t>VST_Kiểm tra giá sau khi ghép xe</t>
  </si>
  <si>
    <t>Apply voucher giảm giá thông thường: Giảm 200k green fee</t>
  </si>
  <si>
    <t>VST_VC_GREEN_001</t>
  </si>
  <si>
    <t>VST_Kiểm tra giá sau khi check in có add voucher</t>
  </si>
  <si>
    <t>VST_VC_GREEN_002</t>
  </si>
  <si>
    <t>VST_Kiểm tra giá sau khi ghép xe có add voucher</t>
  </si>
  <si>
    <t>Apply voucher giảm giá thông thường: Giảm 2tr1 cho green + caddie + 1/2 xe + package</t>
  </si>
  <si>
    <t>VST_VC_4FEE_001</t>
  </si>
  <si>
    <t>fee_of_bag_0_VND_mustpay_and_0_VND_golf_fee_expect.json</t>
  </si>
  <si>
    <t>{}</t>
  </si>
  <si>
    <t>VST_VC_4FEE_002</t>
  </si>
  <si>
    <t>fee_of_bag_0_VND_golf_fee_expect.json</t>
  </si>
  <si>
    <t>Apply voucher giảm giá thông thường: Giảm 10% green</t>
  </si>
  <si>
    <t>VST_VC_GREEN_10_001</t>
  </si>
  <si>
    <t>VST_VC_GREEN_10_002</t>
  </si>
  <si>
    <t>Apply voucher giảm giá thông thường: Giảm 10% all fee</t>
  </si>
  <si>
    <t>VST_VC_ALL_10_001</t>
  </si>
  <si>
    <t>VST_VC_ALL_10_002</t>
  </si>
  <si>
    <t>Apply voucher giảm giá cố định: Green + Caddie + 1/2 xe + Package</t>
  </si>
  <si>
    <t>VST_VC_CD4FEE_001</t>
  </si>
  <si>
    <t>VST_VC_CD4FEE_002</t>
  </si>
  <si>
    <t>Apply voucher trả trước: Green + Caddie + 1/2 xe + Package</t>
  </si>
  <si>
    <t>VST_VC_TT4FEE_001</t>
  </si>
  <si>
    <t>VST_VC_TT4FEE_002</t>
  </si>
  <si>
    <t>VST_FEE_OF_BAG_001</t>
  </si>
  <si>
    <t>VST_Kiểm tra thông tin phí của bag khi add 2 item proshop</t>
  </si>
  <si>
    <t>AG_FEE_OF_BAG_001</t>
  </si>
  <si>
    <t>AG_Kiểm tra thông tin phí của bag khi add 2 item proshop</t>
  </si>
  <si>
    <t>VST_FEE_OF_BAG_002</t>
  </si>
  <si>
    <t>VST_Kiểm tra thông tin phí của bag khi add 1 item proshop</t>
  </si>
  <si>
    <t>VST_BAG_MAIN_1SUB_001</t>
  </si>
  <si>
    <t>VST_Kiểm tra thông tin phí của bag khi add 1 item proshop + add main sub</t>
  </si>
  <si>
    <t>AG_FEE_OF_BAG_002</t>
  </si>
  <si>
    <t>AG_Kiểm tra thông tin phí của bag khi không add thêm item</t>
  </si>
  <si>
    <t>fee_of_bag_mustpay_0_VND_expect.json</t>
  </si>
  <si>
    <t>VST_FEE_OF_BAG_APPLY_VOUCHER_001</t>
  </si>
  <si>
    <t>VST_Kiểm tra thông tin phí của bag khi apply voucher</t>
  </si>
  <si>
    <t>VST_FEE_OF_BAG_APPLY_VOUCHER_002</t>
  </si>
  <si>
    <t>VST_BAG_SUB_001</t>
  </si>
  <si>
    <t>q_is_calc_detail_tax_and_fee</t>
  </si>
  <si>
    <t>VST_FEE_OF_BAG_BILL_001</t>
  </si>
  <si>
    <t>fee_of_bag_bill_expect.json</t>
  </si>
  <si>
    <t>AG_FEE_OF_BAG_BILL_001</t>
  </si>
  <si>
    <t>VST_FEE_OF_BAG_BILL_002</t>
  </si>
  <si>
    <t>AG_FEE_OF_BAG_BILL_002</t>
  </si>
  <si>
    <t>fee_of_bag_bill_mustpay_0_VND_expect.json</t>
  </si>
  <si>
    <t>{{CTX:BAG_4}}</t>
  </si>
  <si>
    <t>booking_uid</t>
  </si>
  <si>
    <t>sub_bags[0].booking_uid</t>
  </si>
  <si>
    <t>sub_bags[0].transfer_payment</t>
  </si>
  <si>
    <t>sub_bags[1].booking_uid</t>
  </si>
  <si>
    <t>sub_bags[1].transfer_payment</t>
  </si>
  <si>
    <t>sub_bags[2].booking_uid</t>
  </si>
  <si>
    <t>sub_bags[2].transfer_payment</t>
  </si>
  <si>
    <t>assert_size_sub_bags</t>
  </si>
  <si>
    <t>ADD_1SUB_BAG_001</t>
  </si>
  <si>
    <t>VST_Kiểm tra add 1 sub</t>
  </si>
  <si>
    <t>add_1sub_bag_request.json</t>
  </si>
  <si>
    <t>{{CTX:BOOKING_UID_0}}</t>
  </si>
  <si>
    <t>{{CTX:BOOKING_UID_1}}</t>
  </si>
  <si>
    <t>ALL</t>
  </si>
  <si>
    <t>add_sub_bag_expect.json</t>
  </si>
  <si>
    <t>ADD_2SUB_BAG_001</t>
  </si>
  <si>
    <t>VST_Kiểm tra add 3 sub</t>
  </si>
  <si>
    <t>add_2sub_bag_request.json</t>
  </si>
  <si>
    <t>{{CTX:BOOKING_UID_2}}</t>
  </si>
  <si>
    <t>ADD_3SUB_BAG_001</t>
  </si>
  <si>
    <t>VST_Kiểm tra add 2 sub</t>
  </si>
  <si>
    <t>add_3sub_bag_request.json</t>
  </si>
  <si>
    <t>{{CTX:BOOKING_UID_3}}</t>
  </si>
  <si>
    <t>partner_uid</t>
  </si>
  <si>
    <t>course_uid</t>
  </si>
  <si>
    <t>bill_code</t>
  </si>
  <si>
    <t>booking_date</t>
  </si>
  <si>
    <t>hole</t>
  </si>
  <si>
    <t>agency_id</t>
  </si>
  <si>
    <t>guest_style</t>
  </si>
  <si>
    <t>tee_time</t>
  </si>
  <si>
    <t>assert_size_agency_pre_paid</t>
  </si>
  <si>
    <t>assert_size_agency_paid_v2</t>
  </si>
  <si>
    <t>DETAIL_AGENCY_PAY_001</t>
  </si>
  <si>
    <t>AG_Kiểm tra lấy thông tin agency pay</t>
  </si>
  <si>
    <t>detail_agency_pay_request.json</t>
  </si>
  <si>
    <t>{{CTX:BILL_CODE_0}}</t>
  </si>
  <si>
    <t>{{CTX:HOLE_0}}</t>
  </si>
  <si>
    <t>{{CTX:AGENCY_ID_0}}</t>
  </si>
  <si>
    <t>{{CTX:GUEST_STYLE_0}}</t>
  </si>
  <si>
    <t>{{CTX:TEE_TIME_0}}</t>
  </si>
  <si>
    <t>detail_agency_pay_expect.json</t>
  </si>
  <si>
    <t>cms_user</t>
  </si>
  <si>
    <t>uid</t>
  </si>
  <si>
    <t>customer_name</t>
  </si>
  <si>
    <t>guest_style_name</t>
  </si>
  <si>
    <t>course_type</t>
  </si>
  <si>
    <t>tee_type</t>
  </si>
  <si>
    <t>agency_paid_all</t>
  </si>
  <si>
    <t>caddie_code</t>
  </si>
  <si>
    <t>agency_player_pay</t>
  </si>
  <si>
    <t>fee_info.golf_fee</t>
  </si>
  <si>
    <t>fee_info.buggy_fee</t>
  </si>
  <si>
    <t>fee_info.odd_car_fee</t>
  </si>
  <si>
    <t>fee_info.caddie_fee</t>
  </si>
  <si>
    <t>fee_info.private_car_fee</t>
  </si>
  <si>
    <t>fee_info.has_price_spread</t>
  </si>
  <si>
    <t>fee_info.package_add_on_fee</t>
  </si>
  <si>
    <t>fee_info.add_on_fee</t>
  </si>
  <si>
    <t>fee_info.has_pay_round_second</t>
  </si>
  <si>
    <t>is_private_buggy</t>
  </si>
  <si>
    <t>UPDATE_AGENCY_PAY_PLAYER1_001</t>
  </si>
  <si>
    <t>AG_Kiểm tra update agency pay: Golf fee + 1/2 Buggy Fee + Phí chênh lệch</t>
  </si>
  <si>
    <t>update_agency_pay_request.json</t>
  </si>
  <si>
    <t>{{CTX:USER_NAME}}</t>
  </si>
  <si>
    <t>{{CTX:CUSTOMER_NAME_0}}</t>
  </si>
  <si>
    <t>{{CTX:GUEST_STYLE_NAME_0}}</t>
  </si>
  <si>
    <t>{{CTX:COURSE_TYPE_0}}</t>
  </si>
  <si>
    <t>{{CTX:TEE_TYPE_0}}</t>
  </si>
  <si>
    <t>true</t>
  </si>
  <si>
    <t>update_agency_pay_expect.json</t>
  </si>
  <si>
    <t>UPDATE_AGENCY_PAY_PLAYER1_002</t>
  </si>
  <si>
    <t>AG_Kiểm tra update agency pay: Golf fee + 1/2 Buggy Fee + Phí chênh lệch + Buggy Private Fee</t>
  </si>
  <si>
    <t>UPDATE_AGENCY_PAY_PLAYER1_003</t>
  </si>
  <si>
    <t>AG_Kiểm tra update agency pay: Golf fee + 1/2 Buggy Fee + Phí chênh lệch + Buggy Odd Fee</t>
  </si>
  <si>
    <t>UPDATE_AGENCY_PAY_PLAYER1_004</t>
  </si>
  <si>
    <t>AG_Kiểm tra update agency pay: Golf fee + 1/2 Buggy Fee + Phí chênh lệch + Booking Caddie fee</t>
  </si>
  <si>
    <t>UPDATE_AGENCY_PAY_PLAYER1_005</t>
  </si>
  <si>
    <t>AG_Kiểm tra update agency pay: Pay full player fee</t>
  </si>
  <si>
    <t>UPDATE_AGENCY_PAY_PLAYER2_001</t>
  </si>
  <si>
    <t>{{CTX:CUSTOMER_NAME_1}}</t>
  </si>
  <si>
    <t>{{CTX:AGENCY_ID_1}}</t>
  </si>
  <si>
    <t>{{CTX:HOLE_1}}</t>
  </si>
  <si>
    <t>{{CTX:GUEST_STYLE_1}}</t>
  </si>
  <si>
    <t>{{CTX:GUEST_STYLE_NAME_1}}</t>
  </si>
  <si>
    <t>{{CTX:COURSE_TYPE_1}}</t>
  </si>
  <si>
    <t>{{CTX:TEE_TYPE_1}}</t>
  </si>
  <si>
    <t>UPDATE_AGENCY_PAY_PLAYER2_002</t>
  </si>
  <si>
    <t>UPDATE_AGENCY_PAY_PLAYER2_003</t>
  </si>
  <si>
    <t>UPDATE_AGENCY_PAY_PLAYER2_004</t>
  </si>
  <si>
    <t>UPDATE_AGENCY_PAY_PLAYER2_005</t>
  </si>
  <si>
    <t>UPDATE_AGENCY_PAY_PLAYER3_001</t>
  </si>
  <si>
    <t>{{CTX:CUSTOMER_NAME_2}}</t>
  </si>
  <si>
    <t>{{CTX:AGENCY_ID_2}}</t>
  </si>
  <si>
    <t>{{CTX:HOLE_2}}</t>
  </si>
  <si>
    <t>{{CTX:GUEST_STYLE_2}}</t>
  </si>
  <si>
    <t>{{CTX:GUEST_STYLE_NAME_2}}</t>
  </si>
  <si>
    <t>{{CTX:COURSE_TYPE_2}}</t>
  </si>
  <si>
    <t>{{CTX:TEE_TYPE_2}}</t>
  </si>
  <si>
    <t>UPDATE_AGENCY_PAY_PLAYER3_002</t>
  </si>
  <si>
    <t>UPDATE_AGENCY_PAY_PLAYER3_003</t>
  </si>
  <si>
    <t>UPDATE_AGENCY_PAY_PLAYER3_004</t>
  </si>
  <si>
    <t>UPDATE_AGENCY_PAY_PLAYER3_005</t>
  </si>
  <si>
    <t>UPDATE_AGENCY_PAY_PLAYER4_001</t>
  </si>
  <si>
    <t>{{CTX:CUSTOMER_NAME_3}}</t>
  </si>
  <si>
    <t>{{CTX:AGENCY_ID_3}}</t>
  </si>
  <si>
    <t>{{CTX:HOLE_3}}</t>
  </si>
  <si>
    <t>{{CTX:GUEST_STYLE_3}}</t>
  </si>
  <si>
    <t>{{CTX:GUEST_STYLE_NAME_3}}</t>
  </si>
  <si>
    <t>{{CTX:COURSE_TYPE_3}}</t>
  </si>
  <si>
    <t>{{CTX:TEE_TYPE_3}}</t>
  </si>
  <si>
    <t>UPDATE_AGENCY_PAY_PLAYER4_002</t>
  </si>
  <si>
    <t>UPDATE_AGENCY_PAY_PLAYER4_003</t>
  </si>
  <si>
    <t>UPDATE_AGENCY_PAY_PLAYER4_004</t>
  </si>
  <si>
    <t>UPDATE_AGENCY_PAY_PLAYER4_005</t>
  </si>
  <si>
    <t>date_str</t>
  </si>
  <si>
    <t>check_sum</t>
  </si>
  <si>
    <t>note</t>
  </si>
  <si>
    <t>list_item[0].payment_type</t>
  </si>
  <si>
    <t>list_item[0].amount</t>
  </si>
  <si>
    <t>list_item[0].note</t>
  </si>
  <si>
    <t>list_item[0].bank_type</t>
  </si>
  <si>
    <t>list_item[0].payment_provider</t>
  </si>
  <si>
    <t>list_item[0].paid</t>
  </si>
  <si>
    <t>list_item[0].cashiers</t>
  </si>
  <si>
    <t>list_item[0].uid_temp</t>
  </si>
  <si>
    <t>list_item[0].action_type</t>
  </si>
  <si>
    <t>list_item[0].location.service_type</t>
  </si>
  <si>
    <t>list_item[0].location.kiosk_type</t>
  </si>
  <si>
    <t>list_item[0].location.path</t>
  </si>
  <si>
    <t>list_item[0].location.id</t>
  </si>
  <si>
    <t>list_item[0].service_item_ids</t>
  </si>
  <si>
    <t>list_item[0].round_ids</t>
  </si>
  <si>
    <t>list_item[0].is_payment_on_behalf</t>
  </si>
  <si>
    <t>list_item[1].payment_type</t>
  </si>
  <si>
    <t>list_item[1].amount</t>
  </si>
  <si>
    <t>list_item[1].note</t>
  </si>
  <si>
    <t>list_item[1].bank_type</t>
  </si>
  <si>
    <t>list_item[1].payment_provider</t>
  </si>
  <si>
    <t>list_item[1].paid</t>
  </si>
  <si>
    <t>list_item[1].cashiers</t>
  </si>
  <si>
    <t>list_item[1].uid_temp</t>
  </si>
  <si>
    <t>list_item[1].action_type</t>
  </si>
  <si>
    <t>list_item[1].location.service_type</t>
  </si>
  <si>
    <t>list_item[1].location.kiosk_type</t>
  </si>
  <si>
    <t>list_item[1].location.path</t>
  </si>
  <si>
    <t>list_item[1].location.id</t>
  </si>
  <si>
    <t>list_item[1].service_item_ids</t>
  </si>
  <si>
    <t>list_item[1].round_ids</t>
  </si>
  <si>
    <t>list_item[1].is_payment_on_behalf</t>
  </si>
  <si>
    <t>list_auto_invoice</t>
  </si>
  <si>
    <t>list_auto_inv_agency</t>
  </si>
  <si>
    <t>is_negative_amount</t>
  </si>
  <si>
    <t>assert_message</t>
  </si>
  <si>
    <t>INPUT_PAYMENT_PLAYER1</t>
  </si>
  <si>
    <t>Kiểm tra input 1tr6 CASH</t>
  </si>
  <si>
    <t>input_single_payment_request.json</t>
  </si>
  <si>
    <t>{{CTX:BOOKING_DATE_0}}</t>
  </si>
  <si>
    <t>{{CHECKSUM_SINGLE_PAYMENT_0}}</t>
  </si>
  <si>
    <t>CASH</t>
  </si>
  <si>
    <t>CREATE</t>
  </si>
  <si>
    <t>RECEPTION</t>
  </si>
  <si>
    <t>/new-check-in-out</t>
  </si>
  <si>
    <t>null</t>
  </si>
  <si>
    <t>[]</t>
  </si>
  <si>
    <t>input_single_payment_expect.json</t>
  </si>
  <si>
    <t>INPUT_PAYMENT_PLAYER1_001</t>
  </si>
  <si>
    <t>INPUT_PAYMENT_PLAYER2</t>
  </si>
  <si>
    <t>{{CTX:BILL_CODE_1}}</t>
  </si>
  <si>
    <t>{{CTX:BOOKING_DATE_1}}</t>
  </si>
  <si>
    <t>{{CHECKSUM_SINGLE_PAYMENT_1}}</t>
  </si>
  <si>
    <t>INPUT_PAYMENT_PLAYER3</t>
  </si>
  <si>
    <t>{{CTX:BILL_CODE_2}}</t>
  </si>
  <si>
    <t>{{CTX:BOOKING_DATE_2}}</t>
  </si>
  <si>
    <t>{{CHECKSUM_SINGLE_PAYMENT_2}}</t>
  </si>
  <si>
    <t>INPUT_PAYMENT_PLAYER4</t>
  </si>
  <si>
    <t>{{CTX:BILL_CODE_3}}</t>
  </si>
  <si>
    <t>{{CTX:BOOKING_DATE_3}}</t>
  </si>
  <si>
    <t>{{CHECKSUM_SINGLE_PAYMENT_3}}</t>
  </si>
  <si>
    <t>INPUT_MIX_PAYMENT_PLAYER1</t>
  </si>
  <si>
    <t>Kiểm tra input mix pay ment</t>
  </si>
  <si>
    <t>input_mix_single_payment_request.json</t>
  </si>
  <si>
    <t>TRANSFER</t>
  </si>
  <si>
    <t>VCB</t>
  </si>
  <si>
    <t>bag</t>
  </si>
  <si>
    <t>payment_date</t>
  </si>
  <si>
    <t>assert_size_data</t>
  </si>
  <si>
    <t>assert_data[0].payment_type</t>
  </si>
  <si>
    <t>assert_data[0].bank_type</t>
  </si>
  <si>
    <t>assert_data[0].paid</t>
  </si>
  <si>
    <t>assert_data[1].payment_type</t>
  </si>
  <si>
    <t>assert_data[1].bank_type</t>
  </si>
  <si>
    <t>assert_data[1].paid</t>
  </si>
  <si>
    <t>SINGLE_PAYMENT_LIST_PLAYER1</t>
  </si>
  <si>
    <t>Kiểm tra lấy danh sách single payment player 1</t>
  </si>
  <si>
    <t>single_payment_list_request.json</t>
  </si>
  <si>
    <t>{{CHECKSUM_SINGLE_PAYMENT_LIST_0}}</t>
  </si>
  <si>
    <t>single_payment_list_1item_expect.json</t>
  </si>
  <si>
    <t>1</t>
  </si>
  <si>
    <t>SINGLE_PAYMENT_LIST_PLAYER2</t>
  </si>
  <si>
    <t>Kiểm tra lấy danh sách single payment player 2</t>
  </si>
  <si>
    <t>{{CHECKSUM_SINGLE_PAYMENT_LIST_1}}</t>
  </si>
  <si>
    <t>SINGLE_PAYMENT_LIST_PLAYER3</t>
  </si>
  <si>
    <t>Kiểm tra lấy danh sách single payment player 3</t>
  </si>
  <si>
    <t>{{CHECKSUM_SINGLE_PAYMENT_LIST_2}}</t>
  </si>
  <si>
    <t>SINGLE_PAYMENT_LIST_PLAYER4</t>
  </si>
  <si>
    <t>Kiểm tra lấy danh sách single payment player 4</t>
  </si>
  <si>
    <t>{{CHECKSUM_SINGLE_PAYMENT_LIST_3}}</t>
  </si>
  <si>
    <t>SINGLE_PAYMENT_LIST_PLAYER1_001</t>
  </si>
  <si>
    <t>Kiểm tra lấy danh sách single payment khi input mix payment player 1</t>
  </si>
  <si>
    <t>single_payment_list_2item_expect.json</t>
  </si>
  <si>
    <t>2</t>
  </si>
  <si>
    <t>200000</t>
  </si>
  <si>
    <t>golf_bag</t>
  </si>
  <si>
    <t>assert_check_out_time</t>
  </si>
  <si>
    <t>assert_bag_status</t>
  </si>
  <si>
    <t>CHECK_OUT_BAG_PLAYER1</t>
  </si>
  <si>
    <t>Kiểm tra check out player 1</t>
  </si>
  <si>
    <t>check_out_bag_request.json</t>
  </si>
  <si>
    <t>check_out_bag_expect.json</t>
  </si>
  <si>
    <t>CHECK_OUT</t>
  </si>
  <si>
    <t>CHECK_OUT_BAG_PLAYER2</t>
  </si>
  <si>
    <t>Kiểm tra check out player 2</t>
  </si>
  <si>
    <t>CHECK_OUT_BAG_PLAYER3</t>
  </si>
  <si>
    <t>Kiểm tra check out player 3</t>
  </si>
  <si>
    <t>CHECK_OUT_BAG_PLAYER4</t>
  </si>
  <si>
    <t>Kiểm tra check out player 4</t>
  </si>
  <si>
    <t>booking_uid_list[0]</t>
  </si>
  <si>
    <t>booking_uid_list[1]</t>
  </si>
  <si>
    <t>booking_uid_list[2]</t>
  </si>
  <si>
    <t>booking_uid_list[3]</t>
  </si>
  <si>
    <t>CHECK_OUT_GROUP_4PLAYER</t>
  </si>
  <si>
    <t>Kiểm tra check out group 4 player</t>
  </si>
  <si>
    <t>check_out_group_4player_request.json</t>
  </si>
  <si>
    <t>check_out_group_expect.json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</si>
</sst>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6">
    <font>
      <sz val="11"/>
      <color theme="1"/>
      <name val="Calibri"/>
      <charset val="134"/>
      <scheme val="minor"/>
    </font>
    <font>
      <b/>
      <sz val="14"/>
      <color theme="1"/>
      <name val="Calibri"/>
      <charset val="134"/>
    </font>
    <font>
      <b/>
      <sz val="11"/>
      <color theme="1"/>
      <name val="Calibri"/>
      <charset val="134"/>
      <scheme val="minor"/>
    </font>
    <font>
      <sz val="12"/>
      <color theme="1"/>
      <name val="Calibri"/>
      <charset val="134"/>
    </font>
    <font>
      <b/>
      <sz val="11"/>
      <color rgb="FFFF0000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9"/>
      <name val="Times New Roman"/>
      <charset val="0"/>
    </font>
    <font>
      <sz val="9"/>
      <name val="Times New Roman"/>
      <charset val="0"/>
    </font>
  </fonts>
  <fills count="38">
    <fill>
      <patternFill patternType="none"/>
    </fill>
    <fill>
      <patternFill patternType="gray125"/>
    </fill>
    <fill>
      <patternFill patternType="solid">
        <fgColor rgb="FF9FC5E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7" borderId="8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9" applyNumberFormat="0" applyFill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10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8" borderId="11" applyNumberFormat="0" applyAlignment="0" applyProtection="0">
      <alignment vertical="center"/>
    </xf>
    <xf numFmtId="0" fontId="14" fillId="9" borderId="12" applyNumberFormat="0" applyAlignment="0" applyProtection="0">
      <alignment vertical="center"/>
    </xf>
    <xf numFmtId="0" fontId="15" fillId="9" borderId="11" applyNumberFormat="0" applyAlignment="0" applyProtection="0">
      <alignment vertical="center"/>
    </xf>
    <xf numFmtId="0" fontId="16" fillId="10" borderId="13" applyNumberFormat="0" applyAlignment="0" applyProtection="0">
      <alignment vertical="center"/>
    </xf>
    <xf numFmtId="0" fontId="17" fillId="0" borderId="14" applyNumberFormat="0" applyFill="0" applyAlignment="0" applyProtection="0">
      <alignment vertical="center"/>
    </xf>
    <xf numFmtId="0" fontId="18" fillId="0" borderId="15" applyNumberFormat="0" applyFill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</cellStyleXfs>
  <cellXfs count="48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2" borderId="1" xfId="0" applyFont="1" applyFill="1" applyBorder="1" applyAlignment="1">
      <alignment horizontal="center" vertical="center" wrapText="1" readingOrder="1"/>
    </xf>
    <xf numFmtId="0" fontId="1" fillId="2" borderId="2" xfId="0" applyFont="1" applyFill="1" applyBorder="1" applyAlignment="1">
      <alignment horizontal="center" vertical="center" wrapText="1" readingOrder="1"/>
    </xf>
    <xf numFmtId="0" fontId="2" fillId="0" borderId="1" xfId="0" applyFont="1" applyBorder="1" applyAlignment="1">
      <alignment horizontal="center" vertical="center" wrapText="1"/>
    </xf>
    <xf numFmtId="0" fontId="0" fillId="0" borderId="1" xfId="0" applyFont="1" applyFill="1" applyBorder="1" applyAlignment="1">
      <alignment vertical="center" wrapText="1"/>
    </xf>
    <xf numFmtId="0" fontId="0" fillId="3" borderId="1" xfId="0" applyFont="1" applyFill="1" applyBorder="1" applyAlignment="1">
      <alignment vertical="center" wrapText="1"/>
    </xf>
    <xf numFmtId="0" fontId="3" fillId="0" borderId="2" xfId="0" applyFont="1" applyBorder="1" applyAlignment="1">
      <alignment vertical="center" wrapText="1" readingOrder="1"/>
    </xf>
    <xf numFmtId="0" fontId="0" fillId="3" borderId="2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1" fillId="2" borderId="3" xfId="0" applyFont="1" applyFill="1" applyBorder="1" applyAlignment="1">
      <alignment vertical="center" wrapText="1" readingOrder="1"/>
    </xf>
    <xf numFmtId="0" fontId="2" fillId="4" borderId="1" xfId="0" applyFont="1" applyFill="1" applyBorder="1" applyAlignment="1">
      <alignment vertical="center" wrapText="1"/>
    </xf>
    <xf numFmtId="49" fontId="2" fillId="4" borderId="1" xfId="0" applyNumberFormat="1" applyFont="1" applyFill="1" applyBorder="1" applyAlignment="1">
      <alignment vertical="center" wrapText="1"/>
    </xf>
    <xf numFmtId="0" fontId="0" fillId="3" borderId="4" xfId="0" applyFon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49" fontId="0" fillId="0" borderId="0" xfId="0" applyNumberFormat="1" applyAlignment="1">
      <alignment vertical="center" wrapText="1"/>
    </xf>
    <xf numFmtId="58" fontId="0" fillId="0" borderId="1" xfId="0" applyNumberFormat="1" applyBorder="1" applyAlignment="1">
      <alignment vertical="center" wrapText="1"/>
    </xf>
    <xf numFmtId="0" fontId="2" fillId="0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center" vertical="center" wrapText="1"/>
    </xf>
    <xf numFmtId="49" fontId="2" fillId="0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Font="1" applyFill="1" applyBorder="1" applyAlignment="1">
      <alignment vertical="center" wrapText="1"/>
    </xf>
    <xf numFmtId="0" fontId="2" fillId="4" borderId="1" xfId="0" applyFont="1" applyFill="1" applyBorder="1" applyAlignment="1">
      <alignment horizontal="center" vertical="center" wrapText="1"/>
    </xf>
    <xf numFmtId="49" fontId="2" fillId="4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vertical="center" wrapText="1"/>
    </xf>
    <xf numFmtId="49" fontId="2" fillId="5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vertical="center" wrapText="1" readingOrder="1"/>
    </xf>
    <xf numFmtId="0" fontId="1" fillId="2" borderId="1" xfId="0" applyFont="1" applyFill="1" applyBorder="1" applyAlignment="1">
      <alignment vertical="center" wrapText="1" readingOrder="1"/>
    </xf>
    <xf numFmtId="20" fontId="0" fillId="0" borderId="1" xfId="0" applyNumberFormat="1" applyBorder="1" applyAlignment="1">
      <alignment vertical="center" wrapText="1"/>
    </xf>
    <xf numFmtId="0" fontId="0" fillId="3" borderId="0" xfId="0" applyFill="1" applyAlignment="1">
      <alignment vertical="center" wrapText="1"/>
    </xf>
    <xf numFmtId="0" fontId="3" fillId="3" borderId="1" xfId="0" applyFont="1" applyFill="1" applyBorder="1" applyAlignment="1">
      <alignment vertical="center" wrapText="1" readingOrder="1"/>
    </xf>
    <xf numFmtId="49" fontId="2" fillId="0" borderId="1" xfId="0" applyNumberFormat="1" applyFont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49" fontId="4" fillId="3" borderId="1" xfId="0" applyNumberFormat="1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2" fillId="6" borderId="1" xfId="0" applyFont="1" applyFill="1" applyBorder="1" applyAlignment="1">
      <alignment vertical="center" wrapText="1"/>
    </xf>
    <xf numFmtId="0" fontId="0" fillId="0" borderId="0" xfId="0" applyFont="1" applyAlignment="1">
      <alignment vertical="center" wrapText="1"/>
    </xf>
    <xf numFmtId="0" fontId="4" fillId="6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horizontal="center" vertical="center" wrapText="1" readingOrder="1"/>
    </xf>
    <xf numFmtId="0" fontId="1" fillId="3" borderId="2" xfId="0" applyFont="1" applyFill="1" applyBorder="1" applyAlignment="1">
      <alignment horizontal="left" vertical="center" wrapText="1" readingOrder="1"/>
    </xf>
    <xf numFmtId="0" fontId="1" fillId="3" borderId="4" xfId="0" applyFont="1" applyFill="1" applyBorder="1" applyAlignment="1">
      <alignment horizontal="left" vertical="center" wrapText="1" readingOrder="1"/>
    </xf>
    <xf numFmtId="0" fontId="2" fillId="3" borderId="1" xfId="0" applyFont="1" applyFill="1" applyBorder="1" applyAlignment="1">
      <alignment horizontal="center" vertical="center" wrapText="1"/>
    </xf>
    <xf numFmtId="0" fontId="1" fillId="3" borderId="5" xfId="0" applyFont="1" applyFill="1" applyBorder="1" applyAlignment="1">
      <alignment horizontal="left" vertical="center" wrapText="1" readingOrder="1"/>
    </xf>
    <xf numFmtId="0" fontId="1" fillId="3" borderId="6" xfId="0" applyFont="1" applyFill="1" applyBorder="1" applyAlignment="1">
      <alignment horizontal="left" vertical="center" wrapText="1" readingOrder="1"/>
    </xf>
    <xf numFmtId="0" fontId="1" fillId="3" borderId="7" xfId="0" applyFont="1" applyFill="1" applyBorder="1" applyAlignment="1">
      <alignment horizontal="left" vertical="center" wrapText="1" readingOrder="1"/>
    </xf>
    <xf numFmtId="49" fontId="2" fillId="3" borderId="1" xfId="0" applyNumberFormat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vertical="center" wrapText="1" readingOrder="1"/>
    </xf>
    <xf numFmtId="0" fontId="0" fillId="3" borderId="1" xfId="0" applyNumberFormat="1" applyFill="1" applyBorder="1" applyAlignment="1">
      <alignment vertical="center" wrapText="1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5" Type="http://schemas.openxmlformats.org/officeDocument/2006/relationships/styles" Target="styles.xml"/><Relationship Id="rId24" Type="http://schemas.openxmlformats.org/officeDocument/2006/relationships/sharedStrings" Target="sharedStrings.xml"/><Relationship Id="rId23" Type="http://schemas.openxmlformats.org/officeDocument/2006/relationships/theme" Target="theme/theme1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F12" sqref="F12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E16" sqref="E16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"/>
  <sheetViews>
    <sheetView zoomScale="85" zoomScaleNormal="85" workbookViewId="0">
      <selection activeCell="D3" sqref="D3"/>
    </sheetView>
  </sheetViews>
  <sheetFormatPr defaultColWidth="9.14285714285714" defaultRowHeight="30" customHeight="1" outlineLevelRow="2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17.7142857142857" style="1" customWidth="1"/>
    <col min="14" max="14" width="20.3238095238095" style="1" customWidth="1"/>
    <col min="15" max="16" width="24.8666666666667" style="1" customWidth="1"/>
    <col min="17" max="18" width="16.1238095238095" style="1" customWidth="1"/>
    <col min="19" max="19" width="15.5714285714286" style="1" customWidth="1"/>
    <col min="20" max="20" width="17.7142857142857" style="1" customWidth="1"/>
    <col min="21" max="21" width="17.4285714285714" style="1" customWidth="1"/>
    <col min="22" max="16384" width="9.14285714285714" style="1"/>
  </cols>
  <sheetData>
    <row r="1" s="1" customFormat="1" ht="47" customHeight="1" spans="1:20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1" t="s">
        <v>19</v>
      </c>
    </row>
    <row r="2" s="1" customFormat="1" customHeight="1" spans="1:20">
      <c r="A2" s="5" t="s">
        <v>20</v>
      </c>
      <c r="B2" s="6" t="s">
        <v>21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28</v>
      </c>
      <c r="K2" s="9">
        <v>200</v>
      </c>
      <c r="L2" s="14" t="s">
        <v>29</v>
      </c>
      <c r="M2" s="9" t="s">
        <v>30</v>
      </c>
      <c r="N2" s="9">
        <v>0</v>
      </c>
      <c r="O2" s="9" t="s">
        <v>31</v>
      </c>
      <c r="P2" s="9" t="s">
        <v>31</v>
      </c>
      <c r="Q2" s="9" t="s">
        <v>31</v>
      </c>
      <c r="R2" s="9" t="s">
        <v>32</v>
      </c>
      <c r="S2" s="9">
        <v>1</v>
      </c>
      <c r="T2" s="9">
        <v>2</v>
      </c>
    </row>
    <row r="3" s="1" customFormat="1" customHeight="1" spans="1:20">
      <c r="A3" s="5" t="s">
        <v>33</v>
      </c>
      <c r="B3" s="6" t="s">
        <v>34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28</v>
      </c>
      <c r="K3" s="9">
        <v>200</v>
      </c>
      <c r="L3" s="14" t="s">
        <v>35</v>
      </c>
      <c r="M3" s="9" t="s">
        <v>36</v>
      </c>
      <c r="N3" s="9">
        <v>378</v>
      </c>
      <c r="O3" s="9" t="s">
        <v>31</v>
      </c>
      <c r="P3" s="9" t="s">
        <v>31</v>
      </c>
      <c r="Q3" s="9" t="s">
        <v>31</v>
      </c>
      <c r="R3" s="9" t="s">
        <v>32</v>
      </c>
      <c r="S3" s="9">
        <v>1</v>
      </c>
      <c r="T3" s="9">
        <v>1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32"/>
  <sheetViews>
    <sheetView tabSelected="1" zoomScale="85" zoomScaleNormal="85" workbookViewId="0">
      <pane ySplit="1" topLeftCell="A13" activePane="bottomLeft" state="frozen"/>
      <selection/>
      <selection pane="bottomLeft" activeCell="D23" sqref="D23"/>
    </sheetView>
  </sheetViews>
  <sheetFormatPr defaultColWidth="9.14285714285714" defaultRowHeight="30" customHeight="1"/>
  <cols>
    <col min="1" max="1" width="22.352380952381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18" width="28.0571428571429" style="1" customWidth="1"/>
    <col min="19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30" width="32.4285714285714" style="1" customWidth="1"/>
    <col min="31" max="31" width="31.2571428571429" style="1" customWidth="1"/>
    <col min="32" max="33" width="28.2380952380952" style="1" customWidth="1"/>
    <col min="34" max="34" width="32.0952380952381" style="1" customWidth="1"/>
    <col min="35" max="35" width="28.2380952380952" style="1" customWidth="1"/>
    <col min="36" max="38" width="27.047619047619" style="1" customWidth="1"/>
    <col min="39" max="39" width="23.352380952381" style="1" customWidth="1"/>
    <col min="40" max="16384" width="9.14285714285714" style="1"/>
  </cols>
  <sheetData>
    <row r="1" s="1" customFormat="1" ht="47" customHeight="1" spans="1:39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2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2" t="s">
        <v>54</v>
      </c>
      <c r="AB1" s="37" t="s">
        <v>55</v>
      </c>
      <c r="AC1" s="35" t="s">
        <v>19</v>
      </c>
      <c r="AD1" s="35" t="s">
        <v>56</v>
      </c>
      <c r="AE1" s="34" t="s">
        <v>57</v>
      </c>
      <c r="AF1" s="34" t="s">
        <v>58</v>
      </c>
      <c r="AG1" s="34" t="s">
        <v>59</v>
      </c>
      <c r="AH1" s="34" t="s">
        <v>60</v>
      </c>
      <c r="AI1" s="34" t="s">
        <v>61</v>
      </c>
      <c r="AJ1" s="34" t="s">
        <v>62</v>
      </c>
      <c r="AK1" s="34" t="s">
        <v>63</v>
      </c>
      <c r="AL1" s="34" t="s">
        <v>64</v>
      </c>
      <c r="AM1" s="34" t="s">
        <v>65</v>
      </c>
    </row>
    <row r="2" s="1" customFormat="1" ht="52" customHeight="1" spans="1:39">
      <c r="A2" s="5" t="s">
        <v>66</v>
      </c>
      <c r="B2" s="6" t="s">
        <v>67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27</v>
      </c>
      <c r="J2" s="6" t="s">
        <v>68</v>
      </c>
      <c r="K2" s="9">
        <v>200</v>
      </c>
      <c r="L2" s="14">
        <v>1700000</v>
      </c>
      <c r="M2" s="6">
        <v>0</v>
      </c>
      <c r="N2" s="6">
        <v>0</v>
      </c>
      <c r="O2" s="15" t="s">
        <v>69</v>
      </c>
      <c r="P2" s="6">
        <v>0</v>
      </c>
      <c r="Q2" s="14">
        <v>1700000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f t="shared" ref="Z2:Z6" si="0">X2+Y2</f>
        <v>1600000</v>
      </c>
      <c r="AA2" s="14"/>
      <c r="AB2" s="14">
        <v>0</v>
      </c>
      <c r="AC2" s="14">
        <v>1</v>
      </c>
      <c r="AD2" s="14">
        <v>100000</v>
      </c>
      <c r="AE2" s="14">
        <v>1600000</v>
      </c>
      <c r="AF2" s="14">
        <v>0</v>
      </c>
      <c r="AG2" s="14">
        <v>0</v>
      </c>
      <c r="AH2" s="14">
        <v>0</v>
      </c>
      <c r="AI2" s="14">
        <v>0</v>
      </c>
      <c r="AJ2" s="14">
        <v>100000</v>
      </c>
      <c r="AK2" s="14">
        <v>0</v>
      </c>
      <c r="AL2" s="14">
        <v>0</v>
      </c>
      <c r="AM2" s="47">
        <f t="shared" ref="AM2:AM6" si="1">SUM(AE2:AL2)</f>
        <v>1700000</v>
      </c>
    </row>
    <row r="3" s="1" customFormat="1" ht="52" customHeight="1" spans="1:39">
      <c r="A3" s="5" t="s">
        <v>70</v>
      </c>
      <c r="B3" s="6" t="s">
        <v>71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2300000</v>
      </c>
      <c r="M3" s="6">
        <v>0</v>
      </c>
      <c r="N3" s="6">
        <v>0</v>
      </c>
      <c r="O3" s="15" t="s">
        <v>69</v>
      </c>
      <c r="P3" s="6">
        <v>0</v>
      </c>
      <c r="Q3" s="14">
        <v>2300000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f t="shared" si="0"/>
        <v>1600000</v>
      </c>
      <c r="AA3" s="14"/>
      <c r="AB3" s="14">
        <v>0</v>
      </c>
      <c r="AC3" s="14">
        <v>3</v>
      </c>
      <c r="AD3" s="14">
        <v>700000</v>
      </c>
      <c r="AE3" s="14">
        <v>1600000</v>
      </c>
      <c r="AF3" s="14">
        <v>600000</v>
      </c>
      <c r="AG3" s="14">
        <v>0</v>
      </c>
      <c r="AH3" s="14">
        <v>0</v>
      </c>
      <c r="AI3" s="14">
        <v>0</v>
      </c>
      <c r="AJ3" s="14">
        <v>100000</v>
      </c>
      <c r="AK3" s="14">
        <v>0</v>
      </c>
      <c r="AL3" s="14">
        <v>0</v>
      </c>
      <c r="AM3" s="47">
        <f t="shared" si="1"/>
        <v>2300000</v>
      </c>
    </row>
    <row r="4" s="29" customFormat="1" ht="47" customHeight="1" spans="1:39">
      <c r="A4" s="38"/>
      <c r="B4" s="39" t="s">
        <v>72</v>
      </c>
      <c r="C4" s="40"/>
      <c r="D4" s="40"/>
      <c r="E4" s="41"/>
      <c r="F4" s="41"/>
      <c r="G4" s="41"/>
      <c r="H4" s="41"/>
      <c r="I4" s="45"/>
      <c r="J4" s="46"/>
      <c r="K4" s="34"/>
      <c r="L4" s="34"/>
      <c r="M4" s="32"/>
      <c r="N4" s="32"/>
      <c r="O4" s="33"/>
      <c r="P4" s="32"/>
      <c r="Q4" s="34"/>
      <c r="R4" s="34"/>
      <c r="S4" s="34"/>
      <c r="T4" s="34"/>
      <c r="U4" s="34"/>
      <c r="V4" s="34"/>
      <c r="W4" s="34"/>
      <c r="X4" s="34"/>
      <c r="Y4" s="34"/>
      <c r="Z4" s="34"/>
      <c r="AA4" s="32"/>
      <c r="AB4" s="32"/>
      <c r="AC4" s="34"/>
      <c r="AD4" s="34"/>
      <c r="AE4" s="34"/>
      <c r="AF4" s="34"/>
      <c r="AG4" s="34"/>
      <c r="AH4" s="34"/>
      <c r="AI4" s="34"/>
      <c r="AJ4" s="34"/>
      <c r="AK4" s="34"/>
      <c r="AL4" s="34"/>
      <c r="AM4" s="34"/>
    </row>
    <row r="5" s="1" customFormat="1" ht="52" customHeight="1" spans="1:39">
      <c r="A5" s="5" t="s">
        <v>73</v>
      </c>
      <c r="B5" s="6" t="s">
        <v>74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27</v>
      </c>
      <c r="J5" s="6" t="s">
        <v>68</v>
      </c>
      <c r="K5" s="9">
        <v>200</v>
      </c>
      <c r="L5" s="14">
        <v>1500000</v>
      </c>
      <c r="M5" s="6">
        <v>0</v>
      </c>
      <c r="N5" s="6">
        <v>0</v>
      </c>
      <c r="O5" s="15" t="s">
        <v>69</v>
      </c>
      <c r="P5" s="6">
        <v>0</v>
      </c>
      <c r="Q5" s="14">
        <v>1500000</v>
      </c>
      <c r="R5" s="14"/>
      <c r="S5" s="14">
        <v>1</v>
      </c>
      <c r="T5" s="14">
        <v>800000</v>
      </c>
      <c r="U5" s="14">
        <v>600000</v>
      </c>
      <c r="V5" s="14">
        <v>200000</v>
      </c>
      <c r="W5" s="14">
        <v>0</v>
      </c>
      <c r="X5" s="14">
        <v>800000</v>
      </c>
      <c r="Y5" s="14">
        <v>600000</v>
      </c>
      <c r="Z5" s="14">
        <f t="shared" si="0"/>
        <v>1400000</v>
      </c>
      <c r="AA5" s="14"/>
      <c r="AB5" s="14">
        <v>0</v>
      </c>
      <c r="AC5" s="14">
        <v>1</v>
      </c>
      <c r="AD5" s="14">
        <v>100000</v>
      </c>
      <c r="AE5" s="14">
        <v>1400000</v>
      </c>
      <c r="AF5" s="14">
        <v>0</v>
      </c>
      <c r="AG5" s="14">
        <v>0</v>
      </c>
      <c r="AH5" s="14">
        <v>0</v>
      </c>
      <c r="AI5" s="14">
        <v>0</v>
      </c>
      <c r="AJ5" s="14">
        <v>100000</v>
      </c>
      <c r="AK5" s="14">
        <v>0</v>
      </c>
      <c r="AL5" s="14">
        <v>0</v>
      </c>
      <c r="AM5" s="47">
        <f t="shared" si="1"/>
        <v>1500000</v>
      </c>
    </row>
    <row r="6" s="1" customFormat="1" ht="52" customHeight="1" spans="1:39">
      <c r="A6" s="5" t="s">
        <v>75</v>
      </c>
      <c r="B6" s="6" t="s">
        <v>76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27</v>
      </c>
      <c r="J6" s="6" t="s">
        <v>68</v>
      </c>
      <c r="K6" s="9">
        <v>200</v>
      </c>
      <c r="L6" s="14">
        <v>2100000</v>
      </c>
      <c r="M6" s="6">
        <v>0</v>
      </c>
      <c r="N6" s="6">
        <v>0</v>
      </c>
      <c r="O6" s="15" t="s">
        <v>69</v>
      </c>
      <c r="P6" s="6">
        <v>0</v>
      </c>
      <c r="Q6" s="14">
        <v>2100000</v>
      </c>
      <c r="R6" s="14"/>
      <c r="S6" s="14">
        <v>1</v>
      </c>
      <c r="T6" s="14">
        <v>800000</v>
      </c>
      <c r="U6" s="14">
        <v>600000</v>
      </c>
      <c r="V6" s="14">
        <v>200000</v>
      </c>
      <c r="W6" s="14">
        <v>0</v>
      </c>
      <c r="X6" s="14">
        <v>800000</v>
      </c>
      <c r="Y6" s="14">
        <v>600000</v>
      </c>
      <c r="Z6" s="14">
        <f t="shared" si="0"/>
        <v>1400000</v>
      </c>
      <c r="AA6" s="14"/>
      <c r="AB6" s="14">
        <v>0</v>
      </c>
      <c r="AC6" s="14">
        <v>3</v>
      </c>
      <c r="AD6" s="14">
        <v>700000</v>
      </c>
      <c r="AE6" s="14">
        <v>1400000</v>
      </c>
      <c r="AF6" s="14">
        <v>600000</v>
      </c>
      <c r="AG6" s="14">
        <v>0</v>
      </c>
      <c r="AH6" s="14">
        <v>0</v>
      </c>
      <c r="AI6" s="14">
        <v>0</v>
      </c>
      <c r="AJ6" s="14">
        <v>100000</v>
      </c>
      <c r="AK6" s="14">
        <v>0</v>
      </c>
      <c r="AL6" s="14">
        <v>0</v>
      </c>
      <c r="AM6" s="47">
        <f t="shared" si="1"/>
        <v>2100000</v>
      </c>
    </row>
    <row r="7" s="1" customFormat="1" ht="52" customHeight="1" spans="1:39">
      <c r="A7" s="5"/>
      <c r="B7" s="42" t="s">
        <v>77</v>
      </c>
      <c r="C7" s="43"/>
      <c r="D7" s="43"/>
      <c r="E7" s="43"/>
      <c r="F7" s="44"/>
      <c r="G7" s="9"/>
      <c r="H7" s="9"/>
      <c r="I7" s="24"/>
      <c r="J7" s="6"/>
      <c r="K7" s="9"/>
      <c r="L7" s="14"/>
      <c r="M7" s="6"/>
      <c r="N7" s="6"/>
      <c r="O7" s="15"/>
      <c r="P7" s="6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</row>
    <row r="8" s="1" customFormat="1" ht="52" customHeight="1" spans="1:39">
      <c r="A8" s="5" t="s">
        <v>78</v>
      </c>
      <c r="B8" s="6" t="s">
        <v>74</v>
      </c>
      <c r="C8" s="26" t="s">
        <v>22</v>
      </c>
      <c r="D8" s="6"/>
      <c r="E8" s="14" t="s">
        <v>23</v>
      </c>
      <c r="F8" s="14" t="s">
        <v>24</v>
      </c>
      <c r="G8" s="9" t="s">
        <v>25</v>
      </c>
      <c r="H8" s="9" t="s">
        <v>26</v>
      </c>
      <c r="I8" s="24" t="s">
        <v>27</v>
      </c>
      <c r="J8" s="6" t="s">
        <v>79</v>
      </c>
      <c r="K8" s="9">
        <v>200</v>
      </c>
      <c r="L8" s="14">
        <v>0</v>
      </c>
      <c r="M8" s="6">
        <v>0</v>
      </c>
      <c r="N8" s="6">
        <v>0</v>
      </c>
      <c r="O8" s="15" t="s">
        <v>69</v>
      </c>
      <c r="P8" s="6">
        <v>0</v>
      </c>
      <c r="Q8" s="14">
        <v>0</v>
      </c>
      <c r="R8" s="14" t="s">
        <v>80</v>
      </c>
      <c r="S8" s="14">
        <v>1</v>
      </c>
      <c r="T8" s="14">
        <v>0</v>
      </c>
      <c r="U8" s="14">
        <v>0</v>
      </c>
      <c r="V8" s="14">
        <v>1000000</v>
      </c>
      <c r="W8" s="14">
        <v>600000</v>
      </c>
      <c r="X8" s="14"/>
      <c r="Y8" s="14"/>
      <c r="Z8" s="14"/>
      <c r="AA8" s="14" t="s">
        <v>80</v>
      </c>
      <c r="AB8" s="14">
        <v>0</v>
      </c>
      <c r="AC8" s="14">
        <v>1</v>
      </c>
      <c r="AD8" s="14">
        <v>0</v>
      </c>
      <c r="AE8" s="14">
        <v>0</v>
      </c>
      <c r="AF8" s="14">
        <v>0</v>
      </c>
      <c r="AG8" s="14">
        <v>0</v>
      </c>
      <c r="AH8" s="14">
        <v>0</v>
      </c>
      <c r="AI8" s="14">
        <v>0</v>
      </c>
      <c r="AJ8" s="14">
        <v>0</v>
      </c>
      <c r="AK8" s="14">
        <v>0</v>
      </c>
      <c r="AL8" s="14">
        <v>0</v>
      </c>
      <c r="AM8" s="47">
        <f t="shared" ref="AM8:AM12" si="2">SUM(AE8:AL8)</f>
        <v>0</v>
      </c>
    </row>
    <row r="9" s="1" customFormat="1" ht="52" customHeight="1" spans="1:39">
      <c r="A9" s="5" t="s">
        <v>81</v>
      </c>
      <c r="B9" s="6" t="s">
        <v>76</v>
      </c>
      <c r="C9" s="26" t="s">
        <v>22</v>
      </c>
      <c r="D9" s="6"/>
      <c r="E9" s="14" t="s">
        <v>23</v>
      </c>
      <c r="F9" s="14" t="s">
        <v>24</v>
      </c>
      <c r="G9" s="9" t="s">
        <v>25</v>
      </c>
      <c r="H9" s="9" t="s">
        <v>26</v>
      </c>
      <c r="I9" s="24" t="s">
        <v>27</v>
      </c>
      <c r="J9" s="6" t="s">
        <v>82</v>
      </c>
      <c r="K9" s="9">
        <v>200</v>
      </c>
      <c r="L9" s="14">
        <v>200000</v>
      </c>
      <c r="M9" s="6">
        <v>0</v>
      </c>
      <c r="N9" s="6">
        <v>0</v>
      </c>
      <c r="O9" s="15" t="s">
        <v>69</v>
      </c>
      <c r="P9" s="6">
        <v>0</v>
      </c>
      <c r="Q9" s="14">
        <v>200000</v>
      </c>
      <c r="R9" s="14"/>
      <c r="S9" s="14">
        <v>1</v>
      </c>
      <c r="T9" s="14">
        <v>0</v>
      </c>
      <c r="U9" s="14">
        <v>0</v>
      </c>
      <c r="V9" s="14">
        <v>1000000</v>
      </c>
      <c r="W9" s="14">
        <v>600000</v>
      </c>
      <c r="X9" s="14"/>
      <c r="Y9" s="14"/>
      <c r="Z9" s="14"/>
      <c r="AA9" s="14" t="s">
        <v>80</v>
      </c>
      <c r="AB9" s="14">
        <v>0</v>
      </c>
      <c r="AC9" s="14">
        <v>3</v>
      </c>
      <c r="AD9" s="14">
        <v>200000</v>
      </c>
      <c r="AE9" s="14">
        <v>0</v>
      </c>
      <c r="AF9" s="14">
        <v>200000</v>
      </c>
      <c r="AG9" s="14">
        <v>0</v>
      </c>
      <c r="AH9" s="14">
        <v>0</v>
      </c>
      <c r="AI9" s="14">
        <v>0</v>
      </c>
      <c r="AJ9" s="14">
        <v>0</v>
      </c>
      <c r="AK9" s="14">
        <v>0</v>
      </c>
      <c r="AL9" s="14">
        <v>0</v>
      </c>
      <c r="AM9" s="47">
        <f t="shared" si="2"/>
        <v>200000</v>
      </c>
    </row>
    <row r="10" s="1" customFormat="1" ht="52" customHeight="1" spans="1:39">
      <c r="A10" s="5"/>
      <c r="B10" s="42" t="s">
        <v>83</v>
      </c>
      <c r="C10" s="43"/>
      <c r="D10" s="43"/>
      <c r="E10" s="43"/>
      <c r="F10" s="44"/>
      <c r="G10" s="9"/>
      <c r="H10" s="9"/>
      <c r="I10" s="24"/>
      <c r="J10" s="6"/>
      <c r="K10" s="9"/>
      <c r="L10" s="14"/>
      <c r="M10" s="6"/>
      <c r="N10" s="6"/>
      <c r="O10" s="15"/>
      <c r="P10" s="6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</row>
    <row r="11" s="1" customFormat="1" ht="52" customHeight="1" spans="1:39">
      <c r="A11" s="5" t="s">
        <v>84</v>
      </c>
      <c r="B11" s="6" t="s">
        <v>74</v>
      </c>
      <c r="C11" s="26" t="s">
        <v>22</v>
      </c>
      <c r="D11" s="6"/>
      <c r="E11" s="14" t="s">
        <v>23</v>
      </c>
      <c r="F11" s="14" t="s">
        <v>24</v>
      </c>
      <c r="G11" s="9" t="s">
        <v>25</v>
      </c>
      <c r="H11" s="9" t="s">
        <v>26</v>
      </c>
      <c r="I11" s="24" t="s">
        <v>27</v>
      </c>
      <c r="J11" s="6" t="s">
        <v>68</v>
      </c>
      <c r="K11" s="9">
        <v>200</v>
      </c>
      <c r="L11" s="14">
        <v>1600000</v>
      </c>
      <c r="M11" s="6">
        <v>0</v>
      </c>
      <c r="N11" s="6">
        <v>0</v>
      </c>
      <c r="O11" s="15" t="s">
        <v>69</v>
      </c>
      <c r="P11" s="6">
        <v>0</v>
      </c>
      <c r="Q11" s="14">
        <v>1600000</v>
      </c>
      <c r="R11" s="14"/>
      <c r="S11" s="14">
        <v>1</v>
      </c>
      <c r="T11" s="14">
        <v>900000</v>
      </c>
      <c r="U11" s="14">
        <v>600000</v>
      </c>
      <c r="V11" s="14">
        <v>100000</v>
      </c>
      <c r="W11" s="14">
        <v>0</v>
      </c>
      <c r="X11" s="14">
        <v>900000</v>
      </c>
      <c r="Y11" s="14">
        <v>600000</v>
      </c>
      <c r="Z11" s="14">
        <f t="shared" ref="Z11:Z15" si="3">X11+Y11</f>
        <v>1500000</v>
      </c>
      <c r="AA11" s="14"/>
      <c r="AB11" s="14">
        <v>0</v>
      </c>
      <c r="AC11" s="14">
        <v>1</v>
      </c>
      <c r="AD11" s="14">
        <v>100000</v>
      </c>
      <c r="AE11" s="14">
        <v>1500000</v>
      </c>
      <c r="AF11" s="14">
        <v>0</v>
      </c>
      <c r="AG11" s="14">
        <v>0</v>
      </c>
      <c r="AH11" s="14">
        <v>0</v>
      </c>
      <c r="AI11" s="14">
        <v>0</v>
      </c>
      <c r="AJ11" s="14">
        <v>100000</v>
      </c>
      <c r="AK11" s="14">
        <v>0</v>
      </c>
      <c r="AL11" s="14">
        <v>0</v>
      </c>
      <c r="AM11" s="47">
        <f t="shared" si="2"/>
        <v>1600000</v>
      </c>
    </row>
    <row r="12" s="1" customFormat="1" ht="52" customHeight="1" spans="1:39">
      <c r="A12" s="5" t="s">
        <v>85</v>
      </c>
      <c r="B12" s="6" t="s">
        <v>76</v>
      </c>
      <c r="C12" s="26" t="s">
        <v>22</v>
      </c>
      <c r="D12" s="6"/>
      <c r="E12" s="14" t="s">
        <v>23</v>
      </c>
      <c r="F12" s="14" t="s">
        <v>24</v>
      </c>
      <c r="G12" s="9" t="s">
        <v>25</v>
      </c>
      <c r="H12" s="9" t="s">
        <v>26</v>
      </c>
      <c r="I12" s="24" t="s">
        <v>27</v>
      </c>
      <c r="J12" s="6" t="s">
        <v>68</v>
      </c>
      <c r="K12" s="9">
        <v>200</v>
      </c>
      <c r="L12" s="14">
        <v>2200000</v>
      </c>
      <c r="M12" s="6">
        <v>0</v>
      </c>
      <c r="N12" s="6">
        <v>0</v>
      </c>
      <c r="O12" s="15" t="s">
        <v>69</v>
      </c>
      <c r="P12" s="6">
        <v>0</v>
      </c>
      <c r="Q12" s="14">
        <v>2200000</v>
      </c>
      <c r="R12" s="14"/>
      <c r="S12" s="14">
        <v>1</v>
      </c>
      <c r="T12" s="14">
        <v>900000</v>
      </c>
      <c r="U12" s="14">
        <v>600000</v>
      </c>
      <c r="V12" s="14">
        <v>100000</v>
      </c>
      <c r="W12" s="14">
        <v>0</v>
      </c>
      <c r="X12" s="14">
        <v>900000</v>
      </c>
      <c r="Y12" s="14">
        <v>600000</v>
      </c>
      <c r="Z12" s="14">
        <f t="shared" si="3"/>
        <v>1500000</v>
      </c>
      <c r="AA12" s="14"/>
      <c r="AB12" s="14">
        <v>0</v>
      </c>
      <c r="AC12" s="14">
        <v>3</v>
      </c>
      <c r="AD12" s="14">
        <v>700000</v>
      </c>
      <c r="AE12" s="14">
        <v>1500000</v>
      </c>
      <c r="AF12" s="14">
        <v>600000</v>
      </c>
      <c r="AG12" s="14">
        <v>0</v>
      </c>
      <c r="AH12" s="14">
        <v>0</v>
      </c>
      <c r="AI12" s="14">
        <v>0</v>
      </c>
      <c r="AJ12" s="14">
        <v>100000</v>
      </c>
      <c r="AK12" s="14">
        <v>0</v>
      </c>
      <c r="AL12" s="14">
        <v>0</v>
      </c>
      <c r="AM12" s="47">
        <f t="shared" si="2"/>
        <v>2200000</v>
      </c>
    </row>
    <row r="13" s="1" customFormat="1" ht="52" customHeight="1" spans="1:39">
      <c r="A13" s="5"/>
      <c r="B13" s="42" t="s">
        <v>86</v>
      </c>
      <c r="C13" s="43"/>
      <c r="D13" s="43"/>
      <c r="E13" s="43"/>
      <c r="F13" s="44"/>
      <c r="G13" s="9"/>
      <c r="H13" s="9"/>
      <c r="I13" s="24"/>
      <c r="J13" s="6"/>
      <c r="K13" s="9"/>
      <c r="L13" s="14"/>
      <c r="M13" s="6"/>
      <c r="N13" s="6"/>
      <c r="O13" s="15"/>
      <c r="P13" s="6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</row>
    <row r="14" s="1" customFormat="1" ht="52" customHeight="1" spans="1:39">
      <c r="A14" s="5" t="s">
        <v>87</v>
      </c>
      <c r="B14" s="6" t="s">
        <v>74</v>
      </c>
      <c r="C14" s="26" t="s">
        <v>22</v>
      </c>
      <c r="D14" s="6"/>
      <c r="E14" s="14" t="s">
        <v>23</v>
      </c>
      <c r="F14" s="14" t="s">
        <v>24</v>
      </c>
      <c r="G14" s="9" t="s">
        <v>25</v>
      </c>
      <c r="H14" s="9" t="s">
        <v>26</v>
      </c>
      <c r="I14" s="24" t="s">
        <v>27</v>
      </c>
      <c r="J14" s="6" t="s">
        <v>68</v>
      </c>
      <c r="K14" s="9">
        <v>200</v>
      </c>
      <c r="L14" s="14">
        <v>1530000</v>
      </c>
      <c r="M14" s="6">
        <v>0</v>
      </c>
      <c r="N14" s="6">
        <v>0</v>
      </c>
      <c r="O14" s="15" t="s">
        <v>69</v>
      </c>
      <c r="P14" s="6">
        <v>0</v>
      </c>
      <c r="Q14" s="14">
        <v>1530000</v>
      </c>
      <c r="R14" s="14"/>
      <c r="S14" s="14">
        <v>1</v>
      </c>
      <c r="T14" s="14">
        <v>900000</v>
      </c>
      <c r="U14" s="14">
        <v>540000</v>
      </c>
      <c r="V14" s="14">
        <v>100000</v>
      </c>
      <c r="W14" s="14">
        <v>60000</v>
      </c>
      <c r="X14" s="14">
        <v>900000</v>
      </c>
      <c r="Y14" s="14">
        <v>540000</v>
      </c>
      <c r="Z14" s="14">
        <f t="shared" si="3"/>
        <v>1440000</v>
      </c>
      <c r="AA14" s="14"/>
      <c r="AB14" s="14">
        <v>0</v>
      </c>
      <c r="AC14" s="14">
        <v>1</v>
      </c>
      <c r="AD14" s="14">
        <v>90000</v>
      </c>
      <c r="AE14" s="14">
        <v>1440000</v>
      </c>
      <c r="AF14" s="14">
        <v>0</v>
      </c>
      <c r="AG14" s="14">
        <v>0</v>
      </c>
      <c r="AH14" s="14">
        <v>0</v>
      </c>
      <c r="AI14" s="14">
        <v>0</v>
      </c>
      <c r="AJ14" s="14">
        <v>90000</v>
      </c>
      <c r="AK14" s="14">
        <v>0</v>
      </c>
      <c r="AL14" s="14">
        <v>0</v>
      </c>
      <c r="AM14" s="47">
        <f t="shared" ref="AM14:AM18" si="4">SUM(AE14:AL14)</f>
        <v>1530000</v>
      </c>
    </row>
    <row r="15" s="1" customFormat="1" ht="52" customHeight="1" spans="1:39">
      <c r="A15" s="5" t="s">
        <v>88</v>
      </c>
      <c r="B15" s="6" t="s">
        <v>76</v>
      </c>
      <c r="C15" s="26" t="s">
        <v>22</v>
      </c>
      <c r="D15" s="6"/>
      <c r="E15" s="14" t="s">
        <v>23</v>
      </c>
      <c r="F15" s="14" t="s">
        <v>24</v>
      </c>
      <c r="G15" s="9" t="s">
        <v>25</v>
      </c>
      <c r="H15" s="9" t="s">
        <v>26</v>
      </c>
      <c r="I15" s="24" t="s">
        <v>27</v>
      </c>
      <c r="J15" s="6" t="s">
        <v>68</v>
      </c>
      <c r="K15" s="9">
        <v>200</v>
      </c>
      <c r="L15" s="14">
        <v>2070000</v>
      </c>
      <c r="M15" s="6">
        <v>0</v>
      </c>
      <c r="N15" s="6">
        <v>0</v>
      </c>
      <c r="O15" s="15" t="s">
        <v>69</v>
      </c>
      <c r="P15" s="6">
        <v>0</v>
      </c>
      <c r="Q15" s="14">
        <v>2070000</v>
      </c>
      <c r="R15" s="14"/>
      <c r="S15" s="14">
        <v>1</v>
      </c>
      <c r="T15" s="14">
        <v>900000</v>
      </c>
      <c r="U15" s="14">
        <v>540000</v>
      </c>
      <c r="V15" s="14">
        <v>100000</v>
      </c>
      <c r="W15" s="14">
        <v>60000</v>
      </c>
      <c r="X15" s="14">
        <v>900000</v>
      </c>
      <c r="Y15" s="14">
        <v>540000</v>
      </c>
      <c r="Z15" s="14">
        <f t="shared" si="3"/>
        <v>1440000</v>
      </c>
      <c r="AA15" s="14"/>
      <c r="AB15" s="14">
        <v>0</v>
      </c>
      <c r="AC15" s="14">
        <v>3</v>
      </c>
      <c r="AD15" s="14">
        <v>630000</v>
      </c>
      <c r="AE15" s="14">
        <v>1440000</v>
      </c>
      <c r="AF15" s="14">
        <v>540000</v>
      </c>
      <c r="AG15" s="14">
        <v>0</v>
      </c>
      <c r="AH15" s="14">
        <v>0</v>
      </c>
      <c r="AI15" s="14">
        <v>0</v>
      </c>
      <c r="AJ15" s="14">
        <v>90000</v>
      </c>
      <c r="AK15" s="14">
        <v>0</v>
      </c>
      <c r="AL15" s="14">
        <v>0</v>
      </c>
      <c r="AM15" s="47">
        <f t="shared" si="4"/>
        <v>2070000</v>
      </c>
    </row>
    <row r="16" s="1" customFormat="1" ht="52" customHeight="1" spans="1:39">
      <c r="A16" s="5"/>
      <c r="B16" s="42" t="s">
        <v>89</v>
      </c>
      <c r="C16" s="43"/>
      <c r="D16" s="43"/>
      <c r="E16" s="43"/>
      <c r="F16" s="44"/>
      <c r="G16" s="9"/>
      <c r="H16" s="9"/>
      <c r="I16" s="24"/>
      <c r="J16" s="6"/>
      <c r="K16" s="9"/>
      <c r="L16" s="14"/>
      <c r="M16" s="6"/>
      <c r="N16" s="6"/>
      <c r="O16" s="15"/>
      <c r="P16" s="6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</row>
    <row r="17" s="1" customFormat="1" ht="52" customHeight="1" spans="1:39">
      <c r="A17" s="5" t="s">
        <v>90</v>
      </c>
      <c r="B17" s="6" t="s">
        <v>74</v>
      </c>
      <c r="C17" s="26" t="s">
        <v>22</v>
      </c>
      <c r="D17" s="6"/>
      <c r="E17" s="14" t="s">
        <v>23</v>
      </c>
      <c r="F17" s="14" t="s">
        <v>24</v>
      </c>
      <c r="G17" s="9" t="s">
        <v>25</v>
      </c>
      <c r="H17" s="9" t="s">
        <v>26</v>
      </c>
      <c r="I17" s="24" t="s">
        <v>27</v>
      </c>
      <c r="J17" s="6" t="s">
        <v>68</v>
      </c>
      <c r="K17" s="9">
        <v>200</v>
      </c>
      <c r="L17" s="14">
        <v>250000</v>
      </c>
      <c r="M17" s="6">
        <v>0</v>
      </c>
      <c r="N17" s="6">
        <v>0</v>
      </c>
      <c r="O17" s="15" t="s">
        <v>69</v>
      </c>
      <c r="P17" s="6">
        <v>0</v>
      </c>
      <c r="Q17" s="14">
        <v>250000</v>
      </c>
      <c r="R17" s="14" t="s">
        <v>80</v>
      </c>
      <c r="S17" s="14">
        <v>1</v>
      </c>
      <c r="T17" s="14">
        <v>100000</v>
      </c>
      <c r="U17" s="14">
        <v>100000</v>
      </c>
      <c r="V17" s="14">
        <v>0</v>
      </c>
      <c r="W17" s="14">
        <v>0</v>
      </c>
      <c r="X17" s="14">
        <v>100000</v>
      </c>
      <c r="Y17" s="14">
        <v>100000</v>
      </c>
      <c r="Z17" s="14">
        <f t="shared" ref="Z17:Z21" si="5">X17+Y17</f>
        <v>200000</v>
      </c>
      <c r="AA17" s="14"/>
      <c r="AB17" s="14">
        <v>0</v>
      </c>
      <c r="AC17" s="14">
        <v>1</v>
      </c>
      <c r="AD17" s="14">
        <v>50000</v>
      </c>
      <c r="AE17" s="14">
        <v>200000</v>
      </c>
      <c r="AF17" s="14">
        <v>0</v>
      </c>
      <c r="AG17" s="14">
        <v>0</v>
      </c>
      <c r="AH17" s="14">
        <v>0</v>
      </c>
      <c r="AI17" s="14">
        <v>0</v>
      </c>
      <c r="AJ17" s="14">
        <v>50000</v>
      </c>
      <c r="AK17" s="14">
        <v>0</v>
      </c>
      <c r="AL17" s="14">
        <v>0</v>
      </c>
      <c r="AM17" s="47">
        <f t="shared" si="4"/>
        <v>250000</v>
      </c>
    </row>
    <row r="18" s="1" customFormat="1" ht="52" customHeight="1" spans="1:39">
      <c r="A18" s="5" t="s">
        <v>91</v>
      </c>
      <c r="B18" s="6" t="s">
        <v>76</v>
      </c>
      <c r="C18" s="26" t="s">
        <v>22</v>
      </c>
      <c r="D18" s="6"/>
      <c r="E18" s="14" t="s">
        <v>23</v>
      </c>
      <c r="F18" s="14" t="s">
        <v>24</v>
      </c>
      <c r="G18" s="9" t="s">
        <v>25</v>
      </c>
      <c r="H18" s="9" t="s">
        <v>26</v>
      </c>
      <c r="I18" s="24" t="s">
        <v>27</v>
      </c>
      <c r="J18" s="6" t="s">
        <v>68</v>
      </c>
      <c r="K18" s="9">
        <v>200</v>
      </c>
      <c r="L18" s="14">
        <v>550000</v>
      </c>
      <c r="M18" s="6">
        <v>0</v>
      </c>
      <c r="N18" s="6">
        <v>0</v>
      </c>
      <c r="O18" s="15" t="s">
        <v>69</v>
      </c>
      <c r="P18" s="6">
        <v>0</v>
      </c>
      <c r="Q18" s="14">
        <v>550000</v>
      </c>
      <c r="R18" s="14" t="s">
        <v>80</v>
      </c>
      <c r="S18" s="14">
        <v>1</v>
      </c>
      <c r="T18" s="14">
        <v>100000</v>
      </c>
      <c r="U18" s="14">
        <v>100000</v>
      </c>
      <c r="V18" s="14">
        <v>0</v>
      </c>
      <c r="W18" s="14">
        <v>0</v>
      </c>
      <c r="X18" s="14">
        <v>100000</v>
      </c>
      <c r="Y18" s="14">
        <v>100000</v>
      </c>
      <c r="Z18" s="14">
        <f t="shared" si="5"/>
        <v>200000</v>
      </c>
      <c r="AA18" s="14"/>
      <c r="AB18" s="14">
        <v>0</v>
      </c>
      <c r="AC18" s="14">
        <v>3</v>
      </c>
      <c r="AD18" s="14">
        <v>350000</v>
      </c>
      <c r="AE18" s="14">
        <v>200000</v>
      </c>
      <c r="AF18" s="14">
        <v>300000</v>
      </c>
      <c r="AG18" s="14">
        <v>0</v>
      </c>
      <c r="AH18" s="14">
        <v>0</v>
      </c>
      <c r="AI18" s="14">
        <v>0</v>
      </c>
      <c r="AJ18" s="14">
        <v>50000</v>
      </c>
      <c r="AK18" s="14">
        <v>0</v>
      </c>
      <c r="AL18" s="14">
        <v>0</v>
      </c>
      <c r="AM18" s="47">
        <f t="shared" si="4"/>
        <v>550000</v>
      </c>
    </row>
    <row r="19" s="1" customFormat="1" ht="52" customHeight="1" spans="1:39">
      <c r="A19" s="5"/>
      <c r="B19" s="42" t="s">
        <v>92</v>
      </c>
      <c r="C19" s="43"/>
      <c r="D19" s="43"/>
      <c r="E19" s="43"/>
      <c r="F19" s="44"/>
      <c r="G19" s="9"/>
      <c r="H19" s="9"/>
      <c r="I19" s="24"/>
      <c r="J19" s="6"/>
      <c r="K19" s="9"/>
      <c r="L19" s="14"/>
      <c r="M19" s="6"/>
      <c r="N19" s="6"/>
      <c r="O19" s="15"/>
      <c r="P19" s="6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</row>
    <row r="20" s="1" customFormat="1" ht="52" customHeight="1" spans="1:39">
      <c r="A20" s="5" t="s">
        <v>93</v>
      </c>
      <c r="B20" s="6" t="s">
        <v>74</v>
      </c>
      <c r="C20" s="26" t="s">
        <v>22</v>
      </c>
      <c r="D20" s="6"/>
      <c r="E20" s="14" t="s">
        <v>23</v>
      </c>
      <c r="F20" s="14" t="s">
        <v>24</v>
      </c>
      <c r="G20" s="9" t="s">
        <v>25</v>
      </c>
      <c r="H20" s="9" t="s">
        <v>26</v>
      </c>
      <c r="I20" s="24" t="s">
        <v>27</v>
      </c>
      <c r="J20" s="6" t="s">
        <v>68</v>
      </c>
      <c r="K20" s="9">
        <v>200</v>
      </c>
      <c r="L20" s="14">
        <v>250000</v>
      </c>
      <c r="M20" s="6">
        <v>0</v>
      </c>
      <c r="N20" s="6">
        <v>0</v>
      </c>
      <c r="O20" s="15" t="s">
        <v>69</v>
      </c>
      <c r="P20" s="6">
        <v>0</v>
      </c>
      <c r="Q20" s="14">
        <v>250000</v>
      </c>
      <c r="R20" s="14" t="s">
        <v>80</v>
      </c>
      <c r="S20" s="14">
        <v>1</v>
      </c>
      <c r="T20" s="14">
        <v>100000</v>
      </c>
      <c r="U20" s="14">
        <v>100000</v>
      </c>
      <c r="V20" s="14">
        <v>0</v>
      </c>
      <c r="W20" s="14">
        <v>0</v>
      </c>
      <c r="X20" s="14">
        <v>100000</v>
      </c>
      <c r="Y20" s="14">
        <v>100000</v>
      </c>
      <c r="Z20" s="14">
        <f t="shared" si="5"/>
        <v>200000</v>
      </c>
      <c r="AA20" s="14"/>
      <c r="AB20" s="14">
        <v>0</v>
      </c>
      <c r="AC20" s="14">
        <v>1</v>
      </c>
      <c r="AD20" s="14">
        <v>50000</v>
      </c>
      <c r="AE20" s="14">
        <v>200000</v>
      </c>
      <c r="AF20" s="14">
        <v>0</v>
      </c>
      <c r="AG20" s="14">
        <v>0</v>
      </c>
      <c r="AH20" s="14">
        <v>0</v>
      </c>
      <c r="AI20" s="14">
        <v>0</v>
      </c>
      <c r="AJ20" s="14">
        <v>50000</v>
      </c>
      <c r="AK20" s="14">
        <v>0</v>
      </c>
      <c r="AL20" s="14">
        <v>0</v>
      </c>
      <c r="AM20" s="47">
        <f>SUM(AE20:AL20)</f>
        <v>250000</v>
      </c>
    </row>
    <row r="21" s="1" customFormat="1" ht="52" customHeight="1" spans="1:39">
      <c r="A21" s="5" t="s">
        <v>94</v>
      </c>
      <c r="B21" s="6" t="s">
        <v>76</v>
      </c>
      <c r="C21" s="26" t="s">
        <v>22</v>
      </c>
      <c r="D21" s="6"/>
      <c r="E21" s="14" t="s">
        <v>23</v>
      </c>
      <c r="F21" s="14" t="s">
        <v>24</v>
      </c>
      <c r="G21" s="9" t="s">
        <v>25</v>
      </c>
      <c r="H21" s="9" t="s">
        <v>26</v>
      </c>
      <c r="I21" s="24" t="s">
        <v>27</v>
      </c>
      <c r="J21" s="6" t="s">
        <v>68</v>
      </c>
      <c r="K21" s="9">
        <v>200</v>
      </c>
      <c r="L21" s="14">
        <v>550000</v>
      </c>
      <c r="M21" s="6">
        <v>0</v>
      </c>
      <c r="N21" s="6">
        <v>0</v>
      </c>
      <c r="O21" s="15" t="s">
        <v>69</v>
      </c>
      <c r="P21" s="6">
        <v>0</v>
      </c>
      <c r="Q21" s="14">
        <v>550000</v>
      </c>
      <c r="R21" s="14" t="s">
        <v>80</v>
      </c>
      <c r="S21" s="14">
        <v>1</v>
      </c>
      <c r="T21" s="14">
        <v>100000</v>
      </c>
      <c r="U21" s="14">
        <v>100000</v>
      </c>
      <c r="V21" s="14">
        <v>0</v>
      </c>
      <c r="W21" s="14">
        <v>0</v>
      </c>
      <c r="X21" s="14">
        <v>100000</v>
      </c>
      <c r="Y21" s="14">
        <v>100000</v>
      </c>
      <c r="Z21" s="14">
        <f t="shared" si="5"/>
        <v>200000</v>
      </c>
      <c r="AA21" s="14"/>
      <c r="AB21" s="14">
        <v>0</v>
      </c>
      <c r="AC21" s="14">
        <v>3</v>
      </c>
      <c r="AD21" s="14">
        <v>350000</v>
      </c>
      <c r="AE21" s="14">
        <v>200000</v>
      </c>
      <c r="AF21" s="14">
        <v>300000</v>
      </c>
      <c r="AG21" s="14">
        <v>0</v>
      </c>
      <c r="AH21" s="14">
        <v>0</v>
      </c>
      <c r="AI21" s="14">
        <v>0</v>
      </c>
      <c r="AJ21" s="14">
        <v>50000</v>
      </c>
      <c r="AK21" s="14">
        <v>0</v>
      </c>
      <c r="AL21" s="14">
        <v>0</v>
      </c>
      <c r="AM21" s="47">
        <f>SUM(AE21:AL21)</f>
        <v>550000</v>
      </c>
    </row>
    <row r="22" s="1" customFormat="1" ht="52" customHeight="1" spans="1:39">
      <c r="A22" s="5"/>
      <c r="B22" s="6"/>
      <c r="C22" s="26"/>
      <c r="D22" s="6"/>
      <c r="E22" s="14"/>
      <c r="F22" s="14"/>
      <c r="G22" s="9"/>
      <c r="H22" s="9"/>
      <c r="I22" s="24"/>
      <c r="J22" s="6"/>
      <c r="K22" s="9"/>
      <c r="L22" s="14"/>
      <c r="M22" s="6"/>
      <c r="N22" s="6"/>
      <c r="O22" s="15"/>
      <c r="P22" s="6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</row>
    <row r="23" s="1" customFormat="1" ht="52" customHeight="1" spans="1:39">
      <c r="A23" s="5" t="s">
        <v>95</v>
      </c>
      <c r="B23" s="6" t="s">
        <v>96</v>
      </c>
      <c r="C23" s="26" t="s">
        <v>22</v>
      </c>
      <c r="D23" s="6"/>
      <c r="E23" s="14" t="s">
        <v>23</v>
      </c>
      <c r="F23" s="14" t="s">
        <v>24</v>
      </c>
      <c r="G23" s="9" t="s">
        <v>25</v>
      </c>
      <c r="H23" s="9" t="s">
        <v>26</v>
      </c>
      <c r="I23" s="24" t="s">
        <v>27</v>
      </c>
      <c r="J23" s="6" t="s">
        <v>68</v>
      </c>
      <c r="K23" s="9">
        <v>200</v>
      </c>
      <c r="L23" s="14">
        <v>2400000</v>
      </c>
      <c r="M23" s="6">
        <v>0</v>
      </c>
      <c r="N23" s="6">
        <v>0</v>
      </c>
      <c r="O23" s="15" t="s">
        <v>69</v>
      </c>
      <c r="P23" s="6">
        <v>0</v>
      </c>
      <c r="Q23" s="14">
        <v>2400000</v>
      </c>
      <c r="R23" s="14"/>
      <c r="S23" s="14">
        <v>1</v>
      </c>
      <c r="T23" s="14">
        <v>1000000</v>
      </c>
      <c r="U23" s="14">
        <v>600000</v>
      </c>
      <c r="V23" s="14">
        <v>0</v>
      </c>
      <c r="W23" s="14">
        <v>0</v>
      </c>
      <c r="X23" s="14">
        <v>1000000</v>
      </c>
      <c r="Y23" s="14">
        <v>600000</v>
      </c>
      <c r="Z23" s="14">
        <v>1600000</v>
      </c>
      <c r="AA23" s="14"/>
      <c r="AB23" s="14">
        <v>0</v>
      </c>
      <c r="AC23" s="14">
        <v>4</v>
      </c>
      <c r="AD23" s="14">
        <v>800000</v>
      </c>
      <c r="AE23" s="14">
        <v>1600000</v>
      </c>
      <c r="AF23" s="14">
        <v>600000</v>
      </c>
      <c r="AG23" s="14">
        <v>0</v>
      </c>
      <c r="AH23" s="14">
        <v>200000</v>
      </c>
      <c r="AI23" s="14">
        <v>0</v>
      </c>
      <c r="AJ23" s="14">
        <v>0</v>
      </c>
      <c r="AK23" s="14">
        <v>0</v>
      </c>
      <c r="AL23" s="14">
        <v>0</v>
      </c>
      <c r="AM23" s="14">
        <v>2400000</v>
      </c>
    </row>
    <row r="24" s="1" customFormat="1" ht="52" customHeight="1" spans="1:39">
      <c r="A24" s="5" t="s">
        <v>97</v>
      </c>
      <c r="B24" s="6" t="s">
        <v>98</v>
      </c>
      <c r="C24" s="26" t="s">
        <v>22</v>
      </c>
      <c r="D24" s="6"/>
      <c r="E24" s="14" t="s">
        <v>23</v>
      </c>
      <c r="F24" s="14" t="s">
        <v>24</v>
      </c>
      <c r="G24" s="9" t="s">
        <v>25</v>
      </c>
      <c r="H24" s="9" t="s">
        <v>26</v>
      </c>
      <c r="I24" s="24" t="s">
        <v>27</v>
      </c>
      <c r="J24" s="6" t="s">
        <v>68</v>
      </c>
      <c r="K24" s="9">
        <v>200</v>
      </c>
      <c r="L24" s="14">
        <v>2400000</v>
      </c>
      <c r="M24" s="6">
        <v>2000000</v>
      </c>
      <c r="N24" s="6">
        <v>2000000</v>
      </c>
      <c r="O24" s="15" t="s">
        <v>69</v>
      </c>
      <c r="P24" s="6">
        <v>0</v>
      </c>
      <c r="Q24" s="14">
        <v>400000</v>
      </c>
      <c r="R24" s="14"/>
      <c r="S24" s="14">
        <v>1</v>
      </c>
      <c r="T24" s="14">
        <v>1000000</v>
      </c>
      <c r="U24" s="14">
        <v>600000</v>
      </c>
      <c r="V24" s="14">
        <v>0</v>
      </c>
      <c r="W24" s="14">
        <v>0</v>
      </c>
      <c r="X24" s="14">
        <v>1000000</v>
      </c>
      <c r="Y24" s="14">
        <v>600000</v>
      </c>
      <c r="Z24" s="14">
        <v>1600000</v>
      </c>
      <c r="AA24" s="14"/>
      <c r="AB24" s="14">
        <v>0</v>
      </c>
      <c r="AC24" s="14">
        <v>4</v>
      </c>
      <c r="AD24" s="14">
        <v>800000</v>
      </c>
      <c r="AE24" s="14">
        <v>1600000</v>
      </c>
      <c r="AF24" s="14">
        <v>600000</v>
      </c>
      <c r="AG24" s="14">
        <v>0</v>
      </c>
      <c r="AH24" s="14">
        <v>200000</v>
      </c>
      <c r="AI24" s="14">
        <v>0</v>
      </c>
      <c r="AJ24" s="14">
        <v>0</v>
      </c>
      <c r="AK24" s="14">
        <v>0</v>
      </c>
      <c r="AL24" s="14">
        <v>0</v>
      </c>
      <c r="AM24" s="14">
        <v>2400000</v>
      </c>
    </row>
    <row r="25" s="1" customFormat="1" ht="52" customHeight="1" spans="1:39">
      <c r="A25" s="5" t="s">
        <v>99</v>
      </c>
      <c r="B25" s="6" t="s">
        <v>100</v>
      </c>
      <c r="C25" s="26" t="s">
        <v>22</v>
      </c>
      <c r="D25" s="6"/>
      <c r="E25" s="14" t="s">
        <v>23</v>
      </c>
      <c r="F25" s="14" t="s">
        <v>24</v>
      </c>
      <c r="G25" s="9" t="s">
        <v>25</v>
      </c>
      <c r="H25" s="9" t="s">
        <v>26</v>
      </c>
      <c r="I25" s="24" t="s">
        <v>27</v>
      </c>
      <c r="J25" s="6" t="s">
        <v>68</v>
      </c>
      <c r="K25" s="9">
        <v>200</v>
      </c>
      <c r="L25" s="14">
        <v>2100000</v>
      </c>
      <c r="M25" s="6">
        <v>0</v>
      </c>
      <c r="N25" s="6">
        <v>0</v>
      </c>
      <c r="O25" s="15" t="s">
        <v>69</v>
      </c>
      <c r="P25" s="6">
        <v>0</v>
      </c>
      <c r="Q25" s="14">
        <v>2100000</v>
      </c>
      <c r="R25" s="14"/>
      <c r="S25" s="14">
        <v>1</v>
      </c>
      <c r="T25" s="14">
        <v>1000000</v>
      </c>
      <c r="U25" s="14">
        <v>600000</v>
      </c>
      <c r="V25" s="14">
        <v>0</v>
      </c>
      <c r="W25" s="14">
        <v>0</v>
      </c>
      <c r="X25" s="14">
        <v>1000000</v>
      </c>
      <c r="Y25" s="14">
        <v>600000</v>
      </c>
      <c r="Z25" s="14">
        <v>1600000</v>
      </c>
      <c r="AA25" s="14"/>
      <c r="AB25" s="14">
        <v>0</v>
      </c>
      <c r="AC25" s="14">
        <v>2</v>
      </c>
      <c r="AD25" s="14">
        <v>500000</v>
      </c>
      <c r="AE25" s="14">
        <v>1600000</v>
      </c>
      <c r="AF25" s="14">
        <v>400000</v>
      </c>
      <c r="AG25" s="14">
        <v>0</v>
      </c>
      <c r="AH25" s="14">
        <v>100000</v>
      </c>
      <c r="AI25" s="14">
        <v>0</v>
      </c>
      <c r="AJ25" s="14">
        <v>0</v>
      </c>
      <c r="AK25" s="14">
        <v>0</v>
      </c>
      <c r="AL25" s="14">
        <v>0</v>
      </c>
      <c r="AM25" s="14">
        <v>2100000</v>
      </c>
    </row>
    <row r="26" s="1" customFormat="1" ht="52" customHeight="1" spans="1:39">
      <c r="A26" s="5" t="s">
        <v>101</v>
      </c>
      <c r="B26" s="6" t="s">
        <v>102</v>
      </c>
      <c r="C26" s="26" t="s">
        <v>22</v>
      </c>
      <c r="D26" s="6"/>
      <c r="E26" s="14" t="s">
        <v>23</v>
      </c>
      <c r="F26" s="14" t="s">
        <v>24</v>
      </c>
      <c r="G26" s="9" t="s">
        <v>25</v>
      </c>
      <c r="H26" s="9" t="s">
        <v>26</v>
      </c>
      <c r="I26" s="24" t="s">
        <v>27</v>
      </c>
      <c r="J26" s="6" t="s">
        <v>68</v>
      </c>
      <c r="K26" s="9">
        <v>200</v>
      </c>
      <c r="L26" s="14">
        <v>4200000</v>
      </c>
      <c r="M26" s="6">
        <v>0</v>
      </c>
      <c r="N26" s="6">
        <v>0</v>
      </c>
      <c r="O26" s="15" t="s">
        <v>69</v>
      </c>
      <c r="P26" s="6">
        <v>0</v>
      </c>
      <c r="Q26" s="14">
        <v>4200000</v>
      </c>
      <c r="R26" s="14"/>
      <c r="S26" s="14">
        <v>1</v>
      </c>
      <c r="T26" s="14">
        <v>1000000</v>
      </c>
      <c r="U26" s="14">
        <v>600000</v>
      </c>
      <c r="V26" s="14">
        <v>0</v>
      </c>
      <c r="W26" s="14">
        <v>0</v>
      </c>
      <c r="X26" s="14">
        <v>2000000</v>
      </c>
      <c r="Y26" s="14">
        <v>1200000</v>
      </c>
      <c r="Z26" s="14">
        <v>3200000</v>
      </c>
      <c r="AA26" s="14"/>
      <c r="AB26" s="14">
        <v>1</v>
      </c>
      <c r="AC26" s="14">
        <v>4</v>
      </c>
      <c r="AD26" s="14">
        <v>1000000</v>
      </c>
      <c r="AE26" s="14">
        <v>1600000</v>
      </c>
      <c r="AF26" s="14">
        <v>400000</v>
      </c>
      <c r="AG26" s="14">
        <v>0</v>
      </c>
      <c r="AH26" s="14">
        <v>100000</v>
      </c>
      <c r="AI26" s="14">
        <v>0</v>
      </c>
      <c r="AJ26" s="14">
        <v>0</v>
      </c>
      <c r="AK26" s="14">
        <v>0</v>
      </c>
      <c r="AL26" s="14">
        <v>0</v>
      </c>
      <c r="AM26" s="14">
        <v>2100000</v>
      </c>
    </row>
    <row r="27" s="1" customFormat="1" ht="52" customHeight="1" spans="1:39">
      <c r="A27" s="5" t="s">
        <v>103</v>
      </c>
      <c r="B27" s="6" t="s">
        <v>104</v>
      </c>
      <c r="C27" s="26" t="s">
        <v>22</v>
      </c>
      <c r="D27" s="6"/>
      <c r="E27" s="14" t="s">
        <v>23</v>
      </c>
      <c r="F27" s="14" t="s">
        <v>24</v>
      </c>
      <c r="G27" s="9" t="s">
        <v>25</v>
      </c>
      <c r="H27" s="9" t="s">
        <v>26</v>
      </c>
      <c r="I27" s="24" t="s">
        <v>27</v>
      </c>
      <c r="J27" s="6" t="s">
        <v>105</v>
      </c>
      <c r="K27" s="9">
        <v>200</v>
      </c>
      <c r="L27" s="6">
        <v>2000000</v>
      </c>
      <c r="M27" s="6">
        <v>2000000</v>
      </c>
      <c r="N27" s="6">
        <v>2000000</v>
      </c>
      <c r="O27" s="15" t="s">
        <v>69</v>
      </c>
      <c r="P27" s="6">
        <v>0</v>
      </c>
      <c r="Q27" s="14"/>
      <c r="R27" s="14" t="s">
        <v>80</v>
      </c>
      <c r="S27" s="14">
        <v>1</v>
      </c>
      <c r="T27" s="14">
        <v>1000000</v>
      </c>
      <c r="U27" s="14">
        <v>600000</v>
      </c>
      <c r="V27" s="14">
        <v>0</v>
      </c>
      <c r="W27" s="14">
        <v>0</v>
      </c>
      <c r="X27" s="14">
        <v>1000000</v>
      </c>
      <c r="Y27" s="14">
        <v>600000</v>
      </c>
      <c r="Z27" s="14">
        <v>1600000</v>
      </c>
      <c r="AA27" s="14"/>
      <c r="AB27" s="14">
        <v>0</v>
      </c>
      <c r="AC27" s="14">
        <v>1</v>
      </c>
      <c r="AD27" s="14">
        <v>400000</v>
      </c>
      <c r="AE27" s="14">
        <v>1600000</v>
      </c>
      <c r="AF27" s="14">
        <v>400000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2000000</v>
      </c>
    </row>
    <row r="28" s="1" customFormat="1" ht="52" customHeight="1" spans="1:39">
      <c r="A28" s="5" t="s">
        <v>106</v>
      </c>
      <c r="B28" s="6" t="s">
        <v>107</v>
      </c>
      <c r="C28" s="26" t="s">
        <v>22</v>
      </c>
      <c r="D28" s="6"/>
      <c r="E28" s="14" t="s">
        <v>23</v>
      </c>
      <c r="F28" s="14" t="s">
        <v>24</v>
      </c>
      <c r="G28" s="9" t="s">
        <v>25</v>
      </c>
      <c r="H28" s="9" t="s">
        <v>26</v>
      </c>
      <c r="I28" s="24" t="s">
        <v>27</v>
      </c>
      <c r="J28" s="6" t="s">
        <v>68</v>
      </c>
      <c r="K28" s="9">
        <v>200</v>
      </c>
      <c r="L28" s="14">
        <v>1600000</v>
      </c>
      <c r="M28" s="6">
        <v>0</v>
      </c>
      <c r="N28" s="6">
        <v>0</v>
      </c>
      <c r="O28" s="15" t="s">
        <v>69</v>
      </c>
      <c r="P28" s="6">
        <v>0</v>
      </c>
      <c r="Q28" s="14">
        <v>1600000</v>
      </c>
      <c r="R28" s="14"/>
      <c r="S28" s="14">
        <v>1</v>
      </c>
      <c r="T28" s="14">
        <v>800000</v>
      </c>
      <c r="U28" s="14">
        <v>400000</v>
      </c>
      <c r="V28" s="14">
        <v>200000</v>
      </c>
      <c r="W28" s="14">
        <v>200000</v>
      </c>
      <c r="X28" s="14">
        <v>800000</v>
      </c>
      <c r="Y28" s="14">
        <v>400000</v>
      </c>
      <c r="Z28" s="14">
        <v>1200000</v>
      </c>
      <c r="AA28" s="14"/>
      <c r="AB28" s="14">
        <v>0</v>
      </c>
      <c r="AC28" s="14">
        <v>2</v>
      </c>
      <c r="AD28" s="14">
        <v>400000</v>
      </c>
      <c r="AE28" s="14">
        <v>1200000</v>
      </c>
      <c r="AF28" s="14">
        <v>400000</v>
      </c>
      <c r="AG28" s="14">
        <v>0</v>
      </c>
      <c r="AH28" s="14">
        <v>0</v>
      </c>
      <c r="AI28" s="14">
        <v>0</v>
      </c>
      <c r="AJ28" s="14">
        <v>0</v>
      </c>
      <c r="AK28" s="14">
        <v>0</v>
      </c>
      <c r="AL28" s="14">
        <v>0</v>
      </c>
      <c r="AM28" s="14">
        <v>1600000</v>
      </c>
    </row>
    <row r="29" s="1" customFormat="1" ht="52" customHeight="1" spans="1:39">
      <c r="A29" s="5" t="s">
        <v>108</v>
      </c>
      <c r="B29" s="6" t="s">
        <v>107</v>
      </c>
      <c r="C29" s="26" t="s">
        <v>22</v>
      </c>
      <c r="D29" s="6"/>
      <c r="E29" s="14" t="s">
        <v>23</v>
      </c>
      <c r="F29" s="14" t="s">
        <v>24</v>
      </c>
      <c r="G29" s="9" t="s">
        <v>25</v>
      </c>
      <c r="H29" s="9" t="s">
        <v>26</v>
      </c>
      <c r="I29" s="24" t="s">
        <v>27</v>
      </c>
      <c r="J29" s="6" t="s">
        <v>68</v>
      </c>
      <c r="K29" s="9">
        <v>200</v>
      </c>
      <c r="L29" s="14">
        <v>1200000</v>
      </c>
      <c r="M29" s="6">
        <v>0</v>
      </c>
      <c r="N29" s="6">
        <v>0</v>
      </c>
      <c r="O29" s="15" t="s">
        <v>69</v>
      </c>
      <c r="P29" s="6">
        <v>0</v>
      </c>
      <c r="Q29" s="14">
        <v>1200000</v>
      </c>
      <c r="R29" s="14"/>
      <c r="S29" s="14">
        <v>1</v>
      </c>
      <c r="T29" s="14">
        <v>800000</v>
      </c>
      <c r="U29" s="14">
        <v>400000</v>
      </c>
      <c r="V29" s="14">
        <v>200000</v>
      </c>
      <c r="W29" s="14">
        <v>200000</v>
      </c>
      <c r="X29" s="14">
        <v>800000</v>
      </c>
      <c r="Y29" s="14">
        <v>400000</v>
      </c>
      <c r="Z29" s="14">
        <v>1200000</v>
      </c>
      <c r="AA29" s="14"/>
      <c r="AB29" s="14">
        <v>0</v>
      </c>
      <c r="AC29" s="14">
        <v>2</v>
      </c>
      <c r="AD29" s="14">
        <v>800000</v>
      </c>
      <c r="AE29" s="14">
        <v>1200000</v>
      </c>
      <c r="AF29" s="14">
        <v>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1200000</v>
      </c>
    </row>
    <row r="32" customHeight="1" spans="12:12">
      <c r="L32" s="36"/>
    </row>
  </sheetData>
  <mergeCells count="6">
    <mergeCell ref="B4:D4"/>
    <mergeCell ref="B7:F7"/>
    <mergeCell ref="B10:F10"/>
    <mergeCell ref="B13:F13"/>
    <mergeCell ref="B16:F16"/>
    <mergeCell ref="B19:F19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95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97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99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109</v>
      </c>
      <c r="B5" s="6" t="s">
        <v>100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27</v>
      </c>
      <c r="J5" s="6" t="s">
        <v>105</v>
      </c>
      <c r="K5" s="9">
        <v>200</v>
      </c>
      <c r="L5" s="14">
        <v>0</v>
      </c>
      <c r="M5" s="6">
        <v>0</v>
      </c>
      <c r="N5" s="6">
        <v>0</v>
      </c>
      <c r="O5" s="15" t="s">
        <v>69</v>
      </c>
      <c r="P5" s="6">
        <v>0</v>
      </c>
      <c r="Q5" s="14">
        <v>0</v>
      </c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2</v>
      </c>
      <c r="AC5" s="14">
        <v>500000</v>
      </c>
      <c r="AD5" s="14">
        <v>1600000</v>
      </c>
      <c r="AE5" s="14">
        <v>400000</v>
      </c>
      <c r="AF5" s="14">
        <v>0</v>
      </c>
      <c r="AG5" s="14">
        <v>100000</v>
      </c>
      <c r="AH5" s="14">
        <v>0</v>
      </c>
      <c r="AI5" s="14">
        <v>0</v>
      </c>
      <c r="AJ5" s="14">
        <v>0</v>
      </c>
      <c r="AK5" s="14">
        <v>0</v>
      </c>
      <c r="AL5" s="14">
        <v>2100000</v>
      </c>
    </row>
    <row r="6" s="1" customFormat="1" customHeight="1" spans="1:38">
      <c r="A6" s="5" t="s">
        <v>103</v>
      </c>
      <c r="B6" s="6" t="s">
        <v>104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27</v>
      </c>
      <c r="J6" s="6" t="s">
        <v>105</v>
      </c>
      <c r="K6" s="9">
        <v>200</v>
      </c>
      <c r="L6" s="6">
        <v>2000000</v>
      </c>
      <c r="M6" s="6">
        <v>2000000</v>
      </c>
      <c r="N6" s="6">
        <v>2000000</v>
      </c>
      <c r="O6" s="15" t="s">
        <v>69</v>
      </c>
      <c r="P6" s="6">
        <v>0</v>
      </c>
      <c r="Q6" s="14">
        <v>0</v>
      </c>
      <c r="R6" s="14" t="s">
        <v>80</v>
      </c>
      <c r="S6" s="14">
        <v>1</v>
      </c>
      <c r="T6" s="14">
        <v>1000000</v>
      </c>
      <c r="U6" s="14">
        <v>600000</v>
      </c>
      <c r="V6" s="14">
        <v>0</v>
      </c>
      <c r="W6" s="14">
        <v>0</v>
      </c>
      <c r="X6" s="14">
        <v>1000000</v>
      </c>
      <c r="Y6" s="14">
        <v>600000</v>
      </c>
      <c r="Z6" s="14">
        <v>1600000</v>
      </c>
      <c r="AA6" s="14">
        <v>0</v>
      </c>
      <c r="AB6" s="14">
        <v>1</v>
      </c>
      <c r="AC6" s="14">
        <v>400000</v>
      </c>
      <c r="AD6" s="14">
        <v>1600000</v>
      </c>
      <c r="AE6" s="14">
        <v>400000</v>
      </c>
      <c r="AF6" s="14">
        <v>0</v>
      </c>
      <c r="AG6" s="14">
        <v>0</v>
      </c>
      <c r="AH6" s="14">
        <v>0</v>
      </c>
      <c r="AI6" s="14">
        <v>0</v>
      </c>
      <c r="AJ6" s="14">
        <v>0</v>
      </c>
      <c r="AK6" s="14">
        <v>0</v>
      </c>
      <c r="AL6" s="14">
        <v>2000000</v>
      </c>
    </row>
    <row r="7" s="1" customFormat="1" customHeight="1" spans="9:15">
      <c r="I7" s="16"/>
      <c r="O7" s="16"/>
    </row>
    <row r="11" customHeight="1" spans="12:12">
      <c r="L11" s="36"/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9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95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v>2400000</v>
      </c>
    </row>
    <row r="3" s="1" customFormat="1" customHeight="1" spans="1:38">
      <c r="A3" s="5" t="s">
        <v>97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v>2400000</v>
      </c>
    </row>
    <row r="4" s="1" customFormat="1" customHeight="1" spans="1:38">
      <c r="A4" s="5" t="s">
        <v>99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103</v>
      </c>
      <c r="B5" s="6" t="s">
        <v>104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27</v>
      </c>
      <c r="J5" s="6" t="s">
        <v>105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69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9" customHeight="1" spans="12:12">
      <c r="L9" s="36"/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L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25.0380952380952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17.8380952380952" style="16" customWidth="1"/>
    <col min="10" max="10" width="31.4285714285714" style="1" customWidth="1"/>
    <col min="11" max="11" width="15.2857142857143" style="1" customWidth="1"/>
    <col min="12" max="12" width="20.8571428571429" style="1" customWidth="1"/>
    <col min="13" max="13" width="23.6857142857143" style="1" customWidth="1"/>
    <col min="14" max="14" width="26.047619047619" style="1" customWidth="1"/>
    <col min="15" max="15" width="29.2380952380952" style="16" customWidth="1"/>
    <col min="16" max="17" width="29.2380952380952" style="1" customWidth="1"/>
    <col min="18" max="20" width="24.8666666666667" style="1" customWidth="1"/>
    <col min="21" max="21" width="25.7047619047619" style="1" customWidth="1"/>
    <col min="22" max="22" width="41.8380952380952" style="1" customWidth="1"/>
    <col min="23" max="23" width="42.6857142857143" style="1" customWidth="1"/>
    <col min="24" max="24" width="30.5809523809524" style="1" customWidth="1"/>
    <col min="25" max="25" width="30.4190476190476" style="1" customWidth="1"/>
    <col min="26" max="26" width="25.3714285714286" style="1" customWidth="1"/>
    <col min="27" max="29" width="32.4285714285714" style="1" customWidth="1"/>
    <col min="30" max="30" width="31.2571428571429" style="1" customWidth="1"/>
    <col min="31" max="32" width="28.2380952380952" style="1" customWidth="1"/>
    <col min="33" max="33" width="32.0952380952381" style="1" customWidth="1"/>
    <col min="34" max="34" width="28.2380952380952" style="1" customWidth="1"/>
    <col min="35" max="37" width="27.047619047619" style="1" customWidth="1"/>
    <col min="38" max="38" width="23.352380952381" style="1" customWidth="1"/>
    <col min="39" max="16384" width="9.14285714285714" style="1"/>
  </cols>
  <sheetData>
    <row r="1" s="1" customFormat="1" ht="47" customHeight="1" spans="1:38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8</v>
      </c>
      <c r="J1" s="27" t="s">
        <v>9</v>
      </c>
      <c r="K1" s="11" t="s">
        <v>10</v>
      </c>
      <c r="L1" s="34" t="s">
        <v>40</v>
      </c>
      <c r="M1" s="32" t="s">
        <v>41</v>
      </c>
      <c r="N1" s="32" t="s">
        <v>42</v>
      </c>
      <c r="O1" s="33" t="s">
        <v>43</v>
      </c>
      <c r="P1" s="32" t="s">
        <v>44</v>
      </c>
      <c r="Q1" s="34" t="s">
        <v>45</v>
      </c>
      <c r="R1" s="34" t="s">
        <v>46</v>
      </c>
      <c r="S1" s="35" t="s">
        <v>18</v>
      </c>
      <c r="T1" s="35" t="s">
        <v>47</v>
      </c>
      <c r="U1" s="35" t="s">
        <v>48</v>
      </c>
      <c r="V1" s="35" t="s">
        <v>49</v>
      </c>
      <c r="W1" s="35" t="s">
        <v>50</v>
      </c>
      <c r="X1" s="34" t="s">
        <v>51</v>
      </c>
      <c r="Y1" s="34" t="s">
        <v>52</v>
      </c>
      <c r="Z1" s="34" t="s">
        <v>53</v>
      </c>
      <c r="AA1" s="37" t="s">
        <v>55</v>
      </c>
      <c r="AB1" s="35" t="s">
        <v>19</v>
      </c>
      <c r="AC1" s="35" t="s">
        <v>56</v>
      </c>
      <c r="AD1" s="34" t="s">
        <v>57</v>
      </c>
      <c r="AE1" s="34" t="s">
        <v>58</v>
      </c>
      <c r="AF1" s="34" t="s">
        <v>59</v>
      </c>
      <c r="AG1" s="34" t="s">
        <v>60</v>
      </c>
      <c r="AH1" s="34" t="s">
        <v>61</v>
      </c>
      <c r="AI1" s="34" t="s">
        <v>62</v>
      </c>
      <c r="AJ1" s="34" t="s">
        <v>63</v>
      </c>
      <c r="AK1" s="34" t="s">
        <v>64</v>
      </c>
      <c r="AL1" s="34" t="s">
        <v>65</v>
      </c>
    </row>
    <row r="2" s="1" customFormat="1" customHeight="1" spans="1:38">
      <c r="A2" s="5" t="s">
        <v>95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39</v>
      </c>
      <c r="H2" s="9" t="s">
        <v>26</v>
      </c>
      <c r="I2" s="24" t="s">
        <v>27</v>
      </c>
      <c r="J2" s="6" t="s">
        <v>68</v>
      </c>
      <c r="K2" s="9">
        <v>200</v>
      </c>
      <c r="L2" s="14">
        <v>2400000</v>
      </c>
      <c r="M2" s="6">
        <v>0</v>
      </c>
      <c r="N2" s="6">
        <v>0</v>
      </c>
      <c r="O2" s="15" t="s">
        <v>69</v>
      </c>
      <c r="P2" s="6">
        <v>0</v>
      </c>
      <c r="Q2" s="14">
        <v>2400000</v>
      </c>
      <c r="R2" s="14"/>
      <c r="S2" s="14">
        <v>1</v>
      </c>
      <c r="T2" s="14">
        <v>1000000</v>
      </c>
      <c r="U2" s="14">
        <v>600000</v>
      </c>
      <c r="V2" s="14">
        <v>0</v>
      </c>
      <c r="W2" s="14">
        <v>0</v>
      </c>
      <c r="X2" s="14">
        <v>1000000</v>
      </c>
      <c r="Y2" s="14">
        <v>600000</v>
      </c>
      <c r="Z2" s="14">
        <v>1600000</v>
      </c>
      <c r="AA2" s="14">
        <v>0</v>
      </c>
      <c r="AB2" s="14">
        <v>4</v>
      </c>
      <c r="AC2" s="14">
        <v>800000</v>
      </c>
      <c r="AD2" s="14">
        <v>1600000</v>
      </c>
      <c r="AE2" s="14">
        <v>600000</v>
      </c>
      <c r="AF2" s="14">
        <v>0</v>
      </c>
      <c r="AG2" s="14">
        <v>200000</v>
      </c>
      <c r="AH2" s="14">
        <v>0</v>
      </c>
      <c r="AI2" s="14">
        <v>0</v>
      </c>
      <c r="AJ2" s="14">
        <v>0</v>
      </c>
      <c r="AK2" s="14">
        <v>0</v>
      </c>
      <c r="AL2" s="14">
        <f>AD2+AE2+AF2+AG2+AH2+AI2+AJ2+AK2</f>
        <v>2400000</v>
      </c>
    </row>
    <row r="3" s="1" customFormat="1" customHeight="1" spans="1:38">
      <c r="A3" s="5" t="s">
        <v>97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39</v>
      </c>
      <c r="H3" s="9" t="s">
        <v>26</v>
      </c>
      <c r="I3" s="24" t="s">
        <v>27</v>
      </c>
      <c r="J3" s="6" t="s">
        <v>68</v>
      </c>
      <c r="K3" s="9">
        <v>200</v>
      </c>
      <c r="L3" s="14">
        <v>2400000</v>
      </c>
      <c r="M3" s="6">
        <v>2000000</v>
      </c>
      <c r="N3" s="6">
        <v>2000000</v>
      </c>
      <c r="O3" s="15" t="s">
        <v>69</v>
      </c>
      <c r="P3" s="6">
        <v>0</v>
      </c>
      <c r="Q3" s="14">
        <v>400000</v>
      </c>
      <c r="R3" s="14"/>
      <c r="S3" s="14">
        <v>1</v>
      </c>
      <c r="T3" s="14">
        <v>1000000</v>
      </c>
      <c r="U3" s="14">
        <v>600000</v>
      </c>
      <c r="V3" s="14">
        <v>0</v>
      </c>
      <c r="W3" s="14">
        <v>0</v>
      </c>
      <c r="X3" s="14">
        <v>1000000</v>
      </c>
      <c r="Y3" s="14">
        <v>600000</v>
      </c>
      <c r="Z3" s="14">
        <v>1600000</v>
      </c>
      <c r="AA3" s="14">
        <v>0</v>
      </c>
      <c r="AB3" s="14">
        <v>4</v>
      </c>
      <c r="AC3" s="14">
        <v>800000</v>
      </c>
      <c r="AD3" s="14">
        <v>1600000</v>
      </c>
      <c r="AE3" s="14">
        <v>600000</v>
      </c>
      <c r="AF3" s="14">
        <v>0</v>
      </c>
      <c r="AG3" s="14">
        <v>200000</v>
      </c>
      <c r="AH3" s="14">
        <v>0</v>
      </c>
      <c r="AI3" s="14">
        <v>0</v>
      </c>
      <c r="AJ3" s="14">
        <v>0</v>
      </c>
      <c r="AK3" s="14">
        <v>0</v>
      </c>
      <c r="AL3" s="14">
        <f>AD3+AE3+AF3+AG3+AH3+AI3+AJ3+AK3</f>
        <v>2400000</v>
      </c>
    </row>
    <row r="4" s="1" customFormat="1" customHeight="1" spans="1:38">
      <c r="A4" s="5" t="s">
        <v>99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39</v>
      </c>
      <c r="H4" s="9" t="s">
        <v>26</v>
      </c>
      <c r="I4" s="24" t="s">
        <v>27</v>
      </c>
      <c r="J4" s="6" t="s">
        <v>68</v>
      </c>
      <c r="K4" s="9">
        <v>200</v>
      </c>
      <c r="L4" s="14">
        <v>2100000</v>
      </c>
      <c r="M4" s="6">
        <v>0</v>
      </c>
      <c r="N4" s="6">
        <v>0</v>
      </c>
      <c r="O4" s="15" t="s">
        <v>69</v>
      </c>
      <c r="P4" s="6">
        <v>0</v>
      </c>
      <c r="Q4" s="14">
        <v>2100000</v>
      </c>
      <c r="R4" s="14"/>
      <c r="S4" s="14">
        <v>1</v>
      </c>
      <c r="T4" s="14">
        <v>1000000</v>
      </c>
      <c r="U4" s="14">
        <v>600000</v>
      </c>
      <c r="V4" s="14">
        <v>0</v>
      </c>
      <c r="W4" s="14">
        <v>0</v>
      </c>
      <c r="X4" s="14">
        <v>1000000</v>
      </c>
      <c r="Y4" s="14">
        <v>600000</v>
      </c>
      <c r="Z4" s="14">
        <v>1600000</v>
      </c>
      <c r="AA4" s="14">
        <v>0</v>
      </c>
      <c r="AB4" s="14">
        <v>2</v>
      </c>
      <c r="AC4" s="14">
        <v>500000</v>
      </c>
      <c r="AD4" s="14">
        <v>1600000</v>
      </c>
      <c r="AE4" s="14">
        <v>400000</v>
      </c>
      <c r="AF4" s="14">
        <v>0</v>
      </c>
      <c r="AG4" s="14">
        <v>100000</v>
      </c>
      <c r="AH4" s="14">
        <v>0</v>
      </c>
      <c r="AI4" s="14">
        <v>0</v>
      </c>
      <c r="AJ4" s="14">
        <v>0</v>
      </c>
      <c r="AK4" s="14">
        <v>0</v>
      </c>
      <c r="AL4" s="14">
        <v>2100000</v>
      </c>
    </row>
    <row r="5" s="1" customFormat="1" customHeight="1" spans="1:38">
      <c r="A5" s="5" t="s">
        <v>103</v>
      </c>
      <c r="B5" s="6" t="s">
        <v>104</v>
      </c>
      <c r="C5" s="26" t="s">
        <v>22</v>
      </c>
      <c r="D5" s="6"/>
      <c r="E5" s="14" t="s">
        <v>23</v>
      </c>
      <c r="F5" s="14" t="s">
        <v>24</v>
      </c>
      <c r="G5" s="9" t="s">
        <v>39</v>
      </c>
      <c r="H5" s="9" t="s">
        <v>26</v>
      </c>
      <c r="I5" s="24" t="s">
        <v>27</v>
      </c>
      <c r="J5" s="6" t="s">
        <v>105</v>
      </c>
      <c r="K5" s="9">
        <v>200</v>
      </c>
      <c r="L5" s="6">
        <v>2000000</v>
      </c>
      <c r="M5" s="6">
        <v>2000000</v>
      </c>
      <c r="N5" s="6">
        <v>2000000</v>
      </c>
      <c r="O5" s="15" t="s">
        <v>69</v>
      </c>
      <c r="P5" s="6">
        <v>0</v>
      </c>
      <c r="Q5" s="14"/>
      <c r="R5" s="14" t="s">
        <v>80</v>
      </c>
      <c r="S5" s="14">
        <v>1</v>
      </c>
      <c r="T5" s="14">
        <v>1000000</v>
      </c>
      <c r="U5" s="14">
        <v>600000</v>
      </c>
      <c r="V5" s="14">
        <v>0</v>
      </c>
      <c r="W5" s="14">
        <v>0</v>
      </c>
      <c r="X5" s="14">
        <v>1000000</v>
      </c>
      <c r="Y5" s="14">
        <v>600000</v>
      </c>
      <c r="Z5" s="14">
        <v>1600000</v>
      </c>
      <c r="AA5" s="14">
        <v>0</v>
      </c>
      <c r="AB5" s="14">
        <v>1</v>
      </c>
      <c r="AC5" s="14">
        <v>400000</v>
      </c>
      <c r="AD5" s="14">
        <v>1600000</v>
      </c>
      <c r="AE5" s="14">
        <v>400000</v>
      </c>
      <c r="AF5" s="14">
        <v>0</v>
      </c>
      <c r="AG5" s="14">
        <v>0</v>
      </c>
      <c r="AH5" s="14">
        <v>0</v>
      </c>
      <c r="AI5" s="14">
        <v>0</v>
      </c>
      <c r="AJ5" s="14">
        <v>0</v>
      </c>
      <c r="AK5" s="14">
        <v>0</v>
      </c>
      <c r="AL5" s="14">
        <v>2000000</v>
      </c>
    </row>
    <row r="6" s="1" customFormat="1" customHeight="1" spans="9:15">
      <c r="I6" s="16"/>
      <c r="O6" s="16"/>
    </row>
    <row r="10" customHeight="1" spans="12:12">
      <c r="L10" s="36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3" width="32.4285714285714" style="1" customWidth="1"/>
    <col min="24" max="16384" width="9.14285714285714" style="1"/>
  </cols>
  <sheetData>
    <row r="1" s="1" customFormat="1" ht="47" customHeight="1" spans="1:23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110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2" t="s">
        <v>55</v>
      </c>
      <c r="W1" s="34" t="s">
        <v>19</v>
      </c>
    </row>
    <row r="2" s="1" customFormat="1" customHeight="1" spans="1:23">
      <c r="A2" s="5" t="s">
        <v>111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25</v>
      </c>
      <c r="H2" s="9" t="s">
        <v>26</v>
      </c>
      <c r="I2" s="24" t="s">
        <v>69</v>
      </c>
      <c r="J2" s="6" t="s">
        <v>112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/>
      <c r="W2" s="14">
        <v>4</v>
      </c>
    </row>
    <row r="3" s="1" customFormat="1" customHeight="1" spans="1:23">
      <c r="A3" s="5" t="s">
        <v>113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25</v>
      </c>
      <c r="H3" s="9" t="s">
        <v>26</v>
      </c>
      <c r="I3" s="24" t="s">
        <v>69</v>
      </c>
      <c r="J3" s="6" t="s">
        <v>112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/>
      <c r="W3" s="14">
        <v>4</v>
      </c>
    </row>
    <row r="4" s="1" customFormat="1" customHeight="1" spans="1:23">
      <c r="A4" s="5" t="s">
        <v>114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25</v>
      </c>
      <c r="H4" s="9" t="s">
        <v>26</v>
      </c>
      <c r="I4" s="24" t="s">
        <v>69</v>
      </c>
      <c r="J4" s="6" t="s">
        <v>112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/>
      <c r="W4" s="14">
        <v>2</v>
      </c>
    </row>
    <row r="5" s="1" customFormat="1" customHeight="1" spans="1:23">
      <c r="A5" s="5" t="s">
        <v>101</v>
      </c>
      <c r="B5" s="6" t="s">
        <v>102</v>
      </c>
      <c r="C5" s="26" t="s">
        <v>22</v>
      </c>
      <c r="D5" s="6"/>
      <c r="E5" s="14" t="s">
        <v>23</v>
      </c>
      <c r="F5" s="14" t="s">
        <v>24</v>
      </c>
      <c r="G5" s="9" t="s">
        <v>25</v>
      </c>
      <c r="H5" s="9" t="s">
        <v>26</v>
      </c>
      <c r="I5" s="24" t="s">
        <v>69</v>
      </c>
      <c r="J5" s="6" t="s">
        <v>112</v>
      </c>
      <c r="K5" s="9">
        <v>200</v>
      </c>
      <c r="L5" s="6">
        <v>0</v>
      </c>
      <c r="M5" s="15" t="s">
        <v>69</v>
      </c>
      <c r="N5" s="6">
        <v>0</v>
      </c>
      <c r="O5" s="14">
        <v>4200000</v>
      </c>
      <c r="P5" s="14"/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  <c r="W5" s="14">
        <v>4</v>
      </c>
    </row>
    <row r="6" s="1" customFormat="1" customHeight="1" spans="1:23">
      <c r="A6" s="5" t="s">
        <v>115</v>
      </c>
      <c r="B6" s="6" t="s">
        <v>104</v>
      </c>
      <c r="C6" s="26" t="s">
        <v>22</v>
      </c>
      <c r="D6" s="6"/>
      <c r="E6" s="14" t="s">
        <v>23</v>
      </c>
      <c r="F6" s="14" t="s">
        <v>24</v>
      </c>
      <c r="G6" s="9" t="s">
        <v>25</v>
      </c>
      <c r="H6" s="9" t="s">
        <v>26</v>
      </c>
      <c r="I6" s="24" t="s">
        <v>69</v>
      </c>
      <c r="J6" s="6" t="s">
        <v>116</v>
      </c>
      <c r="K6" s="9">
        <v>200</v>
      </c>
      <c r="L6" s="6">
        <v>2000000</v>
      </c>
      <c r="M6" s="15" t="s">
        <v>69</v>
      </c>
      <c r="N6" s="6">
        <v>0</v>
      </c>
      <c r="O6" s="14"/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/>
      <c r="W6" s="14">
        <v>1</v>
      </c>
    </row>
    <row r="7" s="1" customFormat="1" customHeight="1" spans="9:13">
      <c r="I7" s="16"/>
      <c r="J7" s="1"/>
      <c r="K7" s="1"/>
      <c r="L7" s="1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1"/>
  <sheetViews>
    <sheetView zoomScale="85" zoomScaleNormal="85" workbookViewId="0">
      <selection activeCell="D6" sqref="D6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110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111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37</v>
      </c>
      <c r="H2" s="9" t="s">
        <v>26</v>
      </c>
      <c r="I2" s="24" t="s">
        <v>69</v>
      </c>
      <c r="J2" s="6" t="s">
        <v>112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113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37</v>
      </c>
      <c r="H3" s="9" t="s">
        <v>26</v>
      </c>
      <c r="I3" s="24" t="s">
        <v>69</v>
      </c>
      <c r="J3" s="6" t="s">
        <v>112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114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37</v>
      </c>
      <c r="H4" s="9" t="s">
        <v>26</v>
      </c>
      <c r="I4" s="24" t="s">
        <v>69</v>
      </c>
      <c r="J4" s="6" t="s">
        <v>112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109</v>
      </c>
      <c r="B5" s="6" t="s">
        <v>100</v>
      </c>
      <c r="C5" s="26" t="s">
        <v>22</v>
      </c>
      <c r="D5" s="6"/>
      <c r="E5" s="14" t="s">
        <v>23</v>
      </c>
      <c r="F5" s="14" t="s">
        <v>24</v>
      </c>
      <c r="G5" s="9" t="s">
        <v>37</v>
      </c>
      <c r="H5" s="9" t="s">
        <v>26</v>
      </c>
      <c r="I5" s="24" t="s">
        <v>69</v>
      </c>
      <c r="J5" s="6" t="s">
        <v>116</v>
      </c>
      <c r="K5" s="9">
        <v>200</v>
      </c>
      <c r="L5" s="6">
        <v>0</v>
      </c>
      <c r="M5" s="15" t="s">
        <v>69</v>
      </c>
      <c r="N5" s="6">
        <v>0</v>
      </c>
      <c r="O5" s="14">
        <v>0</v>
      </c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2</v>
      </c>
    </row>
    <row r="6" s="1" customFormat="1" customHeight="1" spans="1:22">
      <c r="A6" s="5" t="s">
        <v>115</v>
      </c>
      <c r="B6" s="6" t="s">
        <v>104</v>
      </c>
      <c r="C6" s="26" t="s">
        <v>22</v>
      </c>
      <c r="D6" s="6"/>
      <c r="E6" s="14" t="s">
        <v>23</v>
      </c>
      <c r="F6" s="14" t="s">
        <v>24</v>
      </c>
      <c r="G6" s="9" t="s">
        <v>37</v>
      </c>
      <c r="H6" s="9" t="s">
        <v>26</v>
      </c>
      <c r="I6" s="24" t="s">
        <v>69</v>
      </c>
      <c r="J6" s="6" t="s">
        <v>116</v>
      </c>
      <c r="K6" s="9">
        <v>200</v>
      </c>
      <c r="L6" s="6">
        <v>2000000</v>
      </c>
      <c r="M6" s="15" t="s">
        <v>69</v>
      </c>
      <c r="N6" s="6">
        <v>0</v>
      </c>
      <c r="O6" s="14">
        <v>0</v>
      </c>
      <c r="P6" s="14" t="s">
        <v>80</v>
      </c>
      <c r="Q6" s="14">
        <v>1</v>
      </c>
      <c r="R6" s="14">
        <v>1000000</v>
      </c>
      <c r="S6" s="14">
        <v>600000</v>
      </c>
      <c r="T6" s="14">
        <v>0</v>
      </c>
      <c r="U6" s="14">
        <v>0</v>
      </c>
      <c r="V6" s="14">
        <v>1</v>
      </c>
    </row>
    <row r="7" s="1" customFormat="1" customHeight="1" spans="9:13">
      <c r="I7" s="16"/>
      <c r="M7" s="16"/>
    </row>
    <row r="11" s="1" customFormat="1" customHeight="1" spans="9:13">
      <c r="I11" s="16"/>
      <c r="M11" s="16"/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D5" sqref="D5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110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111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38</v>
      </c>
      <c r="H2" s="9" t="s">
        <v>26</v>
      </c>
      <c r="I2" s="24" t="s">
        <v>69</v>
      </c>
      <c r="J2" s="6" t="s">
        <v>112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113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38</v>
      </c>
      <c r="H3" s="9" t="s">
        <v>26</v>
      </c>
      <c r="I3" s="24" t="s">
        <v>69</v>
      </c>
      <c r="J3" s="6" t="s">
        <v>112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114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38</v>
      </c>
      <c r="H4" s="9" t="s">
        <v>26</v>
      </c>
      <c r="I4" s="24" t="s">
        <v>69</v>
      </c>
      <c r="J4" s="6" t="s">
        <v>112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115</v>
      </c>
      <c r="B5" s="6" t="s">
        <v>104</v>
      </c>
      <c r="C5" s="26" t="s">
        <v>22</v>
      </c>
      <c r="D5" s="6"/>
      <c r="E5" s="14" t="s">
        <v>23</v>
      </c>
      <c r="F5" s="14" t="s">
        <v>24</v>
      </c>
      <c r="G5" s="9" t="s">
        <v>38</v>
      </c>
      <c r="H5" s="9" t="s">
        <v>26</v>
      </c>
      <c r="I5" s="24" t="s">
        <v>69</v>
      </c>
      <c r="J5" s="6" t="s">
        <v>116</v>
      </c>
      <c r="K5" s="9">
        <v>200</v>
      </c>
      <c r="L5" s="6">
        <v>2000000</v>
      </c>
      <c r="M5" s="15" t="s">
        <v>69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10"/>
  <sheetViews>
    <sheetView zoomScale="85" zoomScaleNormal="85" workbookViewId="0">
      <selection activeCell="J9" sqref="J9"/>
    </sheetView>
  </sheetViews>
  <sheetFormatPr defaultColWidth="9.14285714285714" defaultRowHeight="30" customHeight="1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1" style="1" customWidth="1"/>
    <col min="6" max="6" width="22.4285714285714" style="1" customWidth="1"/>
    <col min="7" max="7" width="17.3047619047619" style="1" customWidth="1"/>
    <col min="8" max="8" width="16.7142857142857" style="1" customWidth="1"/>
    <col min="9" max="9" width="31.9238095238095" style="16" customWidth="1"/>
    <col min="10" max="10" width="31.4285714285714" style="1" customWidth="1"/>
    <col min="11" max="11" width="15.2857142857143" style="1" customWidth="1"/>
    <col min="12" max="12" width="23.6857142857143" style="1" customWidth="1"/>
    <col min="13" max="13" width="29.2380952380952" style="16" customWidth="1"/>
    <col min="14" max="15" width="29.2380952380952" style="1" customWidth="1"/>
    <col min="16" max="18" width="24.8666666666667" style="1" customWidth="1"/>
    <col min="19" max="19" width="25.7047619047619" style="1" customWidth="1"/>
    <col min="20" max="20" width="41.8380952380952" style="1" customWidth="1"/>
    <col min="21" max="21" width="42.6857142857143" style="1" customWidth="1"/>
    <col min="22" max="22" width="32.4285714285714" style="1" customWidth="1"/>
    <col min="23" max="16384" width="9.14285714285714" style="1"/>
  </cols>
  <sheetData>
    <row r="1" s="1" customFormat="1" ht="47" customHeight="1" spans="1:22">
      <c r="A1" s="2" t="s">
        <v>0</v>
      </c>
      <c r="B1" s="2" t="s">
        <v>1</v>
      </c>
      <c r="C1" s="2" t="s">
        <v>2</v>
      </c>
      <c r="D1" s="2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31" t="s">
        <v>110</v>
      </c>
      <c r="J1" s="27" t="s">
        <v>9</v>
      </c>
      <c r="K1" s="11" t="s">
        <v>10</v>
      </c>
      <c r="L1" s="32" t="s">
        <v>41</v>
      </c>
      <c r="M1" s="33" t="s">
        <v>43</v>
      </c>
      <c r="N1" s="32" t="s">
        <v>44</v>
      </c>
      <c r="O1" s="34" t="s">
        <v>45</v>
      </c>
      <c r="P1" s="34" t="s">
        <v>46</v>
      </c>
      <c r="Q1" s="35" t="s">
        <v>18</v>
      </c>
      <c r="R1" s="35" t="s">
        <v>47</v>
      </c>
      <c r="S1" s="35" t="s">
        <v>48</v>
      </c>
      <c r="T1" s="35" t="s">
        <v>49</v>
      </c>
      <c r="U1" s="35" t="s">
        <v>50</v>
      </c>
      <c r="V1" s="34" t="s">
        <v>19</v>
      </c>
    </row>
    <row r="2" s="1" customFormat="1" customHeight="1" spans="1:22">
      <c r="A2" s="5" t="s">
        <v>111</v>
      </c>
      <c r="B2" s="6" t="s">
        <v>96</v>
      </c>
      <c r="C2" s="26" t="s">
        <v>22</v>
      </c>
      <c r="D2" s="6"/>
      <c r="E2" s="14" t="s">
        <v>23</v>
      </c>
      <c r="F2" s="14" t="s">
        <v>24</v>
      </c>
      <c r="G2" s="9" t="s">
        <v>117</v>
      </c>
      <c r="H2" s="9" t="s">
        <v>26</v>
      </c>
      <c r="I2" s="24" t="s">
        <v>69</v>
      </c>
      <c r="J2" s="6" t="s">
        <v>112</v>
      </c>
      <c r="K2" s="9">
        <v>200</v>
      </c>
      <c r="L2" s="6">
        <v>0</v>
      </c>
      <c r="M2" s="15" t="s">
        <v>69</v>
      </c>
      <c r="N2" s="6">
        <v>0</v>
      </c>
      <c r="O2" s="14">
        <v>2400000</v>
      </c>
      <c r="P2" s="14"/>
      <c r="Q2" s="14">
        <v>1</v>
      </c>
      <c r="R2" s="14">
        <v>1000000</v>
      </c>
      <c r="S2" s="14">
        <v>600000</v>
      </c>
      <c r="T2" s="14">
        <v>0</v>
      </c>
      <c r="U2" s="14">
        <v>0</v>
      </c>
      <c r="V2" s="14">
        <v>4</v>
      </c>
    </row>
    <row r="3" s="1" customFormat="1" customHeight="1" spans="1:22">
      <c r="A3" s="5" t="s">
        <v>113</v>
      </c>
      <c r="B3" s="6" t="s">
        <v>98</v>
      </c>
      <c r="C3" s="26" t="s">
        <v>22</v>
      </c>
      <c r="D3" s="6"/>
      <c r="E3" s="14" t="s">
        <v>23</v>
      </c>
      <c r="F3" s="14" t="s">
        <v>24</v>
      </c>
      <c r="G3" s="9" t="s">
        <v>117</v>
      </c>
      <c r="H3" s="9" t="s">
        <v>26</v>
      </c>
      <c r="I3" s="24" t="s">
        <v>69</v>
      </c>
      <c r="J3" s="6" t="s">
        <v>112</v>
      </c>
      <c r="K3" s="9">
        <v>200</v>
      </c>
      <c r="L3" s="6">
        <v>2000000</v>
      </c>
      <c r="M3" s="15" t="s">
        <v>69</v>
      </c>
      <c r="N3" s="6">
        <v>0</v>
      </c>
      <c r="O3" s="14">
        <v>400000</v>
      </c>
      <c r="P3" s="14"/>
      <c r="Q3" s="14">
        <v>1</v>
      </c>
      <c r="R3" s="14">
        <v>1000000</v>
      </c>
      <c r="S3" s="14">
        <v>600000</v>
      </c>
      <c r="T3" s="14">
        <v>0</v>
      </c>
      <c r="U3" s="14">
        <v>0</v>
      </c>
      <c r="V3" s="14">
        <v>4</v>
      </c>
    </row>
    <row r="4" s="1" customFormat="1" customHeight="1" spans="1:22">
      <c r="A4" s="5" t="s">
        <v>114</v>
      </c>
      <c r="B4" s="6" t="s">
        <v>100</v>
      </c>
      <c r="C4" s="26" t="s">
        <v>22</v>
      </c>
      <c r="D4" s="6"/>
      <c r="E4" s="14" t="s">
        <v>23</v>
      </c>
      <c r="F4" s="14" t="s">
        <v>24</v>
      </c>
      <c r="G4" s="9" t="s">
        <v>117</v>
      </c>
      <c r="H4" s="9" t="s">
        <v>26</v>
      </c>
      <c r="I4" s="24" t="s">
        <v>69</v>
      </c>
      <c r="J4" s="6" t="s">
        <v>112</v>
      </c>
      <c r="K4" s="9">
        <v>200</v>
      </c>
      <c r="L4" s="6">
        <v>0</v>
      </c>
      <c r="M4" s="15" t="s">
        <v>69</v>
      </c>
      <c r="N4" s="6">
        <v>0</v>
      </c>
      <c r="O4" s="14">
        <v>2100000</v>
      </c>
      <c r="P4" s="14"/>
      <c r="Q4" s="14">
        <v>1</v>
      </c>
      <c r="R4" s="14">
        <v>1000000</v>
      </c>
      <c r="S4" s="14">
        <v>600000</v>
      </c>
      <c r="T4" s="14">
        <v>0</v>
      </c>
      <c r="U4" s="14">
        <v>0</v>
      </c>
      <c r="V4" s="14">
        <v>2</v>
      </c>
    </row>
    <row r="5" s="1" customFormat="1" customHeight="1" spans="1:22">
      <c r="A5" s="5" t="s">
        <v>115</v>
      </c>
      <c r="B5" s="6" t="s">
        <v>104</v>
      </c>
      <c r="C5" s="26" t="s">
        <v>22</v>
      </c>
      <c r="D5" s="6"/>
      <c r="E5" s="14" t="s">
        <v>23</v>
      </c>
      <c r="F5" s="14" t="s">
        <v>24</v>
      </c>
      <c r="G5" s="9" t="s">
        <v>117</v>
      </c>
      <c r="H5" s="9" t="s">
        <v>26</v>
      </c>
      <c r="I5" s="24" t="s">
        <v>69</v>
      </c>
      <c r="J5" s="6" t="s">
        <v>116</v>
      </c>
      <c r="K5" s="9">
        <v>200</v>
      </c>
      <c r="L5" s="6">
        <v>2000000</v>
      </c>
      <c r="M5" s="15" t="s">
        <v>69</v>
      </c>
      <c r="N5" s="6">
        <v>0</v>
      </c>
      <c r="O5" s="14"/>
      <c r="P5" s="14" t="s">
        <v>80</v>
      </c>
      <c r="Q5" s="14">
        <v>1</v>
      </c>
      <c r="R5" s="14">
        <v>1000000</v>
      </c>
      <c r="S5" s="14">
        <v>600000</v>
      </c>
      <c r="T5" s="14">
        <v>0</v>
      </c>
      <c r="U5" s="14">
        <v>0</v>
      </c>
      <c r="V5" s="14">
        <v>1</v>
      </c>
    </row>
    <row r="6" s="1" customFormat="1" customHeight="1" spans="9:13">
      <c r="I6" s="16"/>
      <c r="M6" s="16"/>
    </row>
    <row r="10" s="1" customFormat="1" customHeight="1" spans="9:13">
      <c r="I10" s="16"/>
      <c r="M10" s="16"/>
    </row>
  </sheetData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4"/>
  <sheetViews>
    <sheetView zoomScale="85" zoomScaleNormal="85" workbookViewId="0">
      <selection activeCell="E6" sqref="E6"/>
    </sheetView>
  </sheetViews>
  <sheetFormatPr defaultColWidth="9.14285714285714" defaultRowHeight="30" customHeight="1" outlineLevelRow="3"/>
  <cols>
    <col min="1" max="1" width="19.8571428571429" style="1" customWidth="1"/>
    <col min="2" max="2" width="31.9333333333333" style="1" customWidth="1"/>
    <col min="3" max="3" width="14.7904761904762" style="1" customWidth="1"/>
    <col min="4" max="4" width="30" style="1" customWidth="1"/>
    <col min="5" max="5" width="24.2" style="1" customWidth="1"/>
    <col min="6" max="6" width="25.8857142857143" style="1" customWidth="1"/>
    <col min="7" max="7" width="16.9714285714286" style="1" customWidth="1"/>
    <col min="8" max="8" width="24.0380952380952" style="1" customWidth="1"/>
    <col min="9" max="9" width="17.8380952380952" style="1" customWidth="1"/>
    <col min="10" max="10" width="24.5333333333333" style="1" customWidth="1"/>
    <col min="11" max="11" width="24.0285714285714" style="1" customWidth="1"/>
    <col min="12" max="12" width="31.4285714285714" style="1" customWidth="1"/>
    <col min="13" max="13" width="15.2857142857143" style="1" customWidth="1"/>
    <col min="14" max="14" width="20.3238095238095" style="1" customWidth="1"/>
    <col min="15" max="16384" width="9.14285714285714" style="1"/>
  </cols>
  <sheetData>
    <row r="1" s="1" customFormat="1" ht="47" customHeight="1" spans="1:14">
      <c r="A1" s="2" t="s">
        <v>0</v>
      </c>
      <c r="B1" s="2" t="s">
        <v>1</v>
      </c>
      <c r="C1" s="2" t="s">
        <v>2</v>
      </c>
      <c r="D1" s="2" t="s">
        <v>3</v>
      </c>
      <c r="E1" s="4" t="s">
        <v>118</v>
      </c>
      <c r="F1" s="4" t="s">
        <v>119</v>
      </c>
      <c r="G1" s="4" t="s">
        <v>120</v>
      </c>
      <c r="H1" s="4" t="s">
        <v>121</v>
      </c>
      <c r="I1" s="4" t="s">
        <v>122</v>
      </c>
      <c r="J1" s="4" t="s">
        <v>123</v>
      </c>
      <c r="K1" s="4" t="s">
        <v>124</v>
      </c>
      <c r="L1" s="27" t="s">
        <v>9</v>
      </c>
      <c r="M1" s="11" t="s">
        <v>10</v>
      </c>
      <c r="N1" s="11" t="s">
        <v>125</v>
      </c>
    </row>
    <row r="2" s="29" customFormat="1" ht="166" customHeight="1" spans="1:14">
      <c r="A2" s="6" t="s">
        <v>126</v>
      </c>
      <c r="B2" s="6" t="s">
        <v>127</v>
      </c>
      <c r="C2" s="30" t="s">
        <v>22</v>
      </c>
      <c r="D2" s="6" t="s">
        <v>128</v>
      </c>
      <c r="E2" s="14" t="s">
        <v>129</v>
      </c>
      <c r="F2" s="14" t="s">
        <v>130</v>
      </c>
      <c r="G2" s="14" t="s">
        <v>131</v>
      </c>
      <c r="H2" s="14"/>
      <c r="I2" s="14"/>
      <c r="J2" s="14"/>
      <c r="K2" s="14"/>
      <c r="L2" s="6" t="s">
        <v>132</v>
      </c>
      <c r="M2" s="14">
        <v>200</v>
      </c>
      <c r="N2" s="14">
        <v>1</v>
      </c>
    </row>
    <row r="3" s="29" customFormat="1" ht="166" customHeight="1" spans="1:14">
      <c r="A3" s="6" t="s">
        <v>133</v>
      </c>
      <c r="B3" s="6" t="s">
        <v>134</v>
      </c>
      <c r="C3" s="30" t="s">
        <v>22</v>
      </c>
      <c r="D3" s="6" t="s">
        <v>135</v>
      </c>
      <c r="E3" s="14" t="s">
        <v>129</v>
      </c>
      <c r="F3" s="14" t="s">
        <v>130</v>
      </c>
      <c r="G3" s="14" t="s">
        <v>131</v>
      </c>
      <c r="H3" s="14" t="s">
        <v>136</v>
      </c>
      <c r="I3" s="14" t="s">
        <v>131</v>
      </c>
      <c r="J3" s="14"/>
      <c r="K3" s="14"/>
      <c r="L3" s="6" t="s">
        <v>132</v>
      </c>
      <c r="M3" s="14">
        <v>200</v>
      </c>
      <c r="N3" s="14">
        <v>2</v>
      </c>
    </row>
    <row r="4" s="29" customFormat="1" ht="166" customHeight="1" spans="1:14">
      <c r="A4" s="6" t="s">
        <v>137</v>
      </c>
      <c r="B4" s="6" t="s">
        <v>138</v>
      </c>
      <c r="C4" s="30" t="s">
        <v>22</v>
      </c>
      <c r="D4" s="6" t="s">
        <v>139</v>
      </c>
      <c r="E4" s="14" t="s">
        <v>129</v>
      </c>
      <c r="F4" s="14" t="s">
        <v>130</v>
      </c>
      <c r="G4" s="14" t="s">
        <v>131</v>
      </c>
      <c r="H4" s="14" t="s">
        <v>136</v>
      </c>
      <c r="I4" s="14" t="s">
        <v>131</v>
      </c>
      <c r="J4" s="14" t="s">
        <v>140</v>
      </c>
      <c r="K4" s="14" t="s">
        <v>131</v>
      </c>
      <c r="L4" s="6" t="s">
        <v>132</v>
      </c>
      <c r="M4" s="14">
        <v>200</v>
      </c>
      <c r="N4" s="14">
        <v>3</v>
      </c>
    </row>
  </sheetData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"/>
  <sheetViews>
    <sheetView workbookViewId="0">
      <selection activeCell="G11" sqref="G11"/>
    </sheetView>
  </sheetViews>
  <sheetFormatPr defaultColWidth="9.14285714285714" defaultRowHeight="30" customHeight="1" outlineLevelRow="1"/>
  <cols>
    <col min="1" max="1" width="13.7142857142857" style="1" customWidth="1"/>
    <col min="2" max="2" width="24" style="1" customWidth="1"/>
    <col min="3" max="3" width="20" style="1" customWidth="1"/>
    <col min="4" max="4" width="30" style="1" customWidth="1"/>
    <col min="5" max="5" width="22.4285714285714" style="1" customWidth="1"/>
    <col min="6" max="6" width="21.7142857142857" style="1" customWidth="1"/>
    <col min="7" max="7" width="26" style="1" customWidth="1"/>
    <col min="8" max="14" width="31.4285714285714" style="1" customWidth="1"/>
    <col min="15" max="15" width="15.2857142857143" style="1" customWidth="1"/>
    <col min="16" max="16" width="16.2857142857143" style="16" customWidth="1"/>
    <col min="17" max="17" width="20.5714285714286" style="16" customWidth="1"/>
    <col min="18" max="18" width="17.7142857142857" style="1" customWidth="1"/>
    <col min="19" max="19" width="17.4285714285714" style="1" customWidth="1"/>
    <col min="20" max="16384" width="9.14285714285714" style="1"/>
  </cols>
  <sheetData>
    <row r="1" s="1" customFormat="1" ht="47" customHeight="1" spans="1:19">
      <c r="A1" s="2" t="s">
        <v>0</v>
      </c>
      <c r="B1" s="2" t="s">
        <v>1</v>
      </c>
      <c r="C1" s="2" t="s">
        <v>2</v>
      </c>
      <c r="D1" s="2" t="s">
        <v>3</v>
      </c>
      <c r="E1" s="4" t="s">
        <v>141</v>
      </c>
      <c r="F1" s="4" t="s">
        <v>142</v>
      </c>
      <c r="G1" s="4" t="s">
        <v>143</v>
      </c>
      <c r="H1" s="4" t="s">
        <v>144</v>
      </c>
      <c r="I1" s="4" t="s">
        <v>145</v>
      </c>
      <c r="J1" s="4" t="s">
        <v>146</v>
      </c>
      <c r="K1" s="4" t="s">
        <v>147</v>
      </c>
      <c r="L1" s="4" t="s">
        <v>118</v>
      </c>
      <c r="M1" s="4" t="s">
        <v>148</v>
      </c>
      <c r="N1" s="27" t="s">
        <v>9</v>
      </c>
      <c r="O1" s="11" t="s">
        <v>10</v>
      </c>
      <c r="P1" s="12" t="s">
        <v>41</v>
      </c>
      <c r="Q1" s="12" t="s">
        <v>43</v>
      </c>
      <c r="R1" s="11" t="s">
        <v>149</v>
      </c>
      <c r="S1" s="11" t="s">
        <v>150</v>
      </c>
    </row>
    <row r="2" s="1" customFormat="1" customHeight="1" spans="1:19">
      <c r="A2" s="5" t="s">
        <v>151</v>
      </c>
      <c r="B2" s="6" t="s">
        <v>152</v>
      </c>
      <c r="C2" s="26" t="s">
        <v>22</v>
      </c>
      <c r="D2" s="6" t="s">
        <v>153</v>
      </c>
      <c r="E2" s="14" t="s">
        <v>23</v>
      </c>
      <c r="F2" s="14" t="s">
        <v>24</v>
      </c>
      <c r="G2" s="9" t="s">
        <v>154</v>
      </c>
      <c r="H2" s="17" t="s">
        <v>26</v>
      </c>
      <c r="I2" s="9" t="s">
        <v>155</v>
      </c>
      <c r="J2" s="9" t="s">
        <v>156</v>
      </c>
      <c r="K2" s="9" t="s">
        <v>157</v>
      </c>
      <c r="L2" s="14" t="s">
        <v>129</v>
      </c>
      <c r="M2" s="28" t="s">
        <v>158</v>
      </c>
      <c r="N2" s="6" t="s">
        <v>159</v>
      </c>
      <c r="O2" s="9">
        <v>200</v>
      </c>
      <c r="P2" s="24" t="s">
        <v>69</v>
      </c>
      <c r="Q2" s="24" t="s">
        <v>69</v>
      </c>
      <c r="R2" s="9">
        <v>3</v>
      </c>
      <c r="S2" s="9">
        <v>9</v>
      </c>
    </row>
  </sheetData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E10" sqref="E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160</v>
      </c>
      <c r="F1" s="22" t="s">
        <v>141</v>
      </c>
      <c r="G1" s="22" t="s">
        <v>142</v>
      </c>
      <c r="H1" s="22" t="s">
        <v>161</v>
      </c>
      <c r="I1" s="22" t="s">
        <v>162</v>
      </c>
      <c r="J1" s="22" t="s">
        <v>146</v>
      </c>
      <c r="K1" s="22" t="s">
        <v>145</v>
      </c>
      <c r="L1" s="22" t="s">
        <v>147</v>
      </c>
      <c r="M1" s="22" t="s">
        <v>163</v>
      </c>
      <c r="N1" s="22" t="s">
        <v>164</v>
      </c>
      <c r="O1" s="22" t="s">
        <v>165</v>
      </c>
      <c r="P1" s="23" t="s">
        <v>166</v>
      </c>
      <c r="Q1" s="22" t="s">
        <v>167</v>
      </c>
      <c r="R1" s="23" t="s">
        <v>168</v>
      </c>
      <c r="S1" s="19" t="s">
        <v>169</v>
      </c>
      <c r="T1" s="19" t="s">
        <v>170</v>
      </c>
      <c r="U1" s="19" t="s">
        <v>171</v>
      </c>
      <c r="V1" s="19" t="s">
        <v>172</v>
      </c>
      <c r="W1" s="19" t="s">
        <v>173</v>
      </c>
      <c r="X1" s="25" t="s">
        <v>174</v>
      </c>
      <c r="Y1" s="19" t="s">
        <v>175</v>
      </c>
      <c r="Z1" s="19" t="s">
        <v>176</v>
      </c>
      <c r="AA1" s="25" t="s">
        <v>177</v>
      </c>
      <c r="AB1" s="23" t="s">
        <v>178</v>
      </c>
      <c r="AC1" s="10" t="s">
        <v>9</v>
      </c>
      <c r="AD1" s="11" t="s">
        <v>10</v>
      </c>
      <c r="AE1" s="12" t="s">
        <v>41</v>
      </c>
      <c r="AF1" s="11" t="s">
        <v>149</v>
      </c>
    </row>
    <row r="2" s="1" customFormat="1" ht="69" customHeight="1" spans="1:32">
      <c r="A2" s="5" t="s">
        <v>179</v>
      </c>
      <c r="B2" s="6" t="s">
        <v>180</v>
      </c>
      <c r="C2" s="7" t="s">
        <v>22</v>
      </c>
      <c r="D2" s="8" t="s">
        <v>181</v>
      </c>
      <c r="E2" s="9" t="s">
        <v>182</v>
      </c>
      <c r="F2" s="5" t="s">
        <v>23</v>
      </c>
      <c r="G2" s="5" t="s">
        <v>24</v>
      </c>
      <c r="H2" s="9" t="s">
        <v>129</v>
      </c>
      <c r="I2" s="5" t="s">
        <v>183</v>
      </c>
      <c r="J2" s="5" t="s">
        <v>156</v>
      </c>
      <c r="K2" s="5" t="s">
        <v>155</v>
      </c>
      <c r="L2" s="5" t="s">
        <v>157</v>
      </c>
      <c r="M2" s="5" t="s">
        <v>184</v>
      </c>
      <c r="N2" s="5" t="s">
        <v>185</v>
      </c>
      <c r="O2" s="5" t="s">
        <v>186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187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188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189</v>
      </c>
      <c r="B3" s="6" t="s">
        <v>190</v>
      </c>
      <c r="C3" s="7" t="s">
        <v>22</v>
      </c>
      <c r="D3" s="8" t="s">
        <v>181</v>
      </c>
      <c r="E3" s="9" t="s">
        <v>182</v>
      </c>
      <c r="F3" s="5" t="s">
        <v>23</v>
      </c>
      <c r="G3" s="5" t="s">
        <v>24</v>
      </c>
      <c r="H3" s="9" t="s">
        <v>129</v>
      </c>
      <c r="I3" s="5" t="s">
        <v>183</v>
      </c>
      <c r="J3" s="5" t="s">
        <v>156</v>
      </c>
      <c r="K3" s="5" t="s">
        <v>155</v>
      </c>
      <c r="L3" s="5" t="s">
        <v>157</v>
      </c>
      <c r="M3" s="5" t="s">
        <v>184</v>
      </c>
      <c r="N3" s="5" t="s">
        <v>185</v>
      </c>
      <c r="O3" s="5" t="s">
        <v>186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187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188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191</v>
      </c>
      <c r="B4" s="6" t="s">
        <v>192</v>
      </c>
      <c r="C4" s="7" t="s">
        <v>22</v>
      </c>
      <c r="D4" s="8" t="s">
        <v>181</v>
      </c>
      <c r="E4" s="9" t="s">
        <v>182</v>
      </c>
      <c r="F4" s="5" t="s">
        <v>23</v>
      </c>
      <c r="G4" s="5" t="s">
        <v>24</v>
      </c>
      <c r="H4" s="9" t="s">
        <v>129</v>
      </c>
      <c r="I4" s="5" t="s">
        <v>183</v>
      </c>
      <c r="J4" s="5" t="s">
        <v>156</v>
      </c>
      <c r="K4" s="5" t="s">
        <v>155</v>
      </c>
      <c r="L4" s="5" t="s">
        <v>157</v>
      </c>
      <c r="M4" s="5" t="s">
        <v>184</v>
      </c>
      <c r="N4" s="5" t="s">
        <v>185</v>
      </c>
      <c r="O4" s="5" t="s">
        <v>186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187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188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193</v>
      </c>
      <c r="B5" s="6" t="s">
        <v>194</v>
      </c>
      <c r="C5" s="7" t="s">
        <v>22</v>
      </c>
      <c r="D5" s="8" t="s">
        <v>181</v>
      </c>
      <c r="E5" s="9" t="s">
        <v>182</v>
      </c>
      <c r="F5" s="5" t="s">
        <v>23</v>
      </c>
      <c r="G5" s="5" t="s">
        <v>24</v>
      </c>
      <c r="H5" s="9" t="s">
        <v>129</v>
      </c>
      <c r="I5" s="5" t="s">
        <v>183</v>
      </c>
      <c r="J5" s="5" t="s">
        <v>156</v>
      </c>
      <c r="K5" s="5" t="s">
        <v>155</v>
      </c>
      <c r="L5" s="5" t="s">
        <v>157</v>
      </c>
      <c r="M5" s="5" t="s">
        <v>184</v>
      </c>
      <c r="N5" s="5" t="s">
        <v>185</v>
      </c>
      <c r="O5" s="5" t="s">
        <v>186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187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188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195</v>
      </c>
      <c r="B6" s="6" t="s">
        <v>196</v>
      </c>
      <c r="C6" s="7" t="s">
        <v>22</v>
      </c>
      <c r="D6" s="8" t="s">
        <v>181</v>
      </c>
      <c r="E6" s="9" t="s">
        <v>182</v>
      </c>
      <c r="F6" s="5" t="s">
        <v>23</v>
      </c>
      <c r="G6" s="5" t="s">
        <v>24</v>
      </c>
      <c r="H6" s="9" t="s">
        <v>129</v>
      </c>
      <c r="I6" s="5" t="s">
        <v>183</v>
      </c>
      <c r="J6" s="5" t="s">
        <v>156</v>
      </c>
      <c r="K6" s="5" t="s">
        <v>155</v>
      </c>
      <c r="L6" s="5" t="s">
        <v>157</v>
      </c>
      <c r="M6" s="5" t="s">
        <v>184</v>
      </c>
      <c r="N6" s="5" t="s">
        <v>185</v>
      </c>
      <c r="O6" s="5" t="s">
        <v>186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187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188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B10" sqref="B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160</v>
      </c>
      <c r="F1" s="22" t="s">
        <v>141</v>
      </c>
      <c r="G1" s="22" t="s">
        <v>142</v>
      </c>
      <c r="H1" s="22" t="s">
        <v>161</v>
      </c>
      <c r="I1" s="22" t="s">
        <v>162</v>
      </c>
      <c r="J1" s="22" t="s">
        <v>146</v>
      </c>
      <c r="K1" s="22" t="s">
        <v>145</v>
      </c>
      <c r="L1" s="22" t="s">
        <v>147</v>
      </c>
      <c r="M1" s="22" t="s">
        <v>163</v>
      </c>
      <c r="N1" s="22" t="s">
        <v>164</v>
      </c>
      <c r="O1" s="22" t="s">
        <v>165</v>
      </c>
      <c r="P1" s="23" t="s">
        <v>166</v>
      </c>
      <c r="Q1" s="22" t="s">
        <v>167</v>
      </c>
      <c r="R1" s="23" t="s">
        <v>168</v>
      </c>
      <c r="S1" s="19" t="s">
        <v>169</v>
      </c>
      <c r="T1" s="19" t="s">
        <v>170</v>
      </c>
      <c r="U1" s="19" t="s">
        <v>171</v>
      </c>
      <c r="V1" s="19" t="s">
        <v>172</v>
      </c>
      <c r="W1" s="19" t="s">
        <v>173</v>
      </c>
      <c r="X1" s="25" t="s">
        <v>174</v>
      </c>
      <c r="Y1" s="19" t="s">
        <v>175</v>
      </c>
      <c r="Z1" s="19" t="s">
        <v>176</v>
      </c>
      <c r="AA1" s="25" t="s">
        <v>177</v>
      </c>
      <c r="AB1" s="23" t="s">
        <v>178</v>
      </c>
      <c r="AC1" s="10" t="s">
        <v>9</v>
      </c>
      <c r="AD1" s="11" t="s">
        <v>10</v>
      </c>
      <c r="AE1" s="12" t="s">
        <v>41</v>
      </c>
      <c r="AF1" s="11" t="s">
        <v>149</v>
      </c>
    </row>
    <row r="2" s="1" customFormat="1" ht="69" customHeight="1" spans="1:32">
      <c r="A2" s="5" t="s">
        <v>197</v>
      </c>
      <c r="B2" s="6" t="s">
        <v>180</v>
      </c>
      <c r="C2" s="7" t="s">
        <v>22</v>
      </c>
      <c r="D2" s="8" t="s">
        <v>181</v>
      </c>
      <c r="E2" s="9" t="s">
        <v>182</v>
      </c>
      <c r="F2" s="5" t="s">
        <v>23</v>
      </c>
      <c r="G2" s="5" t="s">
        <v>24</v>
      </c>
      <c r="H2" s="9" t="s">
        <v>130</v>
      </c>
      <c r="I2" s="5" t="s">
        <v>198</v>
      </c>
      <c r="J2" s="5" t="s">
        <v>199</v>
      </c>
      <c r="K2" s="5" t="s">
        <v>200</v>
      </c>
      <c r="L2" s="5" t="s">
        <v>201</v>
      </c>
      <c r="M2" s="5" t="s">
        <v>202</v>
      </c>
      <c r="N2" s="5" t="s">
        <v>203</v>
      </c>
      <c r="O2" s="5" t="s">
        <v>204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187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188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205</v>
      </c>
      <c r="B3" s="6" t="s">
        <v>190</v>
      </c>
      <c r="C3" s="7" t="s">
        <v>22</v>
      </c>
      <c r="D3" s="8" t="s">
        <v>181</v>
      </c>
      <c r="E3" s="9" t="s">
        <v>182</v>
      </c>
      <c r="F3" s="5" t="s">
        <v>23</v>
      </c>
      <c r="G3" s="5" t="s">
        <v>24</v>
      </c>
      <c r="H3" s="9" t="s">
        <v>130</v>
      </c>
      <c r="I3" s="5" t="s">
        <v>198</v>
      </c>
      <c r="J3" s="5" t="s">
        <v>199</v>
      </c>
      <c r="K3" s="5" t="s">
        <v>200</v>
      </c>
      <c r="L3" s="5" t="s">
        <v>201</v>
      </c>
      <c r="M3" s="5" t="s">
        <v>202</v>
      </c>
      <c r="N3" s="5" t="s">
        <v>203</v>
      </c>
      <c r="O3" s="5" t="s">
        <v>204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187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188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206</v>
      </c>
      <c r="B4" s="6" t="s">
        <v>192</v>
      </c>
      <c r="C4" s="7" t="s">
        <v>22</v>
      </c>
      <c r="D4" s="8" t="s">
        <v>181</v>
      </c>
      <c r="E4" s="9" t="s">
        <v>182</v>
      </c>
      <c r="F4" s="5" t="s">
        <v>23</v>
      </c>
      <c r="G4" s="5" t="s">
        <v>24</v>
      </c>
      <c r="H4" s="9" t="s">
        <v>130</v>
      </c>
      <c r="I4" s="5" t="s">
        <v>198</v>
      </c>
      <c r="J4" s="5" t="s">
        <v>199</v>
      </c>
      <c r="K4" s="5" t="s">
        <v>200</v>
      </c>
      <c r="L4" s="5" t="s">
        <v>201</v>
      </c>
      <c r="M4" s="5" t="s">
        <v>202</v>
      </c>
      <c r="N4" s="5" t="s">
        <v>203</v>
      </c>
      <c r="O4" s="5" t="s">
        <v>204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187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188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207</v>
      </c>
      <c r="B5" s="6" t="s">
        <v>194</v>
      </c>
      <c r="C5" s="7" t="s">
        <v>22</v>
      </c>
      <c r="D5" s="8" t="s">
        <v>181</v>
      </c>
      <c r="E5" s="9" t="s">
        <v>182</v>
      </c>
      <c r="F5" s="5" t="s">
        <v>23</v>
      </c>
      <c r="G5" s="5" t="s">
        <v>24</v>
      </c>
      <c r="H5" s="9" t="s">
        <v>130</v>
      </c>
      <c r="I5" s="5" t="s">
        <v>198</v>
      </c>
      <c r="J5" s="5" t="s">
        <v>199</v>
      </c>
      <c r="K5" s="5" t="s">
        <v>200</v>
      </c>
      <c r="L5" s="5" t="s">
        <v>201</v>
      </c>
      <c r="M5" s="5" t="s">
        <v>202</v>
      </c>
      <c r="N5" s="5" t="s">
        <v>203</v>
      </c>
      <c r="O5" s="5" t="s">
        <v>204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187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188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208</v>
      </c>
      <c r="B6" s="6" t="s">
        <v>196</v>
      </c>
      <c r="C6" s="7" t="s">
        <v>22</v>
      </c>
      <c r="D6" s="8" t="s">
        <v>181</v>
      </c>
      <c r="E6" s="9" t="s">
        <v>182</v>
      </c>
      <c r="F6" s="5" t="s">
        <v>23</v>
      </c>
      <c r="G6" s="5" t="s">
        <v>24</v>
      </c>
      <c r="H6" s="9" t="s">
        <v>130</v>
      </c>
      <c r="I6" s="5" t="s">
        <v>198</v>
      </c>
      <c r="J6" s="5" t="s">
        <v>199</v>
      </c>
      <c r="K6" s="5" t="s">
        <v>200</v>
      </c>
      <c r="L6" s="5" t="s">
        <v>201</v>
      </c>
      <c r="M6" s="5" t="s">
        <v>202</v>
      </c>
      <c r="N6" s="5" t="s">
        <v>203</v>
      </c>
      <c r="O6" s="5" t="s">
        <v>204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187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188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AC11" sqref="AC11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4.952380952381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160</v>
      </c>
      <c r="F1" s="22" t="s">
        <v>141</v>
      </c>
      <c r="G1" s="22" t="s">
        <v>142</v>
      </c>
      <c r="H1" s="22" t="s">
        <v>161</v>
      </c>
      <c r="I1" s="22" t="s">
        <v>162</v>
      </c>
      <c r="J1" s="22" t="s">
        <v>146</v>
      </c>
      <c r="K1" s="22" t="s">
        <v>145</v>
      </c>
      <c r="L1" s="22" t="s">
        <v>147</v>
      </c>
      <c r="M1" s="22" t="s">
        <v>163</v>
      </c>
      <c r="N1" s="22" t="s">
        <v>164</v>
      </c>
      <c r="O1" s="22" t="s">
        <v>165</v>
      </c>
      <c r="P1" s="23" t="s">
        <v>166</v>
      </c>
      <c r="Q1" s="22" t="s">
        <v>167</v>
      </c>
      <c r="R1" s="23" t="s">
        <v>168</v>
      </c>
      <c r="S1" s="19" t="s">
        <v>169</v>
      </c>
      <c r="T1" s="19" t="s">
        <v>170</v>
      </c>
      <c r="U1" s="19" t="s">
        <v>171</v>
      </c>
      <c r="V1" s="19" t="s">
        <v>172</v>
      </c>
      <c r="W1" s="19" t="s">
        <v>173</v>
      </c>
      <c r="X1" s="25" t="s">
        <v>174</v>
      </c>
      <c r="Y1" s="19" t="s">
        <v>175</v>
      </c>
      <c r="Z1" s="19" t="s">
        <v>176</v>
      </c>
      <c r="AA1" s="25" t="s">
        <v>177</v>
      </c>
      <c r="AB1" s="23" t="s">
        <v>178</v>
      </c>
      <c r="AC1" s="10" t="s">
        <v>9</v>
      </c>
      <c r="AD1" s="11" t="s">
        <v>10</v>
      </c>
      <c r="AE1" s="12" t="s">
        <v>41</v>
      </c>
      <c r="AF1" s="11" t="s">
        <v>149</v>
      </c>
    </row>
    <row r="2" s="1" customFormat="1" ht="69" customHeight="1" spans="1:32">
      <c r="A2" s="5" t="s">
        <v>209</v>
      </c>
      <c r="B2" s="6" t="s">
        <v>180</v>
      </c>
      <c r="C2" s="7" t="s">
        <v>22</v>
      </c>
      <c r="D2" s="8" t="s">
        <v>181</v>
      </c>
      <c r="E2" s="9" t="s">
        <v>182</v>
      </c>
      <c r="F2" s="5" t="s">
        <v>23</v>
      </c>
      <c r="G2" s="5" t="s">
        <v>24</v>
      </c>
      <c r="H2" s="9" t="s">
        <v>136</v>
      </c>
      <c r="I2" s="5" t="s">
        <v>210</v>
      </c>
      <c r="J2" s="5" t="s">
        <v>211</v>
      </c>
      <c r="K2" s="5" t="s">
        <v>212</v>
      </c>
      <c r="L2" s="5" t="s">
        <v>213</v>
      </c>
      <c r="M2" s="5" t="s">
        <v>214</v>
      </c>
      <c r="N2" s="5" t="s">
        <v>215</v>
      </c>
      <c r="O2" s="5" t="s">
        <v>216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187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188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217</v>
      </c>
      <c r="B3" s="6" t="s">
        <v>190</v>
      </c>
      <c r="C3" s="7" t="s">
        <v>22</v>
      </c>
      <c r="D3" s="8" t="s">
        <v>181</v>
      </c>
      <c r="E3" s="9" t="s">
        <v>182</v>
      </c>
      <c r="F3" s="5" t="s">
        <v>23</v>
      </c>
      <c r="G3" s="5" t="s">
        <v>24</v>
      </c>
      <c r="H3" s="9" t="s">
        <v>136</v>
      </c>
      <c r="I3" s="5" t="s">
        <v>210</v>
      </c>
      <c r="J3" s="5" t="s">
        <v>211</v>
      </c>
      <c r="K3" s="5" t="s">
        <v>212</v>
      </c>
      <c r="L3" s="5" t="s">
        <v>213</v>
      </c>
      <c r="M3" s="5" t="s">
        <v>214</v>
      </c>
      <c r="N3" s="5" t="s">
        <v>215</v>
      </c>
      <c r="O3" s="5" t="s">
        <v>216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187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188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218</v>
      </c>
      <c r="B4" s="6" t="s">
        <v>192</v>
      </c>
      <c r="C4" s="7" t="s">
        <v>22</v>
      </c>
      <c r="D4" s="8" t="s">
        <v>181</v>
      </c>
      <c r="E4" s="9" t="s">
        <v>182</v>
      </c>
      <c r="F4" s="5" t="s">
        <v>23</v>
      </c>
      <c r="G4" s="5" t="s">
        <v>24</v>
      </c>
      <c r="H4" s="9" t="s">
        <v>136</v>
      </c>
      <c r="I4" s="5" t="s">
        <v>210</v>
      </c>
      <c r="J4" s="5" t="s">
        <v>211</v>
      </c>
      <c r="K4" s="5" t="s">
        <v>212</v>
      </c>
      <c r="L4" s="5" t="s">
        <v>213</v>
      </c>
      <c r="M4" s="5" t="s">
        <v>214</v>
      </c>
      <c r="N4" s="5" t="s">
        <v>215</v>
      </c>
      <c r="O4" s="5" t="s">
        <v>216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187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188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219</v>
      </c>
      <c r="B5" s="6" t="s">
        <v>194</v>
      </c>
      <c r="C5" s="7" t="s">
        <v>22</v>
      </c>
      <c r="D5" s="8" t="s">
        <v>181</v>
      </c>
      <c r="E5" s="9" t="s">
        <v>182</v>
      </c>
      <c r="F5" s="5" t="s">
        <v>23</v>
      </c>
      <c r="G5" s="5" t="s">
        <v>24</v>
      </c>
      <c r="H5" s="9" t="s">
        <v>136</v>
      </c>
      <c r="I5" s="5" t="s">
        <v>210</v>
      </c>
      <c r="J5" s="5" t="s">
        <v>211</v>
      </c>
      <c r="K5" s="5" t="s">
        <v>212</v>
      </c>
      <c r="L5" s="5" t="s">
        <v>213</v>
      </c>
      <c r="M5" s="5" t="s">
        <v>214</v>
      </c>
      <c r="N5" s="5" t="s">
        <v>215</v>
      </c>
      <c r="O5" s="5" t="s">
        <v>216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187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188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220</v>
      </c>
      <c r="B6" s="6" t="s">
        <v>196</v>
      </c>
      <c r="C6" s="7" t="s">
        <v>22</v>
      </c>
      <c r="D6" s="8" t="s">
        <v>181</v>
      </c>
      <c r="E6" s="9" t="s">
        <v>182</v>
      </c>
      <c r="F6" s="5" t="s">
        <v>23</v>
      </c>
      <c r="G6" s="5" t="s">
        <v>24</v>
      </c>
      <c r="H6" s="9" t="s">
        <v>136</v>
      </c>
      <c r="I6" s="5" t="s">
        <v>210</v>
      </c>
      <c r="J6" s="5" t="s">
        <v>211</v>
      </c>
      <c r="K6" s="5" t="s">
        <v>212</v>
      </c>
      <c r="L6" s="5" t="s">
        <v>213</v>
      </c>
      <c r="M6" s="5" t="s">
        <v>214</v>
      </c>
      <c r="N6" s="5" t="s">
        <v>215</v>
      </c>
      <c r="O6" s="5" t="s">
        <v>216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187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188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F6"/>
  <sheetViews>
    <sheetView workbookViewId="0">
      <selection activeCell="F10" sqref="F10"/>
    </sheetView>
  </sheetViews>
  <sheetFormatPr defaultColWidth="9.14285714285714" defaultRowHeight="30" customHeight="1" outlineLevelRow="5"/>
  <cols>
    <col min="1" max="1" width="36.7142857142857" style="1" customWidth="1"/>
    <col min="2" max="2" width="31" style="1" customWidth="1"/>
    <col min="3" max="3" width="19.5714285714286" style="1" customWidth="1"/>
    <col min="4" max="4" width="23.7142857142857" style="1" customWidth="1"/>
    <col min="5" max="5" width="24.4285714285714" style="1" customWidth="1"/>
    <col min="6" max="6" width="22.8571428571429" style="1" customWidth="1"/>
    <col min="7" max="7" width="21.1428571428571" style="1" customWidth="1"/>
    <col min="8" max="8" width="2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17.8380952380952" style="16" customWidth="1"/>
    <col min="17" max="17" width="17.8380952380952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16384" width="9.14285714285714" style="1"/>
  </cols>
  <sheetData>
    <row r="1" s="1" customFormat="1" ht="46" customHeight="1" spans="1:32">
      <c r="A1" s="2" t="s">
        <v>0</v>
      </c>
      <c r="B1" s="2" t="s">
        <v>1</v>
      </c>
      <c r="C1" s="2" t="s">
        <v>2</v>
      </c>
      <c r="D1" s="3" t="s">
        <v>3</v>
      </c>
      <c r="E1" s="22" t="s">
        <v>160</v>
      </c>
      <c r="F1" s="22" t="s">
        <v>141</v>
      </c>
      <c r="G1" s="22" t="s">
        <v>142</v>
      </c>
      <c r="H1" s="22" t="s">
        <v>161</v>
      </c>
      <c r="I1" s="22" t="s">
        <v>162</v>
      </c>
      <c r="J1" s="22" t="s">
        <v>146</v>
      </c>
      <c r="K1" s="22" t="s">
        <v>145</v>
      </c>
      <c r="L1" s="22" t="s">
        <v>147</v>
      </c>
      <c r="M1" s="22" t="s">
        <v>163</v>
      </c>
      <c r="N1" s="22" t="s">
        <v>164</v>
      </c>
      <c r="O1" s="22" t="s">
        <v>165</v>
      </c>
      <c r="P1" s="23" t="s">
        <v>166</v>
      </c>
      <c r="Q1" s="22" t="s">
        <v>167</v>
      </c>
      <c r="R1" s="23" t="s">
        <v>168</v>
      </c>
      <c r="S1" s="19" t="s">
        <v>169</v>
      </c>
      <c r="T1" s="19" t="s">
        <v>170</v>
      </c>
      <c r="U1" s="19" t="s">
        <v>171</v>
      </c>
      <c r="V1" s="19" t="s">
        <v>172</v>
      </c>
      <c r="W1" s="19" t="s">
        <v>173</v>
      </c>
      <c r="X1" s="25" t="s">
        <v>174</v>
      </c>
      <c r="Y1" s="19" t="s">
        <v>175</v>
      </c>
      <c r="Z1" s="19" t="s">
        <v>176</v>
      </c>
      <c r="AA1" s="25" t="s">
        <v>177</v>
      </c>
      <c r="AB1" s="23" t="s">
        <v>178</v>
      </c>
      <c r="AC1" s="10" t="s">
        <v>9</v>
      </c>
      <c r="AD1" s="11" t="s">
        <v>10</v>
      </c>
      <c r="AE1" s="12" t="s">
        <v>41</v>
      </c>
      <c r="AF1" s="11" t="s">
        <v>149</v>
      </c>
    </row>
    <row r="2" s="1" customFormat="1" ht="69" customHeight="1" spans="1:32">
      <c r="A2" s="5" t="s">
        <v>221</v>
      </c>
      <c r="B2" s="6" t="s">
        <v>180</v>
      </c>
      <c r="C2" s="7" t="s">
        <v>22</v>
      </c>
      <c r="D2" s="8" t="s">
        <v>181</v>
      </c>
      <c r="E2" s="9" t="s">
        <v>182</v>
      </c>
      <c r="F2" s="5" t="s">
        <v>23</v>
      </c>
      <c r="G2" s="5" t="s">
        <v>24</v>
      </c>
      <c r="H2" s="9" t="s">
        <v>140</v>
      </c>
      <c r="I2" s="5" t="s">
        <v>222</v>
      </c>
      <c r="J2" s="5" t="s">
        <v>223</v>
      </c>
      <c r="K2" s="5" t="s">
        <v>224</v>
      </c>
      <c r="L2" s="5" t="s">
        <v>225</v>
      </c>
      <c r="M2" s="5" t="s">
        <v>226</v>
      </c>
      <c r="N2" s="5" t="s">
        <v>227</v>
      </c>
      <c r="O2" s="5" t="s">
        <v>228</v>
      </c>
      <c r="P2" s="24" t="s">
        <v>69</v>
      </c>
      <c r="Q2" s="9"/>
      <c r="R2" s="24" t="s">
        <v>69</v>
      </c>
      <c r="S2" s="9">
        <v>1600000</v>
      </c>
      <c r="T2" s="9">
        <v>400000</v>
      </c>
      <c r="U2" s="9">
        <v>0</v>
      </c>
      <c r="V2" s="9">
        <v>0</v>
      </c>
      <c r="W2" s="9">
        <v>0</v>
      </c>
      <c r="X2" s="24" t="s">
        <v>187</v>
      </c>
      <c r="Y2" s="9">
        <v>0</v>
      </c>
      <c r="Z2" s="9">
        <v>0</v>
      </c>
      <c r="AA2" s="24" t="s">
        <v>69</v>
      </c>
      <c r="AB2" s="24" t="s">
        <v>69</v>
      </c>
      <c r="AC2" s="8" t="s">
        <v>188</v>
      </c>
      <c r="AD2" s="14">
        <v>200</v>
      </c>
      <c r="AE2" s="15" t="s">
        <v>69</v>
      </c>
      <c r="AF2" s="14">
        <v>3</v>
      </c>
    </row>
    <row r="3" s="1" customFormat="1" ht="69" customHeight="1" spans="1:32">
      <c r="A3" s="5" t="s">
        <v>229</v>
      </c>
      <c r="B3" s="6" t="s">
        <v>190</v>
      </c>
      <c r="C3" s="7" t="s">
        <v>22</v>
      </c>
      <c r="D3" s="8" t="s">
        <v>181</v>
      </c>
      <c r="E3" s="9" t="s">
        <v>182</v>
      </c>
      <c r="F3" s="5" t="s">
        <v>23</v>
      </c>
      <c r="G3" s="5" t="s">
        <v>24</v>
      </c>
      <c r="H3" s="9" t="s">
        <v>140</v>
      </c>
      <c r="I3" s="5" t="s">
        <v>222</v>
      </c>
      <c r="J3" s="5" t="s">
        <v>223</v>
      </c>
      <c r="K3" s="5" t="s">
        <v>224</v>
      </c>
      <c r="L3" s="5" t="s">
        <v>225</v>
      </c>
      <c r="M3" s="5" t="s">
        <v>226</v>
      </c>
      <c r="N3" s="5" t="s">
        <v>227</v>
      </c>
      <c r="O3" s="5" t="s">
        <v>228</v>
      </c>
      <c r="P3" s="24" t="s">
        <v>69</v>
      </c>
      <c r="Q3" s="9"/>
      <c r="R3" s="24" t="s">
        <v>69</v>
      </c>
      <c r="S3" s="9">
        <v>1600000</v>
      </c>
      <c r="T3" s="9">
        <v>400000</v>
      </c>
      <c r="U3" s="9">
        <v>0</v>
      </c>
      <c r="V3" s="9">
        <v>0</v>
      </c>
      <c r="W3" s="9">
        <v>400000</v>
      </c>
      <c r="X3" s="24" t="s">
        <v>187</v>
      </c>
      <c r="Y3" s="9">
        <v>0</v>
      </c>
      <c r="Z3" s="9">
        <v>0</v>
      </c>
      <c r="AA3" s="24" t="s">
        <v>69</v>
      </c>
      <c r="AB3" s="24" t="s">
        <v>69</v>
      </c>
      <c r="AC3" s="8" t="s">
        <v>188</v>
      </c>
      <c r="AD3" s="14">
        <v>200</v>
      </c>
      <c r="AE3" s="15" t="s">
        <v>69</v>
      </c>
      <c r="AF3" s="14">
        <v>4</v>
      </c>
    </row>
    <row r="4" s="1" customFormat="1" ht="69" customHeight="1" spans="1:32">
      <c r="A4" s="5" t="s">
        <v>230</v>
      </c>
      <c r="B4" s="6" t="s">
        <v>192</v>
      </c>
      <c r="C4" s="7" t="s">
        <v>22</v>
      </c>
      <c r="D4" s="8" t="s">
        <v>181</v>
      </c>
      <c r="E4" s="9" t="s">
        <v>182</v>
      </c>
      <c r="F4" s="5" t="s">
        <v>23</v>
      </c>
      <c r="G4" s="5" t="s">
        <v>24</v>
      </c>
      <c r="H4" s="9" t="s">
        <v>140</v>
      </c>
      <c r="I4" s="5" t="s">
        <v>222</v>
      </c>
      <c r="J4" s="5" t="s">
        <v>223</v>
      </c>
      <c r="K4" s="5" t="s">
        <v>224</v>
      </c>
      <c r="L4" s="5" t="s">
        <v>225</v>
      </c>
      <c r="M4" s="5" t="s">
        <v>226</v>
      </c>
      <c r="N4" s="5" t="s">
        <v>227</v>
      </c>
      <c r="O4" s="5" t="s">
        <v>228</v>
      </c>
      <c r="P4" s="24" t="s">
        <v>69</v>
      </c>
      <c r="Q4" s="9"/>
      <c r="R4" s="24" t="s">
        <v>69</v>
      </c>
      <c r="S4" s="9">
        <v>1600000</v>
      </c>
      <c r="T4" s="9">
        <v>400000</v>
      </c>
      <c r="U4" s="9">
        <v>200000</v>
      </c>
      <c r="V4" s="9">
        <v>0</v>
      </c>
      <c r="W4" s="9">
        <v>0</v>
      </c>
      <c r="X4" s="24" t="s">
        <v>187</v>
      </c>
      <c r="Y4" s="9">
        <v>0</v>
      </c>
      <c r="Z4" s="9">
        <v>0</v>
      </c>
      <c r="AA4" s="24" t="s">
        <v>69</v>
      </c>
      <c r="AB4" s="24" t="s">
        <v>69</v>
      </c>
      <c r="AC4" s="8" t="s">
        <v>188</v>
      </c>
      <c r="AD4" s="14">
        <v>200</v>
      </c>
      <c r="AE4" s="15" t="s">
        <v>69</v>
      </c>
      <c r="AF4" s="14">
        <v>4</v>
      </c>
    </row>
    <row r="5" s="1" customFormat="1" ht="69" customHeight="1" spans="1:32">
      <c r="A5" s="5" t="s">
        <v>231</v>
      </c>
      <c r="B5" s="6" t="s">
        <v>194</v>
      </c>
      <c r="C5" s="7" t="s">
        <v>22</v>
      </c>
      <c r="D5" s="8" t="s">
        <v>181</v>
      </c>
      <c r="E5" s="9" t="s">
        <v>182</v>
      </c>
      <c r="F5" s="5" t="s">
        <v>23</v>
      </c>
      <c r="G5" s="5" t="s">
        <v>24</v>
      </c>
      <c r="H5" s="9" t="s">
        <v>140</v>
      </c>
      <c r="I5" s="5" t="s">
        <v>222</v>
      </c>
      <c r="J5" s="5" t="s">
        <v>223</v>
      </c>
      <c r="K5" s="5" t="s">
        <v>224</v>
      </c>
      <c r="L5" s="5" t="s">
        <v>225</v>
      </c>
      <c r="M5" s="5" t="s">
        <v>226</v>
      </c>
      <c r="N5" s="5" t="s">
        <v>227</v>
      </c>
      <c r="O5" s="5" t="s">
        <v>228</v>
      </c>
      <c r="P5" s="24" t="s">
        <v>69</v>
      </c>
      <c r="Q5" s="9"/>
      <c r="R5" s="24" t="s">
        <v>69</v>
      </c>
      <c r="S5" s="9">
        <v>1600000</v>
      </c>
      <c r="T5" s="9">
        <v>400000</v>
      </c>
      <c r="U5" s="9">
        <v>0</v>
      </c>
      <c r="V5" s="9">
        <v>200000</v>
      </c>
      <c r="W5" s="9">
        <v>0</v>
      </c>
      <c r="X5" s="24" t="s">
        <v>187</v>
      </c>
      <c r="Y5" s="9">
        <v>0</v>
      </c>
      <c r="Z5" s="9">
        <v>0</v>
      </c>
      <c r="AA5" s="24" t="s">
        <v>69</v>
      </c>
      <c r="AB5" s="24" t="s">
        <v>69</v>
      </c>
      <c r="AC5" s="8" t="s">
        <v>188</v>
      </c>
      <c r="AD5" s="14">
        <v>200</v>
      </c>
      <c r="AE5" s="15" t="s">
        <v>69</v>
      </c>
      <c r="AF5" s="14">
        <v>4</v>
      </c>
    </row>
    <row r="6" s="1" customFormat="1" ht="69" customHeight="1" spans="1:32">
      <c r="A6" s="5" t="s">
        <v>232</v>
      </c>
      <c r="B6" s="6" t="s">
        <v>196</v>
      </c>
      <c r="C6" s="7" t="s">
        <v>22</v>
      </c>
      <c r="D6" s="8" t="s">
        <v>181</v>
      </c>
      <c r="E6" s="9" t="s">
        <v>182</v>
      </c>
      <c r="F6" s="5" t="s">
        <v>23</v>
      </c>
      <c r="G6" s="5" t="s">
        <v>24</v>
      </c>
      <c r="H6" s="9" t="s">
        <v>140</v>
      </c>
      <c r="I6" s="5" t="s">
        <v>222</v>
      </c>
      <c r="J6" s="5" t="s">
        <v>223</v>
      </c>
      <c r="K6" s="5" t="s">
        <v>224</v>
      </c>
      <c r="L6" s="5" t="s">
        <v>225</v>
      </c>
      <c r="M6" s="5" t="s">
        <v>226</v>
      </c>
      <c r="N6" s="5" t="s">
        <v>227</v>
      </c>
      <c r="O6" s="5" t="s">
        <v>228</v>
      </c>
      <c r="P6" s="24" t="s">
        <v>69</v>
      </c>
      <c r="Q6" s="9"/>
      <c r="R6" s="24" t="s">
        <v>69</v>
      </c>
      <c r="S6" s="9">
        <v>1600000</v>
      </c>
      <c r="T6" s="9">
        <v>400000</v>
      </c>
      <c r="U6" s="9">
        <v>200000</v>
      </c>
      <c r="V6" s="9">
        <v>200000</v>
      </c>
      <c r="W6" s="9">
        <v>400000</v>
      </c>
      <c r="X6" s="24" t="s">
        <v>187</v>
      </c>
      <c r="Y6" s="9">
        <v>0</v>
      </c>
      <c r="Z6" s="9">
        <v>0</v>
      </c>
      <c r="AA6" s="24" t="s">
        <v>69</v>
      </c>
      <c r="AB6" s="24" t="s">
        <v>69</v>
      </c>
      <c r="AC6" s="8" t="s">
        <v>188</v>
      </c>
      <c r="AD6" s="14">
        <v>200</v>
      </c>
      <c r="AE6" s="15" t="s">
        <v>69</v>
      </c>
      <c r="AF6" s="14">
        <v>1</v>
      </c>
    </row>
  </sheetData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U7"/>
  <sheetViews>
    <sheetView workbookViewId="0">
      <selection activeCell="A3" sqref="A3"/>
    </sheetView>
  </sheetViews>
  <sheetFormatPr defaultColWidth="9.14285714285714" defaultRowHeight="30" customHeight="1" outlineLevelRow="6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24.4285714285714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7" width="24.2857142857143" style="1" customWidth="1"/>
    <col min="18" max="18" width="17.8380952380952" style="16" customWidth="1"/>
    <col min="19" max="19" width="17.8380952380952" style="1" customWidth="1"/>
    <col min="20" max="20" width="25.8571428571429" style="1" customWidth="1"/>
    <col min="21" max="22" width="22.7142857142857" style="1" customWidth="1"/>
    <col min="23" max="23" width="25" style="1" customWidth="1"/>
    <col min="24" max="24" width="26.8571428571429" style="16" customWidth="1"/>
    <col min="25" max="25" width="29.2857142857143" style="1" customWidth="1"/>
    <col min="26" max="26" width="23.5714285714286" style="16" customWidth="1"/>
    <col min="27" max="28" width="31.4285714285714" style="16" customWidth="1"/>
    <col min="29" max="29" width="31.4285714285714" style="1" customWidth="1"/>
    <col min="30" max="30" width="18.9428571428571" style="1" customWidth="1"/>
    <col min="31" max="31" width="22" style="16" customWidth="1"/>
    <col min="32" max="32" width="18.9428571428571" style="1" customWidth="1"/>
    <col min="33" max="43" width="20.8571428571429" style="1" customWidth="1"/>
    <col min="44" max="44" width="20.8571428571429" style="16" customWidth="1"/>
    <col min="45" max="45" width="26.1428571428571" style="1" customWidth="1"/>
    <col min="46" max="47" width="20.8571428571429" style="1" customWidth="1"/>
    <col min="48" max="16384" width="9.14285714285714" style="1"/>
  </cols>
  <sheetData>
    <row r="1" s="1" customFormat="1" ht="46" customHeight="1" spans="1:47">
      <c r="A1" s="2" t="s">
        <v>0</v>
      </c>
      <c r="B1" s="2" t="s">
        <v>1</v>
      </c>
      <c r="C1" s="2" t="s">
        <v>2</v>
      </c>
      <c r="D1" s="3" t="s">
        <v>3</v>
      </c>
      <c r="E1" s="18" t="s">
        <v>118</v>
      </c>
      <c r="F1" s="18" t="s">
        <v>143</v>
      </c>
      <c r="G1" s="18" t="s">
        <v>233</v>
      </c>
      <c r="H1" s="18" t="s">
        <v>234</v>
      </c>
      <c r="I1" s="18" t="s">
        <v>235</v>
      </c>
      <c r="J1" s="18" t="s">
        <v>236</v>
      </c>
      <c r="K1" s="18" t="s">
        <v>237</v>
      </c>
      <c r="L1" s="18" t="s">
        <v>238</v>
      </c>
      <c r="M1" s="18" t="s">
        <v>239</v>
      </c>
      <c r="N1" s="18" t="s">
        <v>240</v>
      </c>
      <c r="O1" s="18" t="s">
        <v>241</v>
      </c>
      <c r="P1" s="18" t="s">
        <v>242</v>
      </c>
      <c r="Q1" s="18" t="s">
        <v>243</v>
      </c>
      <c r="R1" s="18" t="s">
        <v>244</v>
      </c>
      <c r="S1" s="18" t="s">
        <v>245</v>
      </c>
      <c r="T1" s="18" t="s">
        <v>246</v>
      </c>
      <c r="U1" s="18" t="s">
        <v>247</v>
      </c>
      <c r="V1" s="18" t="s">
        <v>248</v>
      </c>
      <c r="W1" s="18" t="s">
        <v>249</v>
      </c>
      <c r="X1" s="18" t="s">
        <v>250</v>
      </c>
      <c r="Y1" s="18" t="s">
        <v>251</v>
      </c>
      <c r="Z1" s="19" t="s">
        <v>252</v>
      </c>
      <c r="AA1" s="19" t="s">
        <v>253</v>
      </c>
      <c r="AB1" s="19" t="s">
        <v>254</v>
      </c>
      <c r="AC1" s="19" t="s">
        <v>255</v>
      </c>
      <c r="AD1" s="19" t="s">
        <v>256</v>
      </c>
      <c r="AE1" s="19" t="s">
        <v>257</v>
      </c>
      <c r="AF1" s="19" t="s">
        <v>258</v>
      </c>
      <c r="AG1" s="19" t="s">
        <v>259</v>
      </c>
      <c r="AH1" s="19" t="s">
        <v>260</v>
      </c>
      <c r="AI1" s="19" t="s">
        <v>261</v>
      </c>
      <c r="AJ1" s="19" t="s">
        <v>262</v>
      </c>
      <c r="AK1" s="19" t="s">
        <v>263</v>
      </c>
      <c r="AL1" s="19" t="s">
        <v>264</v>
      </c>
      <c r="AM1" s="19" t="s">
        <v>265</v>
      </c>
      <c r="AN1" s="19" t="s">
        <v>266</v>
      </c>
      <c r="AO1" s="19" t="s">
        <v>267</v>
      </c>
      <c r="AP1" s="18" t="s">
        <v>268</v>
      </c>
      <c r="AQ1" s="18" t="s">
        <v>269</v>
      </c>
      <c r="AR1" s="20" t="s">
        <v>270</v>
      </c>
      <c r="AS1" s="10" t="s">
        <v>9</v>
      </c>
      <c r="AT1" s="11" t="s">
        <v>10</v>
      </c>
      <c r="AU1" s="12" t="s">
        <v>271</v>
      </c>
    </row>
    <row r="2" s="1" customFormat="1" ht="69" customHeight="1" spans="1:47">
      <c r="A2" s="5" t="s">
        <v>272</v>
      </c>
      <c r="B2" s="6" t="s">
        <v>273</v>
      </c>
      <c r="C2" s="7" t="s">
        <v>22</v>
      </c>
      <c r="D2" s="8" t="s">
        <v>274</v>
      </c>
      <c r="E2" s="9" t="s">
        <v>129</v>
      </c>
      <c r="F2" s="9" t="s">
        <v>154</v>
      </c>
      <c r="G2" s="9" t="s">
        <v>275</v>
      </c>
      <c r="H2" s="9" t="s">
        <v>276</v>
      </c>
      <c r="I2" s="5"/>
      <c r="J2" s="5" t="s">
        <v>277</v>
      </c>
      <c r="K2" s="5">
        <v>1600000</v>
      </c>
      <c r="L2" s="5"/>
      <c r="M2" s="5"/>
      <c r="N2" s="5"/>
      <c r="O2" s="5">
        <v>1600000</v>
      </c>
      <c r="P2" s="9" t="s">
        <v>182</v>
      </c>
      <c r="Q2" s="5">
        <v>0</v>
      </c>
      <c r="R2" s="5" t="s">
        <v>278</v>
      </c>
      <c r="S2" s="5" t="s">
        <v>279</v>
      </c>
      <c r="T2" s="5" t="s">
        <v>279</v>
      </c>
      <c r="U2" s="5" t="s">
        <v>280</v>
      </c>
      <c r="V2" s="5">
        <v>0</v>
      </c>
      <c r="W2" s="5" t="s">
        <v>281</v>
      </c>
      <c r="X2" s="5" t="s">
        <v>281</v>
      </c>
      <c r="Y2" s="5" t="s">
        <v>281</v>
      </c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5"/>
      <c r="AM2" s="5" t="s">
        <v>281</v>
      </c>
      <c r="AN2" s="5" t="s">
        <v>281</v>
      </c>
      <c r="AO2" s="5" t="s">
        <v>281</v>
      </c>
      <c r="AP2" s="5" t="s">
        <v>282</v>
      </c>
      <c r="AQ2" s="5" t="s">
        <v>282</v>
      </c>
      <c r="AR2" s="21" t="s">
        <v>69</v>
      </c>
      <c r="AS2" s="8" t="s">
        <v>283</v>
      </c>
      <c r="AT2" s="14">
        <v>200</v>
      </c>
      <c r="AU2" s="15" t="s">
        <v>22</v>
      </c>
    </row>
    <row r="3" s="1" customFormat="1" ht="69" customHeight="1" spans="1:47">
      <c r="A3" s="5" t="s">
        <v>284</v>
      </c>
      <c r="B3" s="6" t="s">
        <v>273</v>
      </c>
      <c r="C3" s="7" t="s">
        <v>22</v>
      </c>
      <c r="D3" s="8" t="s">
        <v>274</v>
      </c>
      <c r="E3" s="9" t="s">
        <v>129</v>
      </c>
      <c r="F3" s="9" t="s">
        <v>154</v>
      </c>
      <c r="G3" s="9" t="s">
        <v>275</v>
      </c>
      <c r="H3" s="9" t="s">
        <v>276</v>
      </c>
      <c r="I3" s="5"/>
      <c r="J3" s="5" t="s">
        <v>277</v>
      </c>
      <c r="K3" s="5">
        <v>8800000</v>
      </c>
      <c r="L3" s="5"/>
      <c r="M3" s="5"/>
      <c r="N3" s="5"/>
      <c r="O3" s="5">
        <v>1600000</v>
      </c>
      <c r="P3" s="9" t="s">
        <v>182</v>
      </c>
      <c r="Q3" s="5">
        <v>0</v>
      </c>
      <c r="R3" s="5" t="s">
        <v>278</v>
      </c>
      <c r="S3" s="5" t="s">
        <v>279</v>
      </c>
      <c r="T3" s="5" t="s">
        <v>279</v>
      </c>
      <c r="U3" s="5" t="s">
        <v>280</v>
      </c>
      <c r="V3" s="5">
        <v>0</v>
      </c>
      <c r="W3" s="5" t="s">
        <v>281</v>
      </c>
      <c r="X3" s="5" t="s">
        <v>281</v>
      </c>
      <c r="Y3" s="5" t="s">
        <v>281</v>
      </c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5"/>
      <c r="AM3" s="5" t="s">
        <v>281</v>
      </c>
      <c r="AN3" s="5" t="s">
        <v>281</v>
      </c>
      <c r="AO3" s="5" t="s">
        <v>281</v>
      </c>
      <c r="AP3" s="5" t="s">
        <v>282</v>
      </c>
      <c r="AQ3" s="5" t="s">
        <v>282</v>
      </c>
      <c r="AR3" s="21" t="s">
        <v>69</v>
      </c>
      <c r="AS3" s="8" t="s">
        <v>283</v>
      </c>
      <c r="AT3" s="14">
        <v>200</v>
      </c>
      <c r="AU3" s="15" t="s">
        <v>22</v>
      </c>
    </row>
    <row r="4" s="1" customFormat="1" ht="69" customHeight="1" spans="1:47">
      <c r="A4" s="5" t="s">
        <v>285</v>
      </c>
      <c r="B4" s="6" t="s">
        <v>273</v>
      </c>
      <c r="C4" s="7" t="s">
        <v>22</v>
      </c>
      <c r="D4" s="8" t="s">
        <v>274</v>
      </c>
      <c r="E4" s="9" t="s">
        <v>130</v>
      </c>
      <c r="F4" s="9" t="s">
        <v>286</v>
      </c>
      <c r="G4" s="9" t="s">
        <v>287</v>
      </c>
      <c r="H4" s="9" t="s">
        <v>288</v>
      </c>
      <c r="I4" s="5"/>
      <c r="J4" s="5" t="s">
        <v>277</v>
      </c>
      <c r="K4" s="5">
        <v>1600000</v>
      </c>
      <c r="L4" s="5"/>
      <c r="M4" s="5"/>
      <c r="N4" s="5"/>
      <c r="O4" s="5">
        <v>1600000</v>
      </c>
      <c r="P4" s="9" t="s">
        <v>182</v>
      </c>
      <c r="Q4" s="5">
        <v>0</v>
      </c>
      <c r="R4" s="5" t="s">
        <v>278</v>
      </c>
      <c r="S4" s="5" t="s">
        <v>279</v>
      </c>
      <c r="T4" s="5" t="s">
        <v>279</v>
      </c>
      <c r="U4" s="5" t="s">
        <v>280</v>
      </c>
      <c r="V4" s="5">
        <v>0</v>
      </c>
      <c r="W4" s="5" t="s">
        <v>281</v>
      </c>
      <c r="X4" s="5" t="s">
        <v>281</v>
      </c>
      <c r="Y4" s="5" t="s">
        <v>281</v>
      </c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 t="s">
        <v>281</v>
      </c>
      <c r="AN4" s="5" t="s">
        <v>281</v>
      </c>
      <c r="AO4" s="5" t="s">
        <v>281</v>
      </c>
      <c r="AP4" s="5" t="s">
        <v>282</v>
      </c>
      <c r="AQ4" s="5" t="s">
        <v>282</v>
      </c>
      <c r="AR4" s="21" t="s">
        <v>69</v>
      </c>
      <c r="AS4" s="8" t="s">
        <v>283</v>
      </c>
      <c r="AT4" s="14">
        <v>200</v>
      </c>
      <c r="AU4" s="15" t="s">
        <v>22</v>
      </c>
    </row>
    <row r="5" s="1" customFormat="1" ht="69" customHeight="1" spans="1:47">
      <c r="A5" s="5" t="s">
        <v>289</v>
      </c>
      <c r="B5" s="6" t="s">
        <v>273</v>
      </c>
      <c r="C5" s="7" t="s">
        <v>22</v>
      </c>
      <c r="D5" s="8" t="s">
        <v>274</v>
      </c>
      <c r="E5" s="9" t="s">
        <v>136</v>
      </c>
      <c r="F5" s="9" t="s">
        <v>290</v>
      </c>
      <c r="G5" s="9" t="s">
        <v>291</v>
      </c>
      <c r="H5" s="9" t="s">
        <v>292</v>
      </c>
      <c r="I5" s="5"/>
      <c r="J5" s="5" t="s">
        <v>277</v>
      </c>
      <c r="K5" s="5">
        <v>1600000</v>
      </c>
      <c r="L5" s="5"/>
      <c r="M5" s="5"/>
      <c r="N5" s="5"/>
      <c r="O5" s="5">
        <v>1600000</v>
      </c>
      <c r="P5" s="9" t="s">
        <v>182</v>
      </c>
      <c r="Q5" s="5">
        <v>0</v>
      </c>
      <c r="R5" s="5" t="s">
        <v>278</v>
      </c>
      <c r="S5" s="5" t="s">
        <v>279</v>
      </c>
      <c r="T5" s="5" t="s">
        <v>279</v>
      </c>
      <c r="U5" s="5" t="s">
        <v>280</v>
      </c>
      <c r="V5" s="5">
        <v>0</v>
      </c>
      <c r="W5" s="5" t="s">
        <v>281</v>
      </c>
      <c r="X5" s="5" t="s">
        <v>281</v>
      </c>
      <c r="Y5" s="5" t="s">
        <v>281</v>
      </c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 t="s">
        <v>281</v>
      </c>
      <c r="AN5" s="5" t="s">
        <v>281</v>
      </c>
      <c r="AO5" s="5" t="s">
        <v>281</v>
      </c>
      <c r="AP5" s="5" t="s">
        <v>282</v>
      </c>
      <c r="AQ5" s="5" t="s">
        <v>282</v>
      </c>
      <c r="AR5" s="21" t="s">
        <v>69</v>
      </c>
      <c r="AS5" s="8" t="s">
        <v>283</v>
      </c>
      <c r="AT5" s="14">
        <v>200</v>
      </c>
      <c r="AU5" s="15" t="s">
        <v>22</v>
      </c>
    </row>
    <row r="6" s="1" customFormat="1" ht="69" customHeight="1" spans="1:47">
      <c r="A6" s="5" t="s">
        <v>293</v>
      </c>
      <c r="B6" s="6" t="s">
        <v>273</v>
      </c>
      <c r="C6" s="7" t="s">
        <v>22</v>
      </c>
      <c r="D6" s="8" t="s">
        <v>274</v>
      </c>
      <c r="E6" s="9" t="s">
        <v>140</v>
      </c>
      <c r="F6" s="9" t="s">
        <v>294</v>
      </c>
      <c r="G6" s="9" t="s">
        <v>295</v>
      </c>
      <c r="H6" s="9" t="s">
        <v>296</v>
      </c>
      <c r="I6" s="5"/>
      <c r="J6" s="5" t="s">
        <v>277</v>
      </c>
      <c r="K6" s="5">
        <v>1600000</v>
      </c>
      <c r="L6" s="5"/>
      <c r="M6" s="5"/>
      <c r="N6" s="5"/>
      <c r="O6" s="5">
        <v>1600000</v>
      </c>
      <c r="P6" s="9" t="s">
        <v>182</v>
      </c>
      <c r="Q6" s="5">
        <v>0</v>
      </c>
      <c r="R6" s="5" t="s">
        <v>278</v>
      </c>
      <c r="S6" s="5" t="s">
        <v>279</v>
      </c>
      <c r="T6" s="5" t="s">
        <v>279</v>
      </c>
      <c r="U6" s="5" t="s">
        <v>280</v>
      </c>
      <c r="V6" s="5">
        <v>0</v>
      </c>
      <c r="W6" s="5" t="s">
        <v>281</v>
      </c>
      <c r="X6" s="5" t="s">
        <v>281</v>
      </c>
      <c r="Y6" s="5" t="s">
        <v>281</v>
      </c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 t="s">
        <v>281</v>
      </c>
      <c r="AN6" s="5" t="s">
        <v>281</v>
      </c>
      <c r="AO6" s="5" t="s">
        <v>281</v>
      </c>
      <c r="AP6" s="5" t="s">
        <v>282</v>
      </c>
      <c r="AQ6" s="5" t="s">
        <v>282</v>
      </c>
      <c r="AR6" s="21" t="s">
        <v>69</v>
      </c>
      <c r="AS6" s="8" t="s">
        <v>283</v>
      </c>
      <c r="AT6" s="14">
        <v>200</v>
      </c>
      <c r="AU6" s="15" t="s">
        <v>22</v>
      </c>
    </row>
    <row r="7" s="1" customFormat="1" ht="69" customHeight="1" spans="1:47">
      <c r="A7" s="5" t="s">
        <v>297</v>
      </c>
      <c r="B7" s="6" t="s">
        <v>298</v>
      </c>
      <c r="C7" s="7" t="s">
        <v>22</v>
      </c>
      <c r="D7" s="8" t="s">
        <v>299</v>
      </c>
      <c r="E7" s="9" t="s">
        <v>129</v>
      </c>
      <c r="F7" s="9" t="s">
        <v>154</v>
      </c>
      <c r="G7" s="9" t="s">
        <v>275</v>
      </c>
      <c r="H7" s="9" t="s">
        <v>276</v>
      </c>
      <c r="I7" s="5"/>
      <c r="J7" s="5" t="s">
        <v>277</v>
      </c>
      <c r="K7" s="5">
        <v>100000</v>
      </c>
      <c r="L7" s="5"/>
      <c r="M7" s="5"/>
      <c r="N7" s="5"/>
      <c r="O7" s="5">
        <v>100000</v>
      </c>
      <c r="P7" s="9" t="s">
        <v>182</v>
      </c>
      <c r="Q7" s="5">
        <v>0</v>
      </c>
      <c r="R7" s="5" t="s">
        <v>278</v>
      </c>
      <c r="S7" s="5" t="s">
        <v>279</v>
      </c>
      <c r="T7" s="5" t="s">
        <v>279</v>
      </c>
      <c r="U7" s="5" t="s">
        <v>280</v>
      </c>
      <c r="V7" s="5">
        <v>0</v>
      </c>
      <c r="W7" s="5" t="s">
        <v>281</v>
      </c>
      <c r="X7" s="5" t="s">
        <v>281</v>
      </c>
      <c r="Y7" s="5" t="s">
        <v>281</v>
      </c>
      <c r="Z7" s="5" t="s">
        <v>300</v>
      </c>
      <c r="AA7" s="5">
        <v>200000</v>
      </c>
      <c r="AB7" s="5"/>
      <c r="AC7" s="5" t="s">
        <v>301</v>
      </c>
      <c r="AD7" s="5"/>
      <c r="AE7" s="5">
        <v>200000</v>
      </c>
      <c r="AF7" s="9" t="s">
        <v>182</v>
      </c>
      <c r="AG7" s="5">
        <v>0</v>
      </c>
      <c r="AH7" s="5" t="s">
        <v>278</v>
      </c>
      <c r="AI7" s="5" t="s">
        <v>279</v>
      </c>
      <c r="AJ7" s="5" t="s">
        <v>279</v>
      </c>
      <c r="AK7" s="5" t="s">
        <v>280</v>
      </c>
      <c r="AL7" s="5">
        <v>0</v>
      </c>
      <c r="AM7" s="5" t="s">
        <v>281</v>
      </c>
      <c r="AN7" s="5" t="s">
        <v>281</v>
      </c>
      <c r="AO7" s="5" t="s">
        <v>281</v>
      </c>
      <c r="AP7" s="5" t="s">
        <v>282</v>
      </c>
      <c r="AQ7" s="5" t="s">
        <v>282</v>
      </c>
      <c r="AR7" s="21" t="s">
        <v>69</v>
      </c>
      <c r="AS7" s="8" t="s">
        <v>283</v>
      </c>
      <c r="AT7" s="14">
        <v>200</v>
      </c>
      <c r="AU7" s="15" t="s">
        <v>22</v>
      </c>
    </row>
  </sheetData>
  <pageMargins left="0.75" right="0.75" top="1" bottom="1" header="0.5" footer="0.5"/>
  <headerFooter/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6"/>
  <sheetViews>
    <sheetView topLeftCell="D1" workbookViewId="0">
      <selection activeCell="H2" sqref="H2:I2"/>
    </sheetView>
  </sheetViews>
  <sheetFormatPr defaultColWidth="9.14285714285714" defaultRowHeight="30" customHeight="1" outlineLevelRow="5"/>
  <cols>
    <col min="1" max="1" width="24.1428571428571" style="1" customWidth="1"/>
    <col min="2" max="2" width="31" style="1" customWidth="1"/>
    <col min="3" max="3" width="14.952380952381" style="1" customWidth="1"/>
    <col min="4" max="4" width="31.1428571428571" style="1" customWidth="1"/>
    <col min="5" max="5" width="16.8571428571429" style="1" customWidth="1"/>
    <col min="6" max="6" width="22.8571428571429" style="1" customWidth="1"/>
    <col min="7" max="7" width="24.8571428571429" style="1" customWidth="1"/>
    <col min="8" max="8" width="32.2857142857143" style="1" customWidth="1"/>
    <col min="9" max="9" width="27.8571428571429" style="1" customWidth="1"/>
    <col min="10" max="10" width="20" style="1" customWidth="1"/>
    <col min="11" max="11" width="19.7142857142857" style="1" customWidth="1"/>
    <col min="12" max="12" width="21.8571428571429" style="1" customWidth="1"/>
    <col min="13" max="13" width="27.5714285714286" style="1" customWidth="1"/>
    <col min="14" max="14" width="22.4285714285714" style="1" customWidth="1"/>
    <col min="15" max="15" width="27.4285714285714" style="1" customWidth="1"/>
    <col min="16" max="16" width="20" style="16" customWidth="1"/>
    <col min="17" max="19" width="22.4285714285714" style="1" customWidth="1"/>
    <col min="20" max="16384" width="9.14285714285714" style="1"/>
  </cols>
  <sheetData>
    <row r="1" s="1" customFormat="1" ht="46" customHeight="1" spans="1:19">
      <c r="A1" s="2" t="s">
        <v>0</v>
      </c>
      <c r="B1" s="2" t="s">
        <v>1</v>
      </c>
      <c r="C1" s="2" t="s">
        <v>2</v>
      </c>
      <c r="D1" s="3" t="s">
        <v>3</v>
      </c>
      <c r="E1" s="4" t="s">
        <v>302</v>
      </c>
      <c r="F1" s="4" t="s">
        <v>143</v>
      </c>
      <c r="G1" s="4" t="s">
        <v>234</v>
      </c>
      <c r="H1" s="4" t="s">
        <v>141</v>
      </c>
      <c r="I1" s="4" t="s">
        <v>142</v>
      </c>
      <c r="J1" s="4" t="s">
        <v>303</v>
      </c>
      <c r="K1" s="10" t="s">
        <v>9</v>
      </c>
      <c r="L1" s="11" t="s">
        <v>10</v>
      </c>
      <c r="M1" s="12" t="s">
        <v>304</v>
      </c>
      <c r="N1" s="12" t="s">
        <v>305</v>
      </c>
      <c r="O1" s="12" t="s">
        <v>306</v>
      </c>
      <c r="P1" s="12" t="s">
        <v>307</v>
      </c>
      <c r="Q1" s="12" t="s">
        <v>308</v>
      </c>
      <c r="R1" s="12" t="s">
        <v>309</v>
      </c>
      <c r="S1" s="12" t="s">
        <v>310</v>
      </c>
    </row>
    <row r="2" s="1" customFormat="1" ht="69" customHeight="1" spans="1:19">
      <c r="A2" s="5" t="s">
        <v>311</v>
      </c>
      <c r="B2" s="6" t="s">
        <v>312</v>
      </c>
      <c r="C2" s="7" t="s">
        <v>22</v>
      </c>
      <c r="D2" s="8" t="s">
        <v>313</v>
      </c>
      <c r="E2" s="9" t="s">
        <v>25</v>
      </c>
      <c r="F2" s="9" t="s">
        <v>154</v>
      </c>
      <c r="G2" s="9" t="s">
        <v>314</v>
      </c>
      <c r="H2" s="5" t="s">
        <v>23</v>
      </c>
      <c r="I2" s="5" t="s">
        <v>24</v>
      </c>
      <c r="J2" s="17" t="s">
        <v>26</v>
      </c>
      <c r="K2" s="13" t="s">
        <v>315</v>
      </c>
      <c r="L2" s="14">
        <v>200</v>
      </c>
      <c r="M2" s="15" t="s">
        <v>316</v>
      </c>
      <c r="N2" s="15" t="s">
        <v>277</v>
      </c>
      <c r="O2" s="15"/>
      <c r="P2" s="5">
        <v>1600000</v>
      </c>
      <c r="Q2" s="15"/>
      <c r="R2" s="15"/>
      <c r="S2" s="5"/>
    </row>
    <row r="3" s="1" customFormat="1" ht="69" customHeight="1" spans="1:19">
      <c r="A3" s="5" t="s">
        <v>317</v>
      </c>
      <c r="B3" s="6" t="s">
        <v>318</v>
      </c>
      <c r="C3" s="7" t="s">
        <v>22</v>
      </c>
      <c r="D3" s="8" t="s">
        <v>313</v>
      </c>
      <c r="E3" s="9" t="s">
        <v>37</v>
      </c>
      <c r="F3" s="9" t="s">
        <v>286</v>
      </c>
      <c r="G3" s="9" t="s">
        <v>319</v>
      </c>
      <c r="H3" s="5" t="s">
        <v>23</v>
      </c>
      <c r="I3" s="5" t="s">
        <v>24</v>
      </c>
      <c r="J3" s="17" t="s">
        <v>26</v>
      </c>
      <c r="K3" s="13" t="s">
        <v>315</v>
      </c>
      <c r="L3" s="14">
        <v>200</v>
      </c>
      <c r="M3" s="15" t="s">
        <v>316</v>
      </c>
      <c r="N3" s="15" t="s">
        <v>277</v>
      </c>
      <c r="O3" s="15"/>
      <c r="P3" s="5">
        <v>1600000</v>
      </c>
      <c r="Q3" s="15"/>
      <c r="R3" s="15"/>
      <c r="S3" s="15"/>
    </row>
    <row r="4" s="1" customFormat="1" ht="69" customHeight="1" spans="1:19">
      <c r="A4" s="5" t="s">
        <v>320</v>
      </c>
      <c r="B4" s="6" t="s">
        <v>321</v>
      </c>
      <c r="C4" s="7" t="s">
        <v>22</v>
      </c>
      <c r="D4" s="8" t="s">
        <v>313</v>
      </c>
      <c r="E4" s="9" t="s">
        <v>38</v>
      </c>
      <c r="F4" s="9" t="s">
        <v>290</v>
      </c>
      <c r="G4" s="9" t="s">
        <v>322</v>
      </c>
      <c r="H4" s="5" t="s">
        <v>23</v>
      </c>
      <c r="I4" s="5" t="s">
        <v>24</v>
      </c>
      <c r="J4" s="17" t="s">
        <v>26</v>
      </c>
      <c r="K4" s="13" t="s">
        <v>315</v>
      </c>
      <c r="L4" s="14">
        <v>200</v>
      </c>
      <c r="M4" s="15" t="s">
        <v>316</v>
      </c>
      <c r="N4" s="15" t="s">
        <v>277</v>
      </c>
      <c r="O4" s="15"/>
      <c r="P4" s="5">
        <v>1600000</v>
      </c>
      <c r="Q4" s="15"/>
      <c r="R4" s="15"/>
      <c r="S4" s="15"/>
    </row>
    <row r="5" s="1" customFormat="1" ht="69" customHeight="1" spans="1:19">
      <c r="A5" s="5" t="s">
        <v>323</v>
      </c>
      <c r="B5" s="6" t="s">
        <v>324</v>
      </c>
      <c r="C5" s="7" t="s">
        <v>22</v>
      </c>
      <c r="D5" s="8" t="s">
        <v>313</v>
      </c>
      <c r="E5" s="9" t="s">
        <v>39</v>
      </c>
      <c r="F5" s="9" t="s">
        <v>294</v>
      </c>
      <c r="G5" s="9" t="s">
        <v>325</v>
      </c>
      <c r="H5" s="5" t="s">
        <v>23</v>
      </c>
      <c r="I5" s="5" t="s">
        <v>24</v>
      </c>
      <c r="J5" s="17" t="s">
        <v>26</v>
      </c>
      <c r="K5" s="13" t="s">
        <v>315</v>
      </c>
      <c r="L5" s="14">
        <v>200</v>
      </c>
      <c r="M5" s="15" t="s">
        <v>316</v>
      </c>
      <c r="N5" s="15" t="s">
        <v>277</v>
      </c>
      <c r="O5" s="15"/>
      <c r="P5" s="5">
        <v>1600000</v>
      </c>
      <c r="Q5" s="15"/>
      <c r="R5" s="15"/>
      <c r="S5" s="15"/>
    </row>
    <row r="6" s="1" customFormat="1" ht="69" customHeight="1" spans="1:19">
      <c r="A6" s="5" t="s">
        <v>326</v>
      </c>
      <c r="B6" s="6" t="s">
        <v>327</v>
      </c>
      <c r="C6" s="7" t="s">
        <v>22</v>
      </c>
      <c r="D6" s="8" t="s">
        <v>313</v>
      </c>
      <c r="E6" s="9" t="s">
        <v>25</v>
      </c>
      <c r="F6" s="9" t="s">
        <v>154</v>
      </c>
      <c r="G6" s="9" t="s">
        <v>314</v>
      </c>
      <c r="H6" s="5" t="s">
        <v>23</v>
      </c>
      <c r="I6" s="5" t="s">
        <v>24</v>
      </c>
      <c r="J6" s="17" t="s">
        <v>26</v>
      </c>
      <c r="K6" s="13" t="s">
        <v>328</v>
      </c>
      <c r="L6" s="14">
        <v>200</v>
      </c>
      <c r="M6" s="15" t="s">
        <v>329</v>
      </c>
      <c r="N6" s="15" t="s">
        <v>277</v>
      </c>
      <c r="O6" s="15"/>
      <c r="P6" s="5">
        <v>100000</v>
      </c>
      <c r="Q6" s="15" t="s">
        <v>300</v>
      </c>
      <c r="R6" s="15" t="s">
        <v>301</v>
      </c>
      <c r="S6" s="15" t="s">
        <v>330</v>
      </c>
    </row>
  </sheetData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5"/>
  <sheetViews>
    <sheetView workbookViewId="0">
      <selection activeCell="E9" sqref="E9"/>
    </sheetView>
  </sheetViews>
  <sheetFormatPr defaultColWidth="9.14285714285714" defaultRowHeight="30" customHeight="1" outlineLevelRow="4"/>
  <cols>
    <col min="1" max="1" width="24.7142857142857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7" width="27.4285714285714" style="1" customWidth="1"/>
    <col min="8" max="8" width="16.7142857142857" style="1" customWidth="1"/>
    <col min="9" max="9" width="27.5714285714286" style="1" customWidth="1"/>
    <col min="10" max="10" width="22.4285714285714" style="1" customWidth="1"/>
    <col min="11" max="16384" width="9.14285714285714" style="1"/>
  </cols>
  <sheetData>
    <row r="1" s="1" customFormat="1" ht="46" customHeight="1" spans="1:10">
      <c r="A1" s="2" t="s">
        <v>0</v>
      </c>
      <c r="B1" s="2" t="s">
        <v>1</v>
      </c>
      <c r="C1" s="2" t="s">
        <v>2</v>
      </c>
      <c r="D1" s="3" t="s">
        <v>3</v>
      </c>
      <c r="E1" s="4" t="s">
        <v>118</v>
      </c>
      <c r="F1" s="4" t="s">
        <v>331</v>
      </c>
      <c r="G1" s="10" t="s">
        <v>9</v>
      </c>
      <c r="H1" s="11" t="s">
        <v>10</v>
      </c>
      <c r="I1" s="12" t="s">
        <v>332</v>
      </c>
      <c r="J1" s="12" t="s">
        <v>333</v>
      </c>
    </row>
    <row r="2" s="1" customFormat="1" ht="69" customHeight="1" spans="1:10">
      <c r="A2" s="5" t="s">
        <v>334</v>
      </c>
      <c r="B2" s="6" t="s">
        <v>335</v>
      </c>
      <c r="C2" s="7" t="s">
        <v>22</v>
      </c>
      <c r="D2" s="8" t="s">
        <v>336</v>
      </c>
      <c r="E2" s="9" t="s">
        <v>129</v>
      </c>
      <c r="F2" s="9" t="s">
        <v>25</v>
      </c>
      <c r="G2" s="8" t="s">
        <v>337</v>
      </c>
      <c r="H2" s="14">
        <v>200</v>
      </c>
      <c r="I2" s="15" t="s">
        <v>31</v>
      </c>
      <c r="J2" s="15" t="s">
        <v>338</v>
      </c>
    </row>
    <row r="3" s="1" customFormat="1" ht="69" customHeight="1" spans="1:10">
      <c r="A3" s="5" t="s">
        <v>339</v>
      </c>
      <c r="B3" s="6" t="s">
        <v>340</v>
      </c>
      <c r="C3" s="7" t="s">
        <v>22</v>
      </c>
      <c r="D3" s="8" t="s">
        <v>336</v>
      </c>
      <c r="E3" s="9" t="s">
        <v>130</v>
      </c>
      <c r="F3" s="9" t="s">
        <v>37</v>
      </c>
      <c r="G3" s="8" t="s">
        <v>337</v>
      </c>
      <c r="H3" s="14">
        <v>200</v>
      </c>
      <c r="I3" s="15" t="s">
        <v>31</v>
      </c>
      <c r="J3" s="15" t="s">
        <v>338</v>
      </c>
    </row>
    <row r="4" s="1" customFormat="1" ht="69" customHeight="1" spans="1:10">
      <c r="A4" s="5" t="s">
        <v>341</v>
      </c>
      <c r="B4" s="6" t="s">
        <v>342</v>
      </c>
      <c r="C4" s="7" t="s">
        <v>22</v>
      </c>
      <c r="D4" s="8" t="s">
        <v>336</v>
      </c>
      <c r="E4" s="9" t="s">
        <v>136</v>
      </c>
      <c r="F4" s="9" t="s">
        <v>38</v>
      </c>
      <c r="G4" s="8" t="s">
        <v>337</v>
      </c>
      <c r="H4" s="14">
        <v>200</v>
      </c>
      <c r="I4" s="15" t="s">
        <v>31</v>
      </c>
      <c r="J4" s="15" t="s">
        <v>338</v>
      </c>
    </row>
    <row r="5" s="1" customFormat="1" ht="69" customHeight="1" spans="1:10">
      <c r="A5" s="5" t="s">
        <v>343</v>
      </c>
      <c r="B5" s="6" t="s">
        <v>344</v>
      </c>
      <c r="C5" s="7" t="s">
        <v>22</v>
      </c>
      <c r="D5" s="8" t="s">
        <v>336</v>
      </c>
      <c r="E5" s="9" t="s">
        <v>140</v>
      </c>
      <c r="F5" s="9" t="s">
        <v>39</v>
      </c>
      <c r="G5" s="8" t="s">
        <v>337</v>
      </c>
      <c r="H5" s="14">
        <v>200</v>
      </c>
      <c r="I5" s="15" t="s">
        <v>31</v>
      </c>
      <c r="J5" s="15" t="s">
        <v>338</v>
      </c>
    </row>
  </sheetData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"/>
  <sheetViews>
    <sheetView workbookViewId="0">
      <selection activeCell="F12" sqref="F12"/>
    </sheetView>
  </sheetViews>
  <sheetFormatPr defaultColWidth="9.14285714285714" defaultRowHeight="30" customHeight="1" outlineLevelRow="1"/>
  <cols>
    <col min="1" max="1" width="27.4285714285714" style="1" customWidth="1"/>
    <col min="2" max="2" width="27" style="1" customWidth="1"/>
    <col min="3" max="3" width="21" style="1" customWidth="1"/>
    <col min="4" max="4" width="31.1428571428571" style="1" customWidth="1"/>
    <col min="5" max="5" width="26.1428571428571" style="1" customWidth="1"/>
    <col min="6" max="6" width="22.8571428571429" style="1" customWidth="1"/>
    <col min="7" max="9" width="27.4285714285714" style="1" customWidth="1"/>
    <col min="10" max="10" width="16.7142857142857" style="1" customWidth="1"/>
    <col min="11" max="11" width="27.5714285714286" style="1" customWidth="1"/>
    <col min="12" max="16384" width="9.14285714285714" style="1"/>
  </cols>
  <sheetData>
    <row r="1" s="1" customFormat="1" ht="46" customHeight="1" spans="1:11">
      <c r="A1" s="2" t="s">
        <v>0</v>
      </c>
      <c r="B1" s="2" t="s">
        <v>1</v>
      </c>
      <c r="C1" s="2" t="s">
        <v>2</v>
      </c>
      <c r="D1" s="3" t="s">
        <v>3</v>
      </c>
      <c r="E1" s="4" t="s">
        <v>345</v>
      </c>
      <c r="F1" s="4" t="s">
        <v>346</v>
      </c>
      <c r="G1" s="4" t="s">
        <v>347</v>
      </c>
      <c r="H1" s="4" t="s">
        <v>348</v>
      </c>
      <c r="I1" s="10" t="s">
        <v>9</v>
      </c>
      <c r="J1" s="11" t="s">
        <v>10</v>
      </c>
      <c r="K1" s="12" t="s">
        <v>271</v>
      </c>
    </row>
    <row r="2" s="1" customFormat="1" ht="69" customHeight="1" spans="1:11">
      <c r="A2" s="5" t="s">
        <v>349</v>
      </c>
      <c r="B2" s="6" t="s">
        <v>350</v>
      </c>
      <c r="C2" s="7" t="s">
        <v>22</v>
      </c>
      <c r="D2" s="8" t="s">
        <v>351</v>
      </c>
      <c r="E2" s="9" t="s">
        <v>129</v>
      </c>
      <c r="F2" s="9" t="s">
        <v>130</v>
      </c>
      <c r="G2" s="9" t="s">
        <v>136</v>
      </c>
      <c r="H2" s="9" t="s">
        <v>140</v>
      </c>
      <c r="I2" s="13" t="s">
        <v>352</v>
      </c>
      <c r="J2" s="14">
        <v>200</v>
      </c>
      <c r="K2" s="15" t="s">
        <v>22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Booking_By_Bag_Player1</vt:lpstr>
      <vt:lpstr>Booking_By_Bag_Player2</vt:lpstr>
      <vt:lpstr>Booking_By_Bag_Player3</vt:lpstr>
      <vt:lpstr>Booking_By_Bag_Player4</vt:lpstr>
      <vt:lpstr>Fee_Of_Bag_Player1</vt:lpstr>
      <vt:lpstr>Fee_Of_Bag_Player2</vt:lpstr>
      <vt:lpstr>Fee_Of_Bag_Player3</vt:lpstr>
      <vt:lpstr>Fee_Of_Bag_Player4</vt:lpstr>
      <vt:lpstr>Fee_Of_Bag_Bill_Player1</vt:lpstr>
      <vt:lpstr>Fee_Of_Bag_Bill_Player2</vt:lpstr>
      <vt:lpstr>Fee_Of_Bag_Bill_Player3</vt:lpstr>
      <vt:lpstr>Fee_Of_Bag_Bill_Player4</vt:lpstr>
      <vt:lpstr>Add_Sub_Bag</vt:lpstr>
      <vt:lpstr>Detail_Agency_Pay</vt:lpstr>
      <vt:lpstr>Update_Agency_Pay_Player1</vt:lpstr>
      <vt:lpstr>Update_Agency_Pay_Player2</vt:lpstr>
      <vt:lpstr>Update_Agency_Pay_Player3</vt:lpstr>
      <vt:lpstr>Update_Agency_Pay_Player4</vt:lpstr>
      <vt:lpstr>Input_Single_Payment</vt:lpstr>
      <vt:lpstr>Single_Payment_List</vt:lpstr>
      <vt:lpstr>Check_Out_Bag</vt:lpstr>
      <vt:lpstr>Check_Out_Group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tranp</dc:creator>
  <cp:lastModifiedBy>tranp</cp:lastModifiedBy>
  <dcterms:created xsi:type="dcterms:W3CDTF">2025-08-06T10:31:00Z</dcterms:created>
  <dcterms:modified xsi:type="dcterms:W3CDTF">2025-12-09T10:34:55Z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E88D88E5A0C340D885DA63A643BF7ADD_11</vt:lpwstr>
  </property>
  <property fmtid="{D5CDD505-2E9C-101B-9397-08002B2CF9AE}" pid="3" name="KSOProductBuildVer">
    <vt:lpwstr>1033-12.2.0.23155</vt:lpwstr>
  </property>
</Properties>
</file>